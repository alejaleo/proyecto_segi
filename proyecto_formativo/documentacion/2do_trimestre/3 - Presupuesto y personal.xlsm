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activeX/activeX3.xml" ContentType="application/vnd.ms-office.activeX+xml"/>
  <Override PartName="/xl/activeX/activeX3.bin" ContentType="application/vnd.ms-office.activeX"/>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omments2.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026" codeName="{4D1C537B-E38A-612A-F078-A93A15B4B7F4}"/>
  <workbookPr showInkAnnotation="0" codeName="ThisWorkbook"/>
  <mc:AlternateContent xmlns:mc="http://schemas.openxmlformats.org/markup-compatibility/2006">
    <mc:Choice Requires="x15">
      <x15ac:absPath xmlns:x15ac="http://schemas.microsoft.com/office/spreadsheetml/2010/11/ac" url="C:\Users\Alejandra Leon\Desktop\proyecto_segi\proyecto_formativo\documentacion\2do_trimestre\"/>
    </mc:Choice>
  </mc:AlternateContent>
  <xr:revisionPtr revIDLastSave="0" documentId="13_ncr:1_{57AEEC3E-E898-4BCE-969C-95423E83203E}" xr6:coauthVersionLast="47" xr6:coauthVersionMax="47" xr10:uidLastSave="{00000000-0000-0000-0000-000000000000}"/>
  <workbookProtection workbookAlgorithmName="SHA-512" workbookHashValue="/ux72NNpswq1C/3vzFyJbDPIy4WHkw/BcrieldS5l/eltp4jFLVJgWk0mUKaKMlSGJhFnpZDUCQwFiXdJh8cZg==" workbookSaltValue="TFxxpnXUk/Yib3LWc4cChQ==" workbookSpinCount="100000" lockStructure="1"/>
  <bookViews>
    <workbookView showSheetTabs="0" xWindow="-120" yWindow="-120" windowWidth="20730" windowHeight="11160" tabRatio="641" firstSheet="1" activeTab="6" xr2:uid="{00000000-000D-0000-FFFF-FFFF00000000}"/>
  </bookViews>
  <sheets>
    <sheet name="Validaciones" sheetId="25" state="hidden" r:id="rId1"/>
    <sheet name="Menu" sheetId="20" r:id="rId2"/>
    <sheet name="1-Datos Generales" sheetId="9" r:id="rId3"/>
    <sheet name="1.1-Perfil-Crediticio" sheetId="26" r:id="rId4"/>
    <sheet name="2-Pto Ventas" sheetId="6" r:id="rId5"/>
    <sheet name="3-Pto Compras" sheetId="7" r:id="rId6"/>
    <sheet name="4-Pto de Costos y Gastos" sheetId="5" r:id="rId7"/>
    <sheet name="5-Plan de Inversion" sheetId="10" r:id="rId8"/>
    <sheet name="6-Plan de negocio" sheetId="21" r:id="rId9"/>
    <sheet name="Salida-1-Pto ingresos-insumos" sheetId="2" r:id="rId10"/>
    <sheet name="Salida-2-Pto Costos y Gastos" sheetId="12" r:id="rId11"/>
    <sheet name="Salida-3-Plan de Inversión" sheetId="8" r:id="rId12"/>
    <sheet name="Salida-4-P &amp; G" sheetId="17" r:id="rId13"/>
    <sheet name="Salida-5-Balance" sheetId="16" r:id="rId14"/>
    <sheet name="Salida-6-Flujo Caja" sheetId="18" r:id="rId15"/>
    <sheet name="Salida-7-Punto de Equilibrio" sheetId="23" r:id="rId16"/>
    <sheet name="Salida-8-Indicadores F." sheetId="19" r:id="rId17"/>
  </sheets>
  <definedNames>
    <definedName name="_AMAZONAS">Validaciones!$B$567:$B$577</definedName>
    <definedName name="_ANTIOQUIA">Validaciones!$C$567:$C$691</definedName>
    <definedName name="_ARAUCA">Validaciones!$D$567:$D$573</definedName>
    <definedName name="_ATLÁNTICO">Validaciones!$E$567:$E$589</definedName>
    <definedName name="_BOGOTÁ_D.C.">Validaciones!$F$567</definedName>
    <definedName name="_BOLÍVAR">Validaciones!$G$567:$G$612</definedName>
    <definedName name="_BOYACÁ">Validaciones!$H$567:$H$689</definedName>
    <definedName name="_CALDAS">Validaciones!$I$567:$I$593</definedName>
    <definedName name="_CAQUETÁ">Validaciones!$J$567:$J$582</definedName>
    <definedName name="_CASANARE">Validaciones!$K$567:$K$585</definedName>
    <definedName name="_CAUCA">Validaciones!$L$567:$L$608</definedName>
    <definedName name="_CESAR">Validaciones!$M$567:$M$591</definedName>
    <definedName name="_CHOCÓ">Validaciones!$N$567:$N$596</definedName>
    <definedName name="_CÓRDOBA">Validaciones!$O$567:$O$596</definedName>
    <definedName name="_CUNDINAMARCA">Validaciones!$P$567:$P$682</definedName>
    <definedName name="_GUAINÍA">Validaciones!$Q$567:$Q$575</definedName>
    <definedName name="_GUAVIARE">Validaciones!$R$567:$R$570</definedName>
    <definedName name="_HUILA">Validaciones!$S$567:$S$603</definedName>
    <definedName name="_LA_GUAJIRA">Validaciones!$T$567:$T$581</definedName>
    <definedName name="_MAGDALENA">Validaciones!$U$567:$U$596</definedName>
    <definedName name="_META">Validaciones!$V$567:$V$595</definedName>
    <definedName name="_NARIÑO">Validaciones!$W$567:$W$630</definedName>
    <definedName name="_NORTE_DE_SANTANDER">Validaciones!$X$567:$X$606</definedName>
    <definedName name="_PUTUMAYO">Validaciones!$Y$567:$Y$579</definedName>
    <definedName name="_QUINDÍO">Validaciones!$Z$567:$Z$578</definedName>
    <definedName name="_RISARALDA">Validaciones!$AA$567:$AA$580</definedName>
    <definedName name="_SAN_ANDRÉS">Validaciones!$AB$567:$AB$568</definedName>
    <definedName name="_SANTANDER">Validaciones!$AC$567:$AC$653</definedName>
    <definedName name="_SUCRE">Validaciones!$AD$567:$AD$592</definedName>
    <definedName name="_TOLIMA">Validaciones!$AE$567:$AE$613</definedName>
    <definedName name="_VALLE_DEL_CAUCA">Validaciones!$AF$567:$AF$608</definedName>
    <definedName name="_VAUPÉS">Validaciones!$AG$567:$AG$572</definedName>
    <definedName name="_VICHADA">Validaciones!$AH$567:$AH$570</definedName>
    <definedName name="Amazonas">Validaciones!$B$522</definedName>
    <definedName name="Antioquia">Validaciones!$C$522:$C$536</definedName>
    <definedName name="Arauca">Validaciones!$D$522</definedName>
    <definedName name="_xlnm.Print_Area" localSheetId="3">'1.1-Perfil-Crediticio'!$A$1:$M$69</definedName>
    <definedName name="_xlnm.Print_Area" localSheetId="2">'1-Datos Generales'!$A$1:$M$758</definedName>
    <definedName name="_xlnm.Print_Area" localSheetId="6">'4-Pto de Costos y Gastos'!$A$1:$J$78</definedName>
    <definedName name="_xlnm.Print_Area" localSheetId="7">'5-Plan de Inversion'!$B$21:$J$36</definedName>
    <definedName name="_xlnm.Print_Area" localSheetId="8">'6-Plan de negocio'!$B$2:$C$11,'6-Plan de negocio'!$B$13:$C$16,'6-Plan de negocio'!$B$18:$C$21,'6-Plan de negocio'!$B$23:$C$26,'6-Plan de negocio'!$B$28:$C$31,'6-Plan de negocio'!$B$33:$C$36,'6-Plan de negocio'!$B$38:$C$40,'6-Plan de negocio'!#REF!,'6-Plan de negocio'!$B$42:$C$45</definedName>
    <definedName name="_xlnm.Print_Area" localSheetId="1">Menu!$B$1:$P$101</definedName>
    <definedName name="_xlnm.Print_Area" localSheetId="9">'Salida-1-Pto ingresos-insumos'!$A$8:$Q$56</definedName>
    <definedName name="_xlnm.Print_Area" localSheetId="10">'Salida-2-Pto Costos y Gastos'!$A$20:$L$77</definedName>
    <definedName name="_xlnm.Print_Area" localSheetId="12">'Salida-4-P &amp; G'!$U$11:$AA$102</definedName>
    <definedName name="_xlnm.Print_Area" localSheetId="13">'Salida-5-Balance'!$U$12:$AA$103</definedName>
    <definedName name="_xlnm.Print_Area" localSheetId="14">'Salida-6-Flujo Caja'!$U$12:$AA$76</definedName>
    <definedName name="_xlnm.Print_Area" localSheetId="15">'Salida-7-Punto de Equilibrio'!$B$1:$O$74</definedName>
    <definedName name="_xlnm.Print_Area" localSheetId="16">'Salida-8-Indicadores F.'!$U$21:$AA$43</definedName>
    <definedName name="Atlántico">Validaciones!$E$522:$E$525</definedName>
    <definedName name="Bolívar">Validaciones!$F$522:$F$525</definedName>
    <definedName name="Boyacá">Validaciones!$G$522:$G$525</definedName>
    <definedName name="Caldas">Validaciones!$H$522:$H$526</definedName>
    <definedName name="Caquetá">Validaciones!$I$522</definedName>
    <definedName name="Casanare">Validaciones!$J$522</definedName>
    <definedName name="Centro_Agropecuario">Validaciones!$K$522:$K$524</definedName>
    <definedName name="Cesar">Validaciones!$L$522:$L$524</definedName>
    <definedName name="Chocó">Validaciones!$M$522</definedName>
    <definedName name="Córdoba">Validaciones!$N$522:$N$523</definedName>
    <definedName name="Cundinamarca">Validaciones!$O$522:$O$527</definedName>
    <definedName name="Departamentos">Validaciones!$A$566:$AH$566</definedName>
    <definedName name="Distrito_Capital">Validaciones!$P$522:$P$537</definedName>
    <definedName name="Guainía">Validaciones!$Q$522</definedName>
    <definedName name="Guajira">Validaciones!$R$522:$R$523</definedName>
    <definedName name="Guaviare">Validaciones!$S$522</definedName>
    <definedName name="Huila">Validaciones!$T$522:$T$526</definedName>
    <definedName name="Magdalena">Validaciones!$U$522:$U$523</definedName>
    <definedName name="Meta">Validaciones!$V$522:$V$523</definedName>
    <definedName name="Nariño">Validaciones!$W$522:$W$524</definedName>
    <definedName name="Norte_de_Santander">Validaciones!$X$522:$X$523</definedName>
    <definedName name="Putumayo">Validaciones!$Y$522</definedName>
    <definedName name="Quindío">Validaciones!$Z$522:$Z$524</definedName>
    <definedName name="REGIONALES">Validaciones!$A$521:$AH$521</definedName>
    <definedName name="Risaralda">Validaciones!$AA$522:$AA$524</definedName>
    <definedName name="San_Andrés">Validaciones!$AB$522</definedName>
    <definedName name="Santander">Validaciones!$AC$522:$AC$529</definedName>
    <definedName name="Seleccionar">Validaciones!$A$522</definedName>
    <definedName name="Seleccione">Validaciones!$A$567</definedName>
    <definedName name="Sucre">Validaciones!$AD$522</definedName>
    <definedName name="_xlnm.Print_Titles" localSheetId="8">'6-Plan de negocio'!$2:$7</definedName>
    <definedName name="Tolima">Validaciones!$AE$522:$AE$524</definedName>
    <definedName name="Valle">Validaciones!$AF$522:$AF$532</definedName>
    <definedName name="Vaupés">Validaciones!$AG$522</definedName>
    <definedName name="Vichada">Validaciones!$AH$522</definedName>
  </definedNames>
  <calcPr calcId="191029"/>
</workbook>
</file>

<file path=xl/calcChain.xml><?xml version="1.0" encoding="utf-8"?>
<calcChain xmlns="http://schemas.openxmlformats.org/spreadsheetml/2006/main">
  <c r="K11" i="26" l="1"/>
  <c r="H11" i="26"/>
  <c r="D11" i="26"/>
  <c r="H5" i="26"/>
  <c r="N34" i="23"/>
  <c r="M34" i="23"/>
  <c r="L34" i="23"/>
  <c r="K34" i="23"/>
  <c r="J34" i="23"/>
  <c r="I34" i="23"/>
  <c r="H34" i="23"/>
  <c r="G34" i="23"/>
  <c r="F34" i="23"/>
  <c r="E34" i="23"/>
  <c r="D34" i="23"/>
  <c r="H36" i="17"/>
  <c r="D39" i="23"/>
  <c r="E39" i="23"/>
  <c r="F39" i="23"/>
  <c r="G39" i="23"/>
  <c r="H39" i="23"/>
  <c r="I39" i="23"/>
  <c r="J39" i="23"/>
  <c r="K39" i="23"/>
  <c r="L39" i="23"/>
  <c r="M39" i="23"/>
  <c r="N39" i="23"/>
  <c r="C39" i="23"/>
  <c r="D38" i="23"/>
  <c r="E38" i="23"/>
  <c r="F38" i="23"/>
  <c r="G38" i="23"/>
  <c r="H38" i="23"/>
  <c r="I38" i="23"/>
  <c r="J38" i="23"/>
  <c r="K38" i="23"/>
  <c r="L38" i="23"/>
  <c r="M38" i="23"/>
  <c r="N38" i="23"/>
  <c r="C38" i="23"/>
  <c r="D37" i="23"/>
  <c r="E37" i="23"/>
  <c r="F37" i="23"/>
  <c r="G37" i="23"/>
  <c r="H37" i="23"/>
  <c r="I37" i="23"/>
  <c r="J37" i="23"/>
  <c r="K37" i="23"/>
  <c r="L37" i="23"/>
  <c r="M37" i="23"/>
  <c r="N37" i="23"/>
  <c r="C37" i="23"/>
  <c r="D36" i="23"/>
  <c r="E36" i="23"/>
  <c r="F36" i="23"/>
  <c r="G36" i="23"/>
  <c r="H36" i="23"/>
  <c r="I36" i="23"/>
  <c r="J36" i="23"/>
  <c r="K36" i="23"/>
  <c r="L36" i="23"/>
  <c r="M36" i="23"/>
  <c r="N36" i="23"/>
  <c r="C36" i="23"/>
  <c r="D35" i="23"/>
  <c r="E35" i="23"/>
  <c r="F35" i="23"/>
  <c r="G35" i="23"/>
  <c r="H35" i="23"/>
  <c r="I35" i="23"/>
  <c r="J35" i="23"/>
  <c r="K35" i="23"/>
  <c r="L35" i="23"/>
  <c r="M35" i="23"/>
  <c r="N35" i="23"/>
  <c r="C35" i="23"/>
  <c r="C34" i="23"/>
  <c r="D33" i="23"/>
  <c r="E33" i="23"/>
  <c r="F33" i="23"/>
  <c r="G33" i="23"/>
  <c r="H33" i="23"/>
  <c r="I33" i="23"/>
  <c r="J33" i="23"/>
  <c r="K33" i="23"/>
  <c r="L33" i="23"/>
  <c r="M33" i="23"/>
  <c r="N33" i="23"/>
  <c r="C33" i="23"/>
  <c r="D31" i="23"/>
  <c r="E31" i="23"/>
  <c r="F31" i="23"/>
  <c r="G31" i="23"/>
  <c r="H31" i="23"/>
  <c r="I31" i="23"/>
  <c r="J31" i="23"/>
  <c r="K31" i="23"/>
  <c r="L31" i="23"/>
  <c r="M31" i="23"/>
  <c r="N31" i="23"/>
  <c r="C31" i="23"/>
  <c r="D30" i="23"/>
  <c r="E30" i="23"/>
  <c r="F30" i="23"/>
  <c r="G30" i="23"/>
  <c r="H30" i="23"/>
  <c r="I30" i="23"/>
  <c r="J30" i="23"/>
  <c r="K30" i="23"/>
  <c r="L30" i="23"/>
  <c r="M30" i="23"/>
  <c r="N30" i="23"/>
  <c r="C30" i="23"/>
  <c r="D29" i="23"/>
  <c r="E29" i="23"/>
  <c r="F29" i="23"/>
  <c r="G29" i="23"/>
  <c r="H29" i="23"/>
  <c r="I29" i="23"/>
  <c r="J29" i="23"/>
  <c r="K29" i="23"/>
  <c r="L29" i="23"/>
  <c r="M29" i="23"/>
  <c r="N29" i="23"/>
  <c r="C29" i="23"/>
  <c r="D17" i="23"/>
  <c r="E17" i="23"/>
  <c r="F17" i="23"/>
  <c r="G17" i="23"/>
  <c r="H17" i="23"/>
  <c r="I17" i="23"/>
  <c r="J17" i="23"/>
  <c r="K17" i="23"/>
  <c r="L17" i="23"/>
  <c r="M17" i="23"/>
  <c r="N17" i="23"/>
  <c r="C17" i="23"/>
  <c r="C20" i="23" s="1"/>
  <c r="N40" i="18"/>
  <c r="M40" i="18"/>
  <c r="L40" i="18"/>
  <c r="K40" i="18"/>
  <c r="J40" i="18"/>
  <c r="I40" i="18"/>
  <c r="H40" i="18"/>
  <c r="G40" i="18"/>
  <c r="F40" i="18"/>
  <c r="E40" i="18"/>
  <c r="D40" i="18"/>
  <c r="N39" i="18"/>
  <c r="M39" i="18"/>
  <c r="L39" i="18"/>
  <c r="K39" i="18"/>
  <c r="J39" i="18"/>
  <c r="I39" i="18"/>
  <c r="H39" i="18"/>
  <c r="G39" i="18"/>
  <c r="F39" i="18"/>
  <c r="E39" i="18"/>
  <c r="D39" i="18"/>
  <c r="N38" i="18"/>
  <c r="M38" i="18"/>
  <c r="L38" i="18"/>
  <c r="K38" i="18"/>
  <c r="J38" i="18"/>
  <c r="I38" i="18"/>
  <c r="H38" i="18"/>
  <c r="G38" i="18"/>
  <c r="F38" i="18"/>
  <c r="E38" i="18"/>
  <c r="D38" i="18"/>
  <c r="N37" i="18"/>
  <c r="M37" i="18"/>
  <c r="L37" i="18"/>
  <c r="K37" i="18"/>
  <c r="J37" i="18"/>
  <c r="I37" i="18"/>
  <c r="H37" i="18"/>
  <c r="G37" i="18"/>
  <c r="F37" i="18"/>
  <c r="E37" i="18"/>
  <c r="D37" i="18"/>
  <c r="N36" i="18"/>
  <c r="M36" i="18"/>
  <c r="L36" i="18"/>
  <c r="K36" i="18"/>
  <c r="J36" i="18"/>
  <c r="I36" i="18"/>
  <c r="H36" i="18"/>
  <c r="G36" i="18"/>
  <c r="F36" i="18"/>
  <c r="E36" i="18"/>
  <c r="D36" i="18"/>
  <c r="N35" i="18"/>
  <c r="M35" i="18"/>
  <c r="L35" i="18"/>
  <c r="K35" i="18"/>
  <c r="J35" i="18"/>
  <c r="I35" i="18"/>
  <c r="H35" i="18"/>
  <c r="G35" i="18"/>
  <c r="F35" i="18"/>
  <c r="E35" i="18"/>
  <c r="D35" i="18"/>
  <c r="N34" i="18"/>
  <c r="M34" i="18"/>
  <c r="L34" i="18"/>
  <c r="K34" i="18"/>
  <c r="J34" i="18"/>
  <c r="I34" i="18"/>
  <c r="H34" i="18"/>
  <c r="G34" i="18"/>
  <c r="F34" i="18"/>
  <c r="E34" i="18"/>
  <c r="D34" i="18"/>
  <c r="N32" i="18"/>
  <c r="M32" i="18"/>
  <c r="L32" i="18"/>
  <c r="K32" i="18"/>
  <c r="J32" i="18"/>
  <c r="I32" i="18"/>
  <c r="H32" i="18"/>
  <c r="G32" i="18"/>
  <c r="F32" i="18"/>
  <c r="E32" i="18"/>
  <c r="D32" i="18"/>
  <c r="N31" i="18"/>
  <c r="M31" i="18"/>
  <c r="L31" i="18"/>
  <c r="K31" i="18"/>
  <c r="J31" i="18"/>
  <c r="I31" i="18"/>
  <c r="H31" i="18"/>
  <c r="G31" i="18"/>
  <c r="F31" i="18"/>
  <c r="E31" i="18"/>
  <c r="D31" i="18"/>
  <c r="N30" i="18"/>
  <c r="M30" i="18"/>
  <c r="L30" i="18"/>
  <c r="K30" i="18"/>
  <c r="J30" i="18"/>
  <c r="I30" i="18"/>
  <c r="H30" i="18"/>
  <c r="G30" i="18"/>
  <c r="F30" i="18"/>
  <c r="E30" i="18"/>
  <c r="D30" i="18"/>
  <c r="C40" i="18"/>
  <c r="C39" i="18"/>
  <c r="C38" i="18"/>
  <c r="C37" i="18"/>
  <c r="C36" i="18"/>
  <c r="C35" i="18"/>
  <c r="C34" i="18"/>
  <c r="C32" i="18"/>
  <c r="C31" i="18"/>
  <c r="C30" i="18"/>
  <c r="H7" i="19"/>
  <c r="H5" i="19"/>
  <c r="I7" i="18"/>
  <c r="I5" i="18"/>
  <c r="I7" i="23"/>
  <c r="I5" i="23"/>
  <c r="G7" i="16"/>
  <c r="G5" i="16"/>
  <c r="G7" i="17"/>
  <c r="G5" i="17"/>
  <c r="H7" i="8"/>
  <c r="H5" i="8"/>
  <c r="I7" i="12"/>
  <c r="I5" i="12"/>
  <c r="G56" i="10"/>
  <c r="G55" i="10"/>
  <c r="F30" i="8" s="1"/>
  <c r="I7" i="2"/>
  <c r="I5" i="2"/>
  <c r="F73" i="10"/>
  <c r="L46" i="8" s="1"/>
  <c r="F7" i="10"/>
  <c r="F5" i="10"/>
  <c r="J81" i="10"/>
  <c r="F66" i="10"/>
  <c r="L45" i="8" s="1"/>
  <c r="I68" i="8"/>
  <c r="G78" i="10"/>
  <c r="G75" i="10"/>
  <c r="G77" i="10"/>
  <c r="G76" i="10"/>
  <c r="G69" i="10"/>
  <c r="G70" i="10"/>
  <c r="G71" i="10"/>
  <c r="G72" i="10"/>
  <c r="G68" i="10"/>
  <c r="G60" i="10"/>
  <c r="G61" i="10"/>
  <c r="G62" i="10"/>
  <c r="G63" i="10"/>
  <c r="G64" i="10"/>
  <c r="G65" i="10"/>
  <c r="G59" i="10"/>
  <c r="G58" i="10"/>
  <c r="F74" i="5"/>
  <c r="G74" i="5" s="1"/>
  <c r="F75" i="5"/>
  <c r="G75" i="5" s="1"/>
  <c r="F76" i="5"/>
  <c r="G76" i="5" s="1"/>
  <c r="F73" i="5"/>
  <c r="G73" i="5" s="1"/>
  <c r="G46" i="5"/>
  <c r="H46" i="5" s="1"/>
  <c r="G47" i="5"/>
  <c r="H47" i="5" s="1"/>
  <c r="G48" i="5"/>
  <c r="G45" i="5"/>
  <c r="H45" i="5" s="1"/>
  <c r="F104" i="7"/>
  <c r="F102" i="7"/>
  <c r="F103" i="7"/>
  <c r="H103" i="7" s="1"/>
  <c r="F101" i="7"/>
  <c r="P537" i="25"/>
  <c r="P536" i="25"/>
  <c r="C536" i="25"/>
  <c r="P535" i="25"/>
  <c r="C535" i="25"/>
  <c r="P534" i="25"/>
  <c r="C534" i="25"/>
  <c r="P533" i="25"/>
  <c r="C533" i="25"/>
  <c r="AF532" i="25"/>
  <c r="P532" i="25"/>
  <c r="C532" i="25"/>
  <c r="AF531" i="25"/>
  <c r="P531" i="25"/>
  <c r="C531" i="25"/>
  <c r="AF530" i="25"/>
  <c r="P530" i="25"/>
  <c r="C530" i="25"/>
  <c r="AF529" i="25"/>
  <c r="AC529" i="25"/>
  <c r="P529" i="25"/>
  <c r="C529" i="25"/>
  <c r="AF528" i="25"/>
  <c r="AC528" i="25"/>
  <c r="P528" i="25"/>
  <c r="C528" i="25"/>
  <c r="AF527" i="25"/>
  <c r="AC527" i="25"/>
  <c r="P527" i="25"/>
  <c r="O527" i="25"/>
  <c r="C527" i="25"/>
  <c r="AF526" i="25"/>
  <c r="AC526" i="25"/>
  <c r="T526" i="25"/>
  <c r="P526" i="25"/>
  <c r="O526" i="25"/>
  <c r="H526" i="25"/>
  <c r="C526" i="25"/>
  <c r="AF525" i="25"/>
  <c r="AC525" i="25"/>
  <c r="T525" i="25"/>
  <c r="P525" i="25"/>
  <c r="O525" i="25"/>
  <c r="H525" i="25"/>
  <c r="G525" i="25"/>
  <c r="F525" i="25"/>
  <c r="E525" i="25"/>
  <c r="C525" i="25"/>
  <c r="AF524" i="25"/>
  <c r="AE524" i="25"/>
  <c r="AC524" i="25"/>
  <c r="AA524" i="25"/>
  <c r="Z524" i="25"/>
  <c r="W524" i="25"/>
  <c r="T524" i="25"/>
  <c r="P524" i="25"/>
  <c r="O524" i="25"/>
  <c r="L524" i="25"/>
  <c r="K524" i="25"/>
  <c r="H524" i="25"/>
  <c r="G524" i="25"/>
  <c r="F524" i="25"/>
  <c r="E524" i="25"/>
  <c r="C524" i="25"/>
  <c r="AF523" i="25"/>
  <c r="AE523" i="25"/>
  <c r="AC523" i="25"/>
  <c r="AA523" i="25"/>
  <c r="Z523" i="25"/>
  <c r="X523" i="25"/>
  <c r="W523" i="25"/>
  <c r="V523" i="25"/>
  <c r="U523" i="25"/>
  <c r="T523" i="25"/>
  <c r="R523" i="25"/>
  <c r="P523" i="25"/>
  <c r="O523" i="25"/>
  <c r="N523" i="25"/>
  <c r="L523" i="25"/>
  <c r="K523" i="25"/>
  <c r="H523" i="25"/>
  <c r="G523" i="25"/>
  <c r="F523" i="25"/>
  <c r="E523" i="25"/>
  <c r="C523" i="25"/>
  <c r="AH522" i="25"/>
  <c r="AG522" i="25"/>
  <c r="AF522" i="25"/>
  <c r="AE522" i="25"/>
  <c r="AD522" i="25"/>
  <c r="AC522" i="25"/>
  <c r="AB522" i="25"/>
  <c r="AA522" i="25"/>
  <c r="Z522" i="25"/>
  <c r="Y522" i="25"/>
  <c r="X522" i="25"/>
  <c r="W522" i="25"/>
  <c r="V522" i="25"/>
  <c r="U522" i="25"/>
  <c r="T522" i="25"/>
  <c r="S522" i="25"/>
  <c r="R522" i="25"/>
  <c r="Q522" i="25"/>
  <c r="P522" i="25"/>
  <c r="O522" i="25"/>
  <c r="N522" i="25"/>
  <c r="M522" i="25"/>
  <c r="L522" i="25"/>
  <c r="K522" i="25"/>
  <c r="J522" i="25"/>
  <c r="I522" i="25"/>
  <c r="H522" i="25"/>
  <c r="G522" i="25"/>
  <c r="F522" i="25"/>
  <c r="E522" i="25"/>
  <c r="D522" i="25"/>
  <c r="C522" i="25"/>
  <c r="B522" i="25"/>
  <c r="K80" i="7"/>
  <c r="J80" i="7"/>
  <c r="I80" i="7"/>
  <c r="L78" i="7"/>
  <c r="L77" i="7"/>
  <c r="L76" i="7"/>
  <c r="L75" i="7"/>
  <c r="L74" i="7"/>
  <c r="L71" i="7"/>
  <c r="L70" i="7"/>
  <c r="L69" i="7"/>
  <c r="L68" i="7"/>
  <c r="E80" i="7"/>
  <c r="D80" i="7"/>
  <c r="C80" i="7"/>
  <c r="F78" i="7"/>
  <c r="F77" i="7"/>
  <c r="F76" i="7"/>
  <c r="F79" i="7" s="1"/>
  <c r="F75" i="7"/>
  <c r="F74" i="7"/>
  <c r="F71" i="7"/>
  <c r="F70" i="7"/>
  <c r="F69" i="7"/>
  <c r="F68" i="7"/>
  <c r="K60" i="7"/>
  <c r="J60" i="7"/>
  <c r="I60" i="7"/>
  <c r="L58" i="7"/>
  <c r="L57" i="7"/>
  <c r="L56" i="7"/>
  <c r="L55" i="7"/>
  <c r="L54" i="7"/>
  <c r="L51" i="7"/>
  <c r="L50" i="7"/>
  <c r="L49" i="7"/>
  <c r="L48" i="7"/>
  <c r="E60" i="7"/>
  <c r="D60" i="7"/>
  <c r="C60" i="7"/>
  <c r="F58" i="7"/>
  <c r="F57" i="7"/>
  <c r="F56" i="7"/>
  <c r="F55" i="7"/>
  <c r="F54" i="7"/>
  <c r="F51" i="7"/>
  <c r="F50" i="7"/>
  <c r="F49" i="7"/>
  <c r="F48" i="7"/>
  <c r="K40" i="7"/>
  <c r="J40" i="7"/>
  <c r="I40" i="7"/>
  <c r="L38" i="7"/>
  <c r="L37" i="7"/>
  <c r="L36" i="7"/>
  <c r="L35" i="7"/>
  <c r="L34" i="7"/>
  <c r="L31" i="7"/>
  <c r="L30" i="7"/>
  <c r="L29" i="7"/>
  <c r="L28" i="7"/>
  <c r="F38" i="7"/>
  <c r="F37" i="7"/>
  <c r="F36" i="7"/>
  <c r="F35" i="7"/>
  <c r="F34" i="7"/>
  <c r="F28" i="7"/>
  <c r="F29" i="7"/>
  <c r="F30" i="7"/>
  <c r="F31" i="7"/>
  <c r="F129" i="7"/>
  <c r="F122" i="7"/>
  <c r="G7" i="7"/>
  <c r="G5" i="7"/>
  <c r="I64" i="7"/>
  <c r="C64" i="7"/>
  <c r="I44" i="7"/>
  <c r="C44" i="7"/>
  <c r="I24" i="7"/>
  <c r="C24" i="7"/>
  <c r="C35" i="6"/>
  <c r="C49" i="6" s="1"/>
  <c r="I23" i="6"/>
  <c r="I24" i="6"/>
  <c r="I25" i="6"/>
  <c r="I26" i="6"/>
  <c r="I22" i="6"/>
  <c r="I21" i="6"/>
  <c r="F7" i="6"/>
  <c r="F5" i="6"/>
  <c r="G89" i="7"/>
  <c r="C39" i="6"/>
  <c r="C4" i="21"/>
  <c r="C6" i="21"/>
  <c r="G7" i="5"/>
  <c r="G5" i="5"/>
  <c r="K36" i="9"/>
  <c r="D36" i="9"/>
  <c r="D30" i="9"/>
  <c r="D57" i="5"/>
  <c r="D58" i="5"/>
  <c r="D59" i="5"/>
  <c r="D60" i="5"/>
  <c r="J23" i="5"/>
  <c r="E43" i="12" s="1"/>
  <c r="J61" i="5"/>
  <c r="J60" i="5"/>
  <c r="J59" i="5"/>
  <c r="J58" i="5"/>
  <c r="J57" i="5"/>
  <c r="G56" i="6"/>
  <c r="I56" i="6" s="1"/>
  <c r="E28" i="2" s="1"/>
  <c r="G55" i="6"/>
  <c r="F40" i="6" s="1"/>
  <c r="G40" i="6" s="1"/>
  <c r="I40" i="6" s="1"/>
  <c r="G54" i="6"/>
  <c r="G53" i="6"/>
  <c r="F38" i="6" s="1"/>
  <c r="G38" i="6" s="1"/>
  <c r="I38" i="6" s="1"/>
  <c r="G52" i="6"/>
  <c r="F37" i="6" s="1"/>
  <c r="G37" i="6" s="1"/>
  <c r="G51" i="6"/>
  <c r="F36" i="6" s="1"/>
  <c r="G36" i="6" s="1"/>
  <c r="I36" i="6" s="1"/>
  <c r="C40" i="6"/>
  <c r="D50" i="5"/>
  <c r="C37" i="6"/>
  <c r="C36" i="6"/>
  <c r="D24" i="5"/>
  <c r="H102" i="7"/>
  <c r="H66" i="6"/>
  <c r="G90" i="7"/>
  <c r="C24" i="2" s="1"/>
  <c r="G91" i="7"/>
  <c r="C25" i="2" s="1"/>
  <c r="I56" i="10"/>
  <c r="D44" i="8" s="1"/>
  <c r="D61" i="5"/>
  <c r="D65" i="5"/>
  <c r="D66" i="5"/>
  <c r="D23" i="5"/>
  <c r="D25" i="5"/>
  <c r="C33" i="5"/>
  <c r="C38" i="5" s="1"/>
  <c r="D38" i="5" s="1"/>
  <c r="E27" i="12" s="1"/>
  <c r="F94" i="6"/>
  <c r="G23" i="5"/>
  <c r="G24" i="5"/>
  <c r="F44" i="19"/>
  <c r="F45" i="19"/>
  <c r="F46" i="19"/>
  <c r="F47" i="19"/>
  <c r="J47" i="19" s="1"/>
  <c r="F48" i="19"/>
  <c r="J48" i="19" s="1"/>
  <c r="F49" i="19"/>
  <c r="F33" i="5"/>
  <c r="F36" i="5" s="1"/>
  <c r="I33" i="5"/>
  <c r="I35" i="5" s="1"/>
  <c r="J35" i="5" s="1"/>
  <c r="F120" i="7"/>
  <c r="F121" i="7"/>
  <c r="F123" i="7"/>
  <c r="F124" i="7"/>
  <c r="F125" i="7"/>
  <c r="F126" i="7"/>
  <c r="F127" i="7"/>
  <c r="F128" i="7"/>
  <c r="F130" i="7"/>
  <c r="F131" i="7"/>
  <c r="H25" i="8"/>
  <c r="H23" i="8"/>
  <c r="H24" i="8"/>
  <c r="H26" i="8"/>
  <c r="H30" i="8"/>
  <c r="H31" i="8"/>
  <c r="E66" i="10"/>
  <c r="H32" i="8" s="1"/>
  <c r="E73" i="10"/>
  <c r="H33" i="8" s="1"/>
  <c r="J30" i="8"/>
  <c r="C50" i="23" s="1"/>
  <c r="O50" i="23" s="1"/>
  <c r="C51" i="18"/>
  <c r="O51" i="18" s="1"/>
  <c r="J31" i="8"/>
  <c r="C51" i="23" s="1"/>
  <c r="H35" i="17"/>
  <c r="H101" i="7"/>
  <c r="F44" i="8"/>
  <c r="H63" i="6"/>
  <c r="J44" i="8"/>
  <c r="H64" i="6"/>
  <c r="H65" i="6"/>
  <c r="H44" i="8"/>
  <c r="I24" i="19"/>
  <c r="Y89" i="16" s="1"/>
  <c r="Y90" i="16"/>
  <c r="Y91" i="16"/>
  <c r="Y92" i="16"/>
  <c r="I25" i="19"/>
  <c r="Y93" i="16" s="1"/>
  <c r="D26" i="5"/>
  <c r="D27" i="5"/>
  <c r="D28" i="5"/>
  <c r="D29" i="5"/>
  <c r="D30" i="5"/>
  <c r="D31" i="5"/>
  <c r="D32" i="5"/>
  <c r="D62" i="5"/>
  <c r="D63" i="5"/>
  <c r="D64" i="5"/>
  <c r="D67" i="5"/>
  <c r="D68" i="5"/>
  <c r="G25" i="5"/>
  <c r="G26" i="5"/>
  <c r="G27" i="5"/>
  <c r="G28" i="5"/>
  <c r="G29" i="5"/>
  <c r="G30" i="5"/>
  <c r="G31" i="5"/>
  <c r="G32" i="5"/>
  <c r="G57" i="5"/>
  <c r="G58" i="5"/>
  <c r="G59" i="5"/>
  <c r="G60" i="5"/>
  <c r="G61" i="5"/>
  <c r="G62" i="5"/>
  <c r="G63" i="5"/>
  <c r="G64" i="5"/>
  <c r="G65" i="5"/>
  <c r="G66" i="5"/>
  <c r="G67" i="5"/>
  <c r="G68" i="5"/>
  <c r="J62" i="5"/>
  <c r="J63" i="5"/>
  <c r="J64" i="5"/>
  <c r="J65" i="5"/>
  <c r="J66" i="5"/>
  <c r="J67" i="5"/>
  <c r="J68" i="5"/>
  <c r="F79" i="10"/>
  <c r="L47" i="8" s="1"/>
  <c r="F31" i="8"/>
  <c r="L39" i="2"/>
  <c r="L40" i="2"/>
  <c r="L41" i="2"/>
  <c r="L42" i="2"/>
  <c r="L43" i="2"/>
  <c r="L44" i="2"/>
  <c r="L45" i="2"/>
  <c r="L46" i="2"/>
  <c r="L47" i="2"/>
  <c r="L48" i="2"/>
  <c r="L49" i="2"/>
  <c r="L50" i="2"/>
  <c r="E79" i="10"/>
  <c r="H34" i="8" s="1"/>
  <c r="E22" i="16"/>
  <c r="F22" i="16" s="1"/>
  <c r="E23" i="16"/>
  <c r="F23" i="16" s="1"/>
  <c r="Y23" i="16" s="1"/>
  <c r="F24" i="19"/>
  <c r="V89" i="16" s="1"/>
  <c r="G24" i="19"/>
  <c r="W89" i="16" s="1"/>
  <c r="H24" i="19"/>
  <c r="X89" i="16" s="1"/>
  <c r="J24" i="19"/>
  <c r="Z89" i="16" s="1"/>
  <c r="V90" i="16"/>
  <c r="W90" i="16"/>
  <c r="X90" i="16"/>
  <c r="Z90" i="16"/>
  <c r="V91" i="16"/>
  <c r="W91" i="16"/>
  <c r="X91" i="16"/>
  <c r="Z91" i="16"/>
  <c r="V92" i="16"/>
  <c r="W92" i="16"/>
  <c r="X92" i="16"/>
  <c r="Z92" i="16"/>
  <c r="F25" i="19"/>
  <c r="V93" i="16" s="1"/>
  <c r="G25" i="19"/>
  <c r="W93" i="16" s="1"/>
  <c r="H25" i="19"/>
  <c r="X93" i="16"/>
  <c r="J25" i="19"/>
  <c r="Z93" i="16" s="1"/>
  <c r="F39" i="2"/>
  <c r="F40" i="2"/>
  <c r="F41" i="2"/>
  <c r="F42" i="2"/>
  <c r="F43" i="2"/>
  <c r="F44" i="2"/>
  <c r="F45" i="2"/>
  <c r="F46" i="2"/>
  <c r="F47" i="2"/>
  <c r="F48" i="2"/>
  <c r="F49" i="2"/>
  <c r="F50" i="2"/>
  <c r="I39" i="2"/>
  <c r="I40" i="2"/>
  <c r="I41" i="2"/>
  <c r="I42" i="2"/>
  <c r="I43" i="2"/>
  <c r="I44" i="2"/>
  <c r="I45" i="2"/>
  <c r="I46" i="2"/>
  <c r="I47" i="2"/>
  <c r="I48" i="2"/>
  <c r="I49" i="2"/>
  <c r="I50" i="2"/>
  <c r="H104" i="7"/>
  <c r="H48" i="5"/>
  <c r="L44" i="8"/>
  <c r="Z74" i="16"/>
  <c r="Z75" i="16"/>
  <c r="O39" i="2"/>
  <c r="O40" i="2"/>
  <c r="O41" i="2"/>
  <c r="O42" i="2"/>
  <c r="O43" i="2"/>
  <c r="O44" i="2"/>
  <c r="O45" i="2"/>
  <c r="O46" i="2"/>
  <c r="O47" i="2"/>
  <c r="O48" i="2"/>
  <c r="O49" i="2"/>
  <c r="O50" i="2"/>
  <c r="U59" i="16"/>
  <c r="U60" i="16"/>
  <c r="U61" i="16"/>
  <c r="U62" i="16"/>
  <c r="U63" i="16"/>
  <c r="U64" i="16"/>
  <c r="U65" i="16"/>
  <c r="U66" i="16"/>
  <c r="U67" i="16"/>
  <c r="U68" i="16"/>
  <c r="U69" i="16"/>
  <c r="U70" i="16"/>
  <c r="U71" i="16"/>
  <c r="U72" i="16"/>
  <c r="U73" i="16"/>
  <c r="V73" i="16"/>
  <c r="W73" i="16"/>
  <c r="X73" i="16"/>
  <c r="Y73" i="16"/>
  <c r="Z73" i="16"/>
  <c r="U74" i="16"/>
  <c r="U75" i="16"/>
  <c r="U76" i="16"/>
  <c r="U77" i="16"/>
  <c r="U78" i="16"/>
  <c r="V79" i="16"/>
  <c r="W79" i="16"/>
  <c r="X79" i="16"/>
  <c r="Y79" i="16"/>
  <c r="Z79" i="16"/>
  <c r="U80" i="16"/>
  <c r="W13" i="16"/>
  <c r="X13" i="16"/>
  <c r="Y13" i="16"/>
  <c r="Z13" i="16"/>
  <c r="AA13" i="16"/>
  <c r="AB13" i="16"/>
  <c r="AC13" i="16"/>
  <c r="W14" i="16"/>
  <c r="W15" i="16"/>
  <c r="W16" i="16"/>
  <c r="J42" i="16"/>
  <c r="AC42" i="16" s="1"/>
  <c r="W17" i="16"/>
  <c r="W18" i="16"/>
  <c r="W19" i="16"/>
  <c r="W20" i="16"/>
  <c r="W21" i="16"/>
  <c r="W22" i="16"/>
  <c r="W23" i="16"/>
  <c r="W24" i="16"/>
  <c r="W25" i="16"/>
  <c r="W26" i="16"/>
  <c r="W27" i="16"/>
  <c r="W28" i="16"/>
  <c r="X28" i="16"/>
  <c r="W29" i="16"/>
  <c r="W30" i="16"/>
  <c r="W31" i="16"/>
  <c r="W32" i="16"/>
  <c r="W33" i="16"/>
  <c r="W34" i="16"/>
  <c r="X34" i="16"/>
  <c r="W35" i="16"/>
  <c r="X35" i="16"/>
  <c r="W36" i="16"/>
  <c r="X36" i="16"/>
  <c r="W37" i="16"/>
  <c r="X37" i="16"/>
  <c r="W38" i="16"/>
  <c r="AC38" i="16"/>
  <c r="W39" i="16"/>
  <c r="W40" i="16"/>
  <c r="W41" i="16"/>
  <c r="AC41" i="16"/>
  <c r="W42" i="16"/>
  <c r="W43" i="16"/>
  <c r="W44" i="16"/>
  <c r="W45" i="16"/>
  <c r="W46" i="16"/>
  <c r="X46" i="16"/>
  <c r="W47" i="16"/>
  <c r="X47" i="16"/>
  <c r="Y47" i="16"/>
  <c r="W48" i="16"/>
  <c r="W49" i="16"/>
  <c r="J37" i="6"/>
  <c r="J38" i="6"/>
  <c r="C41" i="6"/>
  <c r="C38" i="6"/>
  <c r="H57" i="6"/>
  <c r="I63" i="7"/>
  <c r="C94" i="7" s="1"/>
  <c r="C56" i="6" s="1"/>
  <c r="C63" i="7"/>
  <c r="C93" i="7" s="1"/>
  <c r="C55" i="6" s="1"/>
  <c r="I43" i="7"/>
  <c r="B26" i="2" s="1"/>
  <c r="B47" i="19" s="1"/>
  <c r="B59" i="19" s="1"/>
  <c r="C43" i="7"/>
  <c r="C91" i="7" s="1"/>
  <c r="C53" i="6" s="1"/>
  <c r="I23" i="7"/>
  <c r="B24" i="2" s="1"/>
  <c r="B45" i="19" s="1"/>
  <c r="B57" i="19" s="1"/>
  <c r="C23" i="7"/>
  <c r="C89" i="7" s="1"/>
  <c r="C51" i="6" s="1"/>
  <c r="E40" i="7"/>
  <c r="D40" i="7"/>
  <c r="C40" i="7"/>
  <c r="J24" i="5"/>
  <c r="J25" i="5"/>
  <c r="J26" i="5"/>
  <c r="J27" i="5"/>
  <c r="J28" i="5"/>
  <c r="J29" i="5"/>
  <c r="J30" i="5"/>
  <c r="J31" i="5"/>
  <c r="J32" i="5"/>
  <c r="I69" i="5"/>
  <c r="F69" i="5"/>
  <c r="E58" i="12" s="1"/>
  <c r="C69" i="5"/>
  <c r="F37" i="10"/>
  <c r="L53" i="8" s="1"/>
  <c r="J24" i="17" s="1"/>
  <c r="Z69" i="16" s="1"/>
  <c r="F52" i="10"/>
  <c r="C50" i="2"/>
  <c r="C49" i="2"/>
  <c r="C48" i="2"/>
  <c r="C47" i="2"/>
  <c r="C46" i="2"/>
  <c r="C45" i="2"/>
  <c r="C44" i="2"/>
  <c r="C43" i="2"/>
  <c r="C42" i="2"/>
  <c r="C41" i="2"/>
  <c r="C40" i="2"/>
  <c r="C39" i="2"/>
  <c r="I69" i="8"/>
  <c r="L18" i="17"/>
  <c r="L19" i="17" s="1"/>
  <c r="N56" i="18"/>
  <c r="N60" i="18"/>
  <c r="M56" i="18"/>
  <c r="M60" i="18"/>
  <c r="L56" i="18"/>
  <c r="L60" i="18"/>
  <c r="K56" i="18"/>
  <c r="K60" i="18"/>
  <c r="J56" i="18"/>
  <c r="J60" i="18"/>
  <c r="I56" i="18"/>
  <c r="I60" i="18"/>
  <c r="H56" i="18"/>
  <c r="H60" i="18"/>
  <c r="G56" i="18"/>
  <c r="G60" i="18"/>
  <c r="F56" i="18"/>
  <c r="F60" i="18"/>
  <c r="E56" i="18"/>
  <c r="E60" i="18"/>
  <c r="D56" i="18"/>
  <c r="D60" i="18"/>
  <c r="O70" i="18"/>
  <c r="O66" i="18"/>
  <c r="O61" i="18"/>
  <c r="J36" i="6"/>
  <c r="G92" i="7"/>
  <c r="C26" i="2" s="1"/>
  <c r="J39" i="6"/>
  <c r="G93" i="7"/>
  <c r="J40" i="6"/>
  <c r="G94" i="7"/>
  <c r="C28" i="2" s="1"/>
  <c r="H27" i="6"/>
  <c r="J41" i="6"/>
  <c r="C23" i="2"/>
  <c r="F23" i="2" s="1"/>
  <c r="I23" i="2" s="1"/>
  <c r="L23" i="2" s="1"/>
  <c r="O23" i="2" s="1"/>
  <c r="J47" i="8"/>
  <c r="X22" i="16"/>
  <c r="I34" i="5"/>
  <c r="J34" i="5" s="1"/>
  <c r="E44" i="12" s="1"/>
  <c r="V75" i="16"/>
  <c r="J34" i="8"/>
  <c r="C54" i="23" s="1"/>
  <c r="O54" i="23" s="1"/>
  <c r="F39" i="6"/>
  <c r="G39" i="6" s="1"/>
  <c r="I39" i="6" s="1"/>
  <c r="B27" i="2"/>
  <c r="B48" i="19" s="1"/>
  <c r="B60" i="19" s="1"/>
  <c r="C92" i="7"/>
  <c r="C54" i="6" s="1"/>
  <c r="I54" i="6"/>
  <c r="E26" i="2" s="1"/>
  <c r="B28" i="2"/>
  <c r="B49" i="19" s="1"/>
  <c r="B61" i="19" s="1"/>
  <c r="C27" i="2"/>
  <c r="F27" i="2" s="1"/>
  <c r="I27" i="2" s="1"/>
  <c r="L27" i="2" s="1"/>
  <c r="O27" i="2" s="1"/>
  <c r="V74" i="16"/>
  <c r="J49" i="19"/>
  <c r="I18" i="18"/>
  <c r="C18" i="18"/>
  <c r="C21" i="18" s="1"/>
  <c r="D18" i="18"/>
  <c r="L18" i="18"/>
  <c r="G18" i="18"/>
  <c r="E18" i="18"/>
  <c r="F18" i="18"/>
  <c r="H18" i="18"/>
  <c r="K18" i="18"/>
  <c r="J18" i="18"/>
  <c r="M18" i="18"/>
  <c r="N18" i="18"/>
  <c r="AC17" i="16"/>
  <c r="F33" i="16"/>
  <c r="X33" i="16"/>
  <c r="Y33" i="16"/>
  <c r="W75" i="16"/>
  <c r="W74" i="16"/>
  <c r="X74" i="16"/>
  <c r="X75" i="16"/>
  <c r="Y74" i="16"/>
  <c r="Y75" i="16"/>
  <c r="O38" i="18" l="1"/>
  <c r="I68" i="10"/>
  <c r="D46" i="8" s="1"/>
  <c r="J46" i="8"/>
  <c r="Y22" i="16"/>
  <c r="G22" i="16"/>
  <c r="Z22" i="16" s="1"/>
  <c r="I55" i="6"/>
  <c r="E27" i="2" s="1"/>
  <c r="I75" i="10"/>
  <c r="D47" i="8" s="1"/>
  <c r="H47" i="8"/>
  <c r="F51" i="2"/>
  <c r="C55" i="18"/>
  <c r="O55" i="18" s="1"/>
  <c r="I53" i="6"/>
  <c r="E25" i="2" s="1"/>
  <c r="F41" i="6"/>
  <c r="G41" i="6" s="1"/>
  <c r="I41" i="6" s="1"/>
  <c r="F47" i="8"/>
  <c r="X23" i="16"/>
  <c r="G58" i="12"/>
  <c r="E26" i="16"/>
  <c r="F132" i="7"/>
  <c r="F33" i="18"/>
  <c r="L32" i="7"/>
  <c r="L59" i="7"/>
  <c r="G79" i="10"/>
  <c r="F34" i="8" s="1"/>
  <c r="F72" i="7"/>
  <c r="F80" i="7" s="1"/>
  <c r="L79" i="7"/>
  <c r="F28" i="2"/>
  <c r="I28" i="2" s="1"/>
  <c r="L28" i="2" s="1"/>
  <c r="O28" i="2" s="1"/>
  <c r="J61" i="19"/>
  <c r="H28" i="2"/>
  <c r="K28" i="2" s="1"/>
  <c r="N28" i="2" s="1"/>
  <c r="Q28" i="2" s="1"/>
  <c r="I61" i="19"/>
  <c r="G43" i="12"/>
  <c r="G47" i="12" s="1"/>
  <c r="J60" i="19"/>
  <c r="F52" i="7"/>
  <c r="L52" i="7"/>
  <c r="L60" i="7" s="1"/>
  <c r="L72" i="7"/>
  <c r="O37" i="23"/>
  <c r="J69" i="5"/>
  <c r="E59" i="12" s="1"/>
  <c r="H22" i="16"/>
  <c r="C52" i="18"/>
  <c r="O52" i="18" s="1"/>
  <c r="H46" i="8"/>
  <c r="F80" i="10"/>
  <c r="O31" i="18"/>
  <c r="O36" i="23"/>
  <c r="D33" i="5"/>
  <c r="E23" i="12" s="1"/>
  <c r="I39" i="5"/>
  <c r="J39" i="5" s="1"/>
  <c r="E48" i="12" s="1"/>
  <c r="O51" i="2"/>
  <c r="I51" i="2"/>
  <c r="C51" i="2"/>
  <c r="L51" i="2"/>
  <c r="I52" i="6"/>
  <c r="E24" i="2" s="1"/>
  <c r="B23" i="2"/>
  <c r="B44" i="19" s="1"/>
  <c r="B56" i="19" s="1"/>
  <c r="O37" i="18"/>
  <c r="H27" i="8"/>
  <c r="I58" i="10"/>
  <c r="D45" i="8" s="1"/>
  <c r="G66" i="10"/>
  <c r="F32" i="8" s="1"/>
  <c r="O32" i="18"/>
  <c r="N33" i="18"/>
  <c r="O39" i="18"/>
  <c r="G33" i="18"/>
  <c r="O34" i="23"/>
  <c r="C33" i="18"/>
  <c r="F39" i="7"/>
  <c r="N32" i="23"/>
  <c r="F59" i="7"/>
  <c r="F60" i="7" s="1"/>
  <c r="G46" i="19" s="1"/>
  <c r="H46" i="19" s="1"/>
  <c r="I46" i="19" s="1"/>
  <c r="J46" i="19" s="1"/>
  <c r="L39" i="7"/>
  <c r="L40" i="7" s="1"/>
  <c r="H90" i="7" s="1"/>
  <c r="I90" i="7" s="1"/>
  <c r="D24" i="2" s="1"/>
  <c r="G24" i="2" s="1"/>
  <c r="J24" i="2" s="1"/>
  <c r="M24" i="2" s="1"/>
  <c r="P24" i="2" s="1"/>
  <c r="E25" i="16"/>
  <c r="J33" i="8"/>
  <c r="C53" i="23" s="1"/>
  <c r="O53" i="23" s="1"/>
  <c r="F46" i="8"/>
  <c r="L48" i="8"/>
  <c r="J15" i="17" s="1"/>
  <c r="Z60" i="16" s="1"/>
  <c r="G73" i="10"/>
  <c r="F33" i="8" s="1"/>
  <c r="H35" i="8"/>
  <c r="E80" i="10"/>
  <c r="E81" i="10" s="1"/>
  <c r="J45" i="8"/>
  <c r="F45" i="8"/>
  <c r="J32" i="8"/>
  <c r="H45" i="8"/>
  <c r="E24" i="16"/>
  <c r="O51" i="23"/>
  <c r="G23" i="16"/>
  <c r="C39" i="5"/>
  <c r="D39" i="5" s="1"/>
  <c r="E28" i="12" s="1"/>
  <c r="F53" i="8"/>
  <c r="G24" i="17" s="1"/>
  <c r="W69" i="16" s="1"/>
  <c r="G50" i="10"/>
  <c r="H50" i="10" s="1"/>
  <c r="F25" i="8" s="1"/>
  <c r="J25" i="8" s="1"/>
  <c r="G40" i="23" s="1"/>
  <c r="J53" i="8"/>
  <c r="I24" i="17" s="1"/>
  <c r="Y69" i="16" s="1"/>
  <c r="C41" i="18"/>
  <c r="O41" i="18" s="1"/>
  <c r="D53" i="8"/>
  <c r="F24" i="17" s="1"/>
  <c r="V69" i="16" s="1"/>
  <c r="H53" i="8"/>
  <c r="H24" i="17" s="1"/>
  <c r="X69" i="16" s="1"/>
  <c r="I51" i="6"/>
  <c r="E23" i="2" s="1"/>
  <c r="I56" i="19" s="1"/>
  <c r="G57" i="6"/>
  <c r="G84" i="6" s="1"/>
  <c r="D41" i="2" s="1"/>
  <c r="J56" i="19"/>
  <c r="J42" i="6"/>
  <c r="F23" i="17"/>
  <c r="V68" i="16" s="1"/>
  <c r="G59" i="12"/>
  <c r="E33" i="18"/>
  <c r="J33" i="18"/>
  <c r="O30" i="23"/>
  <c r="G32" i="23"/>
  <c r="I32" i="23"/>
  <c r="O34" i="18"/>
  <c r="M33" i="18"/>
  <c r="D33" i="18"/>
  <c r="H33" i="18"/>
  <c r="L33" i="18"/>
  <c r="O36" i="18"/>
  <c r="K33" i="18"/>
  <c r="O31" i="23"/>
  <c r="O33" i="23"/>
  <c r="M32" i="23"/>
  <c r="K32" i="23"/>
  <c r="E32" i="23"/>
  <c r="L32" i="23"/>
  <c r="F32" i="23"/>
  <c r="O35" i="23"/>
  <c r="G69" i="5"/>
  <c r="O30" i="18"/>
  <c r="O29" i="23"/>
  <c r="O38" i="23"/>
  <c r="O40" i="18"/>
  <c r="I58" i="12"/>
  <c r="G21" i="17"/>
  <c r="W66" i="16" s="1"/>
  <c r="F21" i="17"/>
  <c r="V66" i="16" s="1"/>
  <c r="O39" i="23"/>
  <c r="J33" i="5"/>
  <c r="D32" i="23"/>
  <c r="H32" i="23"/>
  <c r="J32" i="23"/>
  <c r="I33" i="18"/>
  <c r="O35" i="18"/>
  <c r="O33" i="18" s="1"/>
  <c r="D69" i="5"/>
  <c r="E57" i="12" s="1"/>
  <c r="C32" i="23"/>
  <c r="I38" i="5"/>
  <c r="J38" i="5" s="1"/>
  <c r="E47" i="12" s="1"/>
  <c r="I36" i="5"/>
  <c r="G33" i="5"/>
  <c r="E33" i="12" s="1"/>
  <c r="G33" i="12" s="1"/>
  <c r="F35" i="5"/>
  <c r="G35" i="5" s="1"/>
  <c r="F38" i="5"/>
  <c r="G38" i="5" s="1"/>
  <c r="E37" i="12" s="1"/>
  <c r="F37" i="5"/>
  <c r="G37" i="5" s="1"/>
  <c r="E36" i="12" s="1"/>
  <c r="G36" i="5"/>
  <c r="E35" i="12" s="1"/>
  <c r="F34" i="5"/>
  <c r="G34" i="5" s="1"/>
  <c r="F39" i="5"/>
  <c r="G39" i="5" s="1"/>
  <c r="E38" i="12" s="1"/>
  <c r="N28" i="23" s="1"/>
  <c r="O28" i="23" s="1"/>
  <c r="C34" i="5"/>
  <c r="C36" i="5"/>
  <c r="C35" i="5"/>
  <c r="D35" i="5" s="1"/>
  <c r="L80" i="7"/>
  <c r="H94" i="7" s="1"/>
  <c r="I94" i="7" s="1"/>
  <c r="D28" i="2" s="1"/>
  <c r="G28" i="2" s="1"/>
  <c r="J28" i="2" s="1"/>
  <c r="M28" i="2" s="1"/>
  <c r="P28" i="2" s="1"/>
  <c r="H92" i="7"/>
  <c r="I92" i="7" s="1"/>
  <c r="D26" i="2" s="1"/>
  <c r="G26" i="2" s="1"/>
  <c r="J26" i="2" s="1"/>
  <c r="M26" i="2" s="1"/>
  <c r="P26" i="2" s="1"/>
  <c r="G47" i="19"/>
  <c r="H47" i="19" s="1"/>
  <c r="I47" i="19" s="1"/>
  <c r="F32" i="7"/>
  <c r="F40" i="7" s="1"/>
  <c r="G44" i="19" s="1"/>
  <c r="H44" i="19" s="1"/>
  <c r="I44" i="19" s="1"/>
  <c r="J44" i="19" s="1"/>
  <c r="B25" i="2"/>
  <c r="B46" i="19" s="1"/>
  <c r="B58" i="19" s="1"/>
  <c r="C90" i="7"/>
  <c r="C52" i="6" s="1"/>
  <c r="F25" i="2"/>
  <c r="I25" i="2" s="1"/>
  <c r="L25" i="2" s="1"/>
  <c r="O25" i="2" s="1"/>
  <c r="J58" i="19"/>
  <c r="O18" i="18"/>
  <c r="F24" i="2"/>
  <c r="I24" i="2" s="1"/>
  <c r="L24" i="2" s="1"/>
  <c r="O24" i="2" s="1"/>
  <c r="J57" i="19"/>
  <c r="G42" i="6"/>
  <c r="I37" i="6"/>
  <c r="I42" i="6" s="1"/>
  <c r="C29" i="2"/>
  <c r="G95" i="7"/>
  <c r="H25" i="2"/>
  <c r="K25" i="2" s="1"/>
  <c r="N25" i="2" s="1"/>
  <c r="Q25" i="2" s="1"/>
  <c r="I58" i="19"/>
  <c r="O17" i="23"/>
  <c r="H27" i="2"/>
  <c r="K27" i="2" s="1"/>
  <c r="N27" i="2" s="1"/>
  <c r="Q27" i="2" s="1"/>
  <c r="I60" i="19"/>
  <c r="H26" i="2"/>
  <c r="I59" i="19"/>
  <c r="J59" i="19"/>
  <c r="F26" i="2"/>
  <c r="I43" i="12" l="1"/>
  <c r="I47" i="12" s="1"/>
  <c r="D48" i="8"/>
  <c r="F28" i="16" s="1"/>
  <c r="Y28" i="16" s="1"/>
  <c r="H36" i="8"/>
  <c r="E45" i="16" s="1"/>
  <c r="F45" i="16" s="1"/>
  <c r="Y45" i="16" s="1"/>
  <c r="J48" i="8"/>
  <c r="I15" i="17" s="1"/>
  <c r="Y60" i="16" s="1"/>
  <c r="E27" i="16"/>
  <c r="X27" i="16" s="1"/>
  <c r="F35" i="8"/>
  <c r="H93" i="7"/>
  <c r="I93" i="7" s="1"/>
  <c r="D27" i="2" s="1"/>
  <c r="G27" i="2" s="1"/>
  <c r="G48" i="19"/>
  <c r="H48" i="19" s="1"/>
  <c r="I48" i="19" s="1"/>
  <c r="O32" i="23"/>
  <c r="X26" i="16"/>
  <c r="F26" i="16"/>
  <c r="G45" i="12"/>
  <c r="G46" i="12" s="1"/>
  <c r="G48" i="12"/>
  <c r="H40" i="23"/>
  <c r="I22" i="16"/>
  <c r="AA22" i="16"/>
  <c r="G49" i="19"/>
  <c r="H49" i="19" s="1"/>
  <c r="I49" i="19" s="1"/>
  <c r="G44" i="12"/>
  <c r="E40" i="23"/>
  <c r="E29" i="2"/>
  <c r="K47" i="19" s="1"/>
  <c r="H59" i="19" s="1"/>
  <c r="H24" i="2"/>
  <c r="K24" i="2" s="1"/>
  <c r="N24" i="2" s="1"/>
  <c r="Q24" i="2" s="1"/>
  <c r="H48" i="8"/>
  <c r="H15" i="17" s="1"/>
  <c r="X60" i="16" s="1"/>
  <c r="F48" i="8"/>
  <c r="G28" i="16" s="1"/>
  <c r="Z28" i="16" s="1"/>
  <c r="I80" i="10"/>
  <c r="G80" i="10"/>
  <c r="I67" i="8" s="1"/>
  <c r="E74" i="8" s="1"/>
  <c r="E75" i="8" s="1"/>
  <c r="J28" i="16"/>
  <c r="AC28" i="16" s="1"/>
  <c r="H28" i="18"/>
  <c r="I57" i="19"/>
  <c r="I62" i="19" s="1"/>
  <c r="G91" i="6"/>
  <c r="D48" i="2" s="1"/>
  <c r="G90" i="6"/>
  <c r="D47" i="2" s="1"/>
  <c r="G93" i="6"/>
  <c r="D50" i="2" s="1"/>
  <c r="G82" i="6"/>
  <c r="D39" i="2" s="1"/>
  <c r="M40" i="23"/>
  <c r="F24" i="10"/>
  <c r="G24" i="10" s="1"/>
  <c r="H24" i="10" s="1"/>
  <c r="I24" i="10" s="1"/>
  <c r="J24" i="10" s="1"/>
  <c r="E48" i="16"/>
  <c r="X48" i="16" s="1"/>
  <c r="H91" i="7"/>
  <c r="I91" i="7" s="1"/>
  <c r="D25" i="2" s="1"/>
  <c r="G25" i="2" s="1"/>
  <c r="J25" i="2" s="1"/>
  <c r="M25" i="2" s="1"/>
  <c r="P25" i="2" s="1"/>
  <c r="C54" i="18"/>
  <c r="O54" i="18" s="1"/>
  <c r="X25" i="16"/>
  <c r="F25" i="16"/>
  <c r="C59" i="18"/>
  <c r="F24" i="16"/>
  <c r="X24" i="16"/>
  <c r="C52" i="23"/>
  <c r="C53" i="18"/>
  <c r="J35" i="8"/>
  <c r="H23" i="16"/>
  <c r="Z23" i="16"/>
  <c r="N27" i="23"/>
  <c r="H27" i="23"/>
  <c r="L40" i="23"/>
  <c r="D40" i="23"/>
  <c r="I40" i="23"/>
  <c r="E19" i="16"/>
  <c r="X19" i="16" s="1"/>
  <c r="N40" i="23"/>
  <c r="J40" i="23"/>
  <c r="F40" i="23"/>
  <c r="C40" i="23"/>
  <c r="K40" i="23"/>
  <c r="H23" i="2"/>
  <c r="K23" i="2" s="1"/>
  <c r="N23" i="2" s="1"/>
  <c r="Q23" i="2" s="1"/>
  <c r="I57" i="6"/>
  <c r="G89" i="6"/>
  <c r="D46" i="2" s="1"/>
  <c r="G92" i="6"/>
  <c r="D49" i="2" s="1"/>
  <c r="G88" i="6"/>
  <c r="D45" i="2" s="1"/>
  <c r="G87" i="6"/>
  <c r="D44" i="2" s="1"/>
  <c r="G83" i="6"/>
  <c r="D40" i="2" s="1"/>
  <c r="G86" i="6"/>
  <c r="D43" i="2" s="1"/>
  <c r="G85" i="6"/>
  <c r="D42" i="2" s="1"/>
  <c r="I59" i="12"/>
  <c r="G23" i="17"/>
  <c r="W68" i="16" s="1"/>
  <c r="K58" i="12"/>
  <c r="H21" i="17"/>
  <c r="X66" i="16" s="1"/>
  <c r="I45" i="12"/>
  <c r="I46" i="12" s="1"/>
  <c r="I48" i="12"/>
  <c r="K43" i="12"/>
  <c r="I44" i="12"/>
  <c r="F16" i="17"/>
  <c r="G57" i="12"/>
  <c r="E60" i="12"/>
  <c r="J36" i="5"/>
  <c r="I37" i="5"/>
  <c r="J37" i="5" s="1"/>
  <c r="E46" i="12" s="1"/>
  <c r="N28" i="18"/>
  <c r="E34" i="12"/>
  <c r="E39" i="12" s="1"/>
  <c r="F20" i="17" s="1"/>
  <c r="G40" i="5"/>
  <c r="F40" i="5"/>
  <c r="N29" i="18"/>
  <c r="O29" i="18" s="1"/>
  <c r="G37" i="12"/>
  <c r="G38" i="12"/>
  <c r="G34" i="12"/>
  <c r="G35" i="12"/>
  <c r="G36" i="12" s="1"/>
  <c r="I33" i="12"/>
  <c r="C37" i="5"/>
  <c r="D37" i="5" s="1"/>
  <c r="E26" i="12" s="1"/>
  <c r="D36" i="5"/>
  <c r="E25" i="12" s="1"/>
  <c r="D34" i="5"/>
  <c r="D24" i="23"/>
  <c r="F24" i="23"/>
  <c r="H24" i="23"/>
  <c r="J24" i="23"/>
  <c r="L24" i="23"/>
  <c r="N24" i="23"/>
  <c r="M25" i="18"/>
  <c r="K25" i="18"/>
  <c r="I25" i="18"/>
  <c r="G25" i="18"/>
  <c r="E25" i="18"/>
  <c r="C25" i="18"/>
  <c r="G23" i="12"/>
  <c r="G24" i="23"/>
  <c r="K24" i="23"/>
  <c r="C24" i="23"/>
  <c r="N25" i="18"/>
  <c r="J25" i="18"/>
  <c r="F25" i="18"/>
  <c r="E24" i="23"/>
  <c r="I24" i="23"/>
  <c r="M24" i="23"/>
  <c r="L25" i="18"/>
  <c r="H25" i="18"/>
  <c r="D25" i="18"/>
  <c r="G45" i="19"/>
  <c r="H45" i="19" s="1"/>
  <c r="I45" i="19" s="1"/>
  <c r="J45" i="19" s="1"/>
  <c r="H89" i="7"/>
  <c r="I89" i="7" s="1"/>
  <c r="H120" i="7"/>
  <c r="H130" i="7"/>
  <c r="H124" i="7"/>
  <c r="H127" i="7"/>
  <c r="H126" i="7"/>
  <c r="H123" i="7"/>
  <c r="H125" i="7"/>
  <c r="H131" i="7"/>
  <c r="H129" i="7"/>
  <c r="H122" i="7"/>
  <c r="H128" i="7"/>
  <c r="H121" i="7"/>
  <c r="J62" i="19"/>
  <c r="K26" i="2"/>
  <c r="J27" i="2"/>
  <c r="I26" i="2"/>
  <c r="F29" i="2"/>
  <c r="F15" i="17" l="1"/>
  <c r="V60" i="16" s="1"/>
  <c r="G45" i="16"/>
  <c r="H45" i="16" s="1"/>
  <c r="I45" i="16" s="1"/>
  <c r="C58" i="23"/>
  <c r="O58" i="23" s="1"/>
  <c r="X45" i="16"/>
  <c r="G49" i="12"/>
  <c r="G22" i="17" s="1"/>
  <c r="W67" i="16" s="1"/>
  <c r="I28" i="16"/>
  <c r="AB28" i="16" s="1"/>
  <c r="E29" i="16"/>
  <c r="X29" i="16" s="1"/>
  <c r="G26" i="16"/>
  <c r="Y26" i="16"/>
  <c r="L47" i="19"/>
  <c r="J22" i="16"/>
  <c r="AC22" i="16" s="1"/>
  <c r="AB22" i="16"/>
  <c r="H28" i="16"/>
  <c r="AA28" i="16" s="1"/>
  <c r="H29" i="2"/>
  <c r="G13" i="17" s="1"/>
  <c r="K45" i="19"/>
  <c r="L45" i="19" s="1"/>
  <c r="K49" i="19"/>
  <c r="H61" i="19" s="1"/>
  <c r="K44" i="19"/>
  <c r="L44" i="19" s="1"/>
  <c r="F13" i="17"/>
  <c r="K48" i="19"/>
  <c r="H60" i="19" s="1"/>
  <c r="K46" i="19"/>
  <c r="L46" i="19" s="1"/>
  <c r="I49" i="12"/>
  <c r="H22" i="17" s="1"/>
  <c r="X67" i="16" s="1"/>
  <c r="G15" i="17"/>
  <c r="W60" i="16" s="1"/>
  <c r="G74" i="8"/>
  <c r="C62" i="23" s="1"/>
  <c r="F19" i="16"/>
  <c r="Y19" i="16" s="1"/>
  <c r="O28" i="18"/>
  <c r="C40" i="5"/>
  <c r="O27" i="23"/>
  <c r="G25" i="16"/>
  <c r="Y25" i="16"/>
  <c r="O52" i="23"/>
  <c r="C55" i="23"/>
  <c r="O55" i="23" s="1"/>
  <c r="Y24" i="16"/>
  <c r="G24" i="16"/>
  <c r="F27" i="16"/>
  <c r="O53" i="18"/>
  <c r="C56" i="18"/>
  <c r="O56" i="18" s="1"/>
  <c r="I23" i="16"/>
  <c r="AA23" i="16"/>
  <c r="E76" i="8"/>
  <c r="Z45" i="16"/>
  <c r="O40" i="23"/>
  <c r="G19" i="16"/>
  <c r="D51" i="2"/>
  <c r="G94" i="6"/>
  <c r="H83" i="6" s="1"/>
  <c r="E40" i="2" s="1"/>
  <c r="D13" i="18" s="1"/>
  <c r="K59" i="12"/>
  <c r="H23" i="17"/>
  <c r="X68" i="16" s="1"/>
  <c r="M58" i="12"/>
  <c r="J21" i="17" s="1"/>
  <c r="Z66" i="16" s="1"/>
  <c r="I21" i="17"/>
  <c r="Y66" i="16" s="1"/>
  <c r="K45" i="12"/>
  <c r="K46" i="12" s="1"/>
  <c r="K44" i="12"/>
  <c r="K47" i="12"/>
  <c r="M43" i="12"/>
  <c r="K48" i="12"/>
  <c r="V61" i="16"/>
  <c r="K23" i="17"/>
  <c r="G60" i="12"/>
  <c r="I57" i="12"/>
  <c r="G16" i="17"/>
  <c r="W61" i="16" s="1"/>
  <c r="I40" i="5"/>
  <c r="F42" i="5" s="1"/>
  <c r="E45" i="12"/>
  <c r="E49" i="12" s="1"/>
  <c r="F22" i="17" s="1"/>
  <c r="V67" i="16" s="1"/>
  <c r="J40" i="5"/>
  <c r="G39" i="12"/>
  <c r="G20" i="17" s="1"/>
  <c r="W65" i="16" s="1"/>
  <c r="I35" i="12"/>
  <c r="I36" i="12" s="1"/>
  <c r="I38" i="12"/>
  <c r="I37" i="12"/>
  <c r="I34" i="12"/>
  <c r="K33" i="12"/>
  <c r="V65" i="16"/>
  <c r="G27" i="12"/>
  <c r="G24" i="12"/>
  <c r="G37" i="16" s="1"/>
  <c r="Z37" i="16" s="1"/>
  <c r="I23" i="12"/>
  <c r="G28" i="12"/>
  <c r="G25" i="12"/>
  <c r="E24" i="12"/>
  <c r="D40" i="5"/>
  <c r="O24" i="23"/>
  <c r="O25" i="18"/>
  <c r="H95" i="7"/>
  <c r="D23" i="2"/>
  <c r="I95" i="7"/>
  <c r="I128" i="7" s="1"/>
  <c r="H132" i="7"/>
  <c r="L26" i="2"/>
  <c r="I29" i="2"/>
  <c r="N26" i="2"/>
  <c r="K29" i="2"/>
  <c r="H13" i="17" s="1"/>
  <c r="G49" i="2"/>
  <c r="G46" i="2"/>
  <c r="G39" i="2"/>
  <c r="G48" i="2"/>
  <c r="G43" i="2"/>
  <c r="G40" i="2"/>
  <c r="G47" i="2"/>
  <c r="G42" i="2"/>
  <c r="G41" i="2"/>
  <c r="G44" i="2"/>
  <c r="G45" i="2"/>
  <c r="G50" i="2"/>
  <c r="M27" i="2"/>
  <c r="AA45" i="16" l="1"/>
  <c r="Z26" i="16"/>
  <c r="H26" i="16"/>
  <c r="H56" i="19"/>
  <c r="L49" i="19"/>
  <c r="L48" i="19"/>
  <c r="H42" i="2"/>
  <c r="H45" i="2"/>
  <c r="H47" i="2"/>
  <c r="H39" i="2"/>
  <c r="H44" i="2"/>
  <c r="H46" i="2"/>
  <c r="H43" i="2"/>
  <c r="H57" i="19"/>
  <c r="K50" i="19"/>
  <c r="H40" i="2"/>
  <c r="H50" i="2"/>
  <c r="H48" i="2"/>
  <c r="H41" i="2"/>
  <c r="H49" i="2"/>
  <c r="H58" i="19"/>
  <c r="N27" i="18"/>
  <c r="M27" i="18"/>
  <c r="F27" i="18"/>
  <c r="H26" i="23"/>
  <c r="L27" i="18"/>
  <c r="D26" i="23"/>
  <c r="I26" i="23"/>
  <c r="I74" i="8"/>
  <c r="C62" i="18" s="1"/>
  <c r="C63" i="18"/>
  <c r="K26" i="23"/>
  <c r="F36" i="16"/>
  <c r="Y36" i="16" s="1"/>
  <c r="L26" i="23"/>
  <c r="F25" i="17"/>
  <c r="V70" i="16" s="1"/>
  <c r="E27" i="18"/>
  <c r="D27" i="18"/>
  <c r="I27" i="18"/>
  <c r="F23" i="10"/>
  <c r="G51" i="10" s="1"/>
  <c r="H51" i="10" s="1"/>
  <c r="F26" i="8" s="1"/>
  <c r="J26" i="8" s="1"/>
  <c r="E16" i="16" s="1"/>
  <c r="X16" i="16" s="1"/>
  <c r="H92" i="6"/>
  <c r="E49" i="2" s="1"/>
  <c r="M13" i="23" s="1"/>
  <c r="Z25" i="16"/>
  <c r="H25" i="16"/>
  <c r="Y27" i="16"/>
  <c r="F29" i="16"/>
  <c r="Y29" i="16" s="1"/>
  <c r="Z24" i="16"/>
  <c r="H24" i="16"/>
  <c r="G27" i="16"/>
  <c r="J23" i="16"/>
  <c r="AB23" i="16"/>
  <c r="E77" i="8"/>
  <c r="J45" i="16"/>
  <c r="AC45" i="16" s="1"/>
  <c r="AB45" i="16"/>
  <c r="H89" i="6"/>
  <c r="E46" i="2" s="1"/>
  <c r="J13" i="18" s="1"/>
  <c r="J19" i="18" s="1"/>
  <c r="K20" i="18" s="1"/>
  <c r="K21" i="18" s="1"/>
  <c r="G25" i="17"/>
  <c r="W70" i="16" s="1"/>
  <c r="H19" i="16"/>
  <c r="Z19" i="16"/>
  <c r="D13" i="23"/>
  <c r="D66" i="23" s="1"/>
  <c r="D69" i="23" s="1"/>
  <c r="H94" i="6"/>
  <c r="F26" i="10" s="1"/>
  <c r="G49" i="10" s="1"/>
  <c r="H49" i="10" s="1"/>
  <c r="H90" i="6"/>
  <c r="E47" i="2" s="1"/>
  <c r="K13" i="23" s="1"/>
  <c r="K66" i="23" s="1"/>
  <c r="H93" i="6"/>
  <c r="E50" i="2" s="1"/>
  <c r="N13" i="23" s="1"/>
  <c r="N66" i="23" s="1"/>
  <c r="N69" i="23" s="1"/>
  <c r="H85" i="6"/>
  <c r="E42" i="2" s="1"/>
  <c r="F13" i="18" s="1"/>
  <c r="F67" i="18" s="1"/>
  <c r="H84" i="6"/>
  <c r="E41" i="2" s="1"/>
  <c r="E13" i="18" s="1"/>
  <c r="E67" i="18" s="1"/>
  <c r="H88" i="6"/>
  <c r="E45" i="2" s="1"/>
  <c r="H91" i="6"/>
  <c r="E48" i="2" s="1"/>
  <c r="L13" i="23" s="1"/>
  <c r="L66" i="23" s="1"/>
  <c r="L69" i="23" s="1"/>
  <c r="H87" i="6"/>
  <c r="E44" i="2" s="1"/>
  <c r="H86" i="6"/>
  <c r="E43" i="2" s="1"/>
  <c r="H82" i="6"/>
  <c r="E39" i="2" s="1"/>
  <c r="I23" i="17"/>
  <c r="Y68" i="16" s="1"/>
  <c r="M59" i="12"/>
  <c r="J23" i="17" s="1"/>
  <c r="Z68" i="16" s="1"/>
  <c r="K49" i="12"/>
  <c r="I22" i="17" s="1"/>
  <c r="Y67" i="16" s="1"/>
  <c r="M47" i="12"/>
  <c r="M45" i="12"/>
  <c r="M46" i="12" s="1"/>
  <c r="M48" i="12"/>
  <c r="M44" i="12"/>
  <c r="H16" i="17"/>
  <c r="X61" i="16" s="1"/>
  <c r="I60" i="12"/>
  <c r="K57" i="12"/>
  <c r="H27" i="18"/>
  <c r="M26" i="23"/>
  <c r="E26" i="23"/>
  <c r="J27" i="18"/>
  <c r="C26" i="23"/>
  <c r="G26" i="23"/>
  <c r="C27" i="18"/>
  <c r="G27" i="18"/>
  <c r="K27" i="18"/>
  <c r="N26" i="23"/>
  <c r="J26" i="23"/>
  <c r="F26" i="23"/>
  <c r="K35" i="12"/>
  <c r="K36" i="12" s="1"/>
  <c r="K38" i="12"/>
  <c r="K37" i="12"/>
  <c r="M33" i="12"/>
  <c r="K34" i="12"/>
  <c r="I39" i="12"/>
  <c r="H20" i="17" s="1"/>
  <c r="G26" i="12"/>
  <c r="G36" i="16" s="1"/>
  <c r="Z36" i="16" s="1"/>
  <c r="D25" i="23"/>
  <c r="D23" i="23" s="1"/>
  <c r="D41" i="23" s="1"/>
  <c r="F25" i="23"/>
  <c r="H25" i="23"/>
  <c r="J25" i="23"/>
  <c r="L25" i="23"/>
  <c r="N25" i="23"/>
  <c r="M26" i="18"/>
  <c r="K26" i="18"/>
  <c r="I26" i="18"/>
  <c r="G26" i="18"/>
  <c r="E26" i="18"/>
  <c r="C26" i="18"/>
  <c r="F37" i="16"/>
  <c r="Y37" i="16" s="1"/>
  <c r="G25" i="23"/>
  <c r="K25" i="23"/>
  <c r="C25" i="23"/>
  <c r="N26" i="18"/>
  <c r="N24" i="18" s="1"/>
  <c r="N42" i="18" s="1"/>
  <c r="J26" i="18"/>
  <c r="F26" i="18"/>
  <c r="E25" i="23"/>
  <c r="I25" i="23"/>
  <c r="I23" i="23" s="1"/>
  <c r="I41" i="23" s="1"/>
  <c r="M25" i="23"/>
  <c r="L26" i="18"/>
  <c r="H26" i="18"/>
  <c r="D26" i="18"/>
  <c r="E29" i="12"/>
  <c r="F17" i="17" s="1"/>
  <c r="V62" i="16" s="1"/>
  <c r="I27" i="12"/>
  <c r="K23" i="12"/>
  <c r="I28" i="12"/>
  <c r="I25" i="12"/>
  <c r="I24" i="12"/>
  <c r="H37" i="16" s="1"/>
  <c r="AA37" i="16" s="1"/>
  <c r="I123" i="7"/>
  <c r="F14" i="23" s="1"/>
  <c r="F43" i="23" s="1"/>
  <c r="I130" i="7"/>
  <c r="M14" i="18" s="1"/>
  <c r="M44" i="18" s="1"/>
  <c r="M45" i="18" s="1"/>
  <c r="N46" i="18" s="1"/>
  <c r="I122" i="7"/>
  <c r="I125" i="7"/>
  <c r="I120" i="7"/>
  <c r="C14" i="18" s="1"/>
  <c r="I127" i="7"/>
  <c r="I131" i="7"/>
  <c r="N14" i="23" s="1"/>
  <c r="N43" i="23" s="1"/>
  <c r="I121" i="7"/>
  <c r="G23" i="2"/>
  <c r="D29" i="2"/>
  <c r="F14" i="17" s="1"/>
  <c r="K14" i="23"/>
  <c r="K43" i="23" s="1"/>
  <c r="K44" i="23" s="1"/>
  <c r="L45" i="23" s="1"/>
  <c r="K14" i="18"/>
  <c r="F25" i="10"/>
  <c r="I124" i="7"/>
  <c r="I126" i="7"/>
  <c r="I129" i="7"/>
  <c r="D19" i="18"/>
  <c r="E20" i="18" s="1"/>
  <c r="E21" i="18" s="1"/>
  <c r="D67" i="18"/>
  <c r="P27" i="2"/>
  <c r="N29" i="2"/>
  <c r="I13" i="17" s="1"/>
  <c r="Q26" i="2"/>
  <c r="Q29" i="2" s="1"/>
  <c r="J13" i="17" s="1"/>
  <c r="O26" i="2"/>
  <c r="O29" i="2" s="1"/>
  <c r="L29" i="2"/>
  <c r="G51" i="2"/>
  <c r="J43" i="2"/>
  <c r="K43" i="2" s="1"/>
  <c r="J47" i="2"/>
  <c r="K47" i="2" s="1"/>
  <c r="J48" i="2"/>
  <c r="K48" i="2" s="1"/>
  <c r="J40" i="2"/>
  <c r="K40" i="2" s="1"/>
  <c r="J42" i="2"/>
  <c r="K42" i="2" s="1"/>
  <c r="J46" i="2"/>
  <c r="K46" i="2" s="1"/>
  <c r="J39" i="2"/>
  <c r="K39" i="2" s="1"/>
  <c r="J44" i="2"/>
  <c r="K44" i="2" s="1"/>
  <c r="J50" i="2"/>
  <c r="K50" i="2" s="1"/>
  <c r="J41" i="2"/>
  <c r="K41" i="2" s="1"/>
  <c r="J45" i="2"/>
  <c r="K45" i="2" s="1"/>
  <c r="J49" i="2"/>
  <c r="K49" i="2" s="1"/>
  <c r="F24" i="18" l="1"/>
  <c r="F42" i="18" s="1"/>
  <c r="K23" i="23"/>
  <c r="K41" i="23" s="1"/>
  <c r="M24" i="18"/>
  <c r="M42" i="18" s="1"/>
  <c r="AA26" i="16"/>
  <c r="I26" i="16"/>
  <c r="K74" i="8"/>
  <c r="G75" i="8" s="1"/>
  <c r="D63" i="18" s="1"/>
  <c r="C64" i="18"/>
  <c r="H62" i="19"/>
  <c r="L50" i="19"/>
  <c r="L24" i="18"/>
  <c r="L42" i="18" s="1"/>
  <c r="H23" i="23"/>
  <c r="H41" i="23" s="1"/>
  <c r="G35" i="16"/>
  <c r="Z35" i="16" s="1"/>
  <c r="H51" i="2"/>
  <c r="K13" i="18"/>
  <c r="K67" i="18" s="1"/>
  <c r="C61" i="23"/>
  <c r="C63" i="23" s="1"/>
  <c r="D24" i="18"/>
  <c r="D42" i="18" s="1"/>
  <c r="E23" i="23"/>
  <c r="E41" i="23" s="1"/>
  <c r="J23" i="23"/>
  <c r="J41" i="23" s="1"/>
  <c r="E24" i="18"/>
  <c r="E42" i="18" s="1"/>
  <c r="G23" i="10"/>
  <c r="H23" i="10" s="1"/>
  <c r="I23" i="10" s="1"/>
  <c r="J23" i="10" s="1"/>
  <c r="L23" i="23"/>
  <c r="L41" i="23" s="1"/>
  <c r="M49" i="12"/>
  <c r="J22" i="17" s="1"/>
  <c r="Z67" i="16" s="1"/>
  <c r="I24" i="18"/>
  <c r="I42" i="18" s="1"/>
  <c r="H24" i="18"/>
  <c r="H42" i="18" s="1"/>
  <c r="K24" i="18"/>
  <c r="K42" i="18" s="1"/>
  <c r="E13" i="23"/>
  <c r="E66" i="23" s="1"/>
  <c r="J67" i="18"/>
  <c r="N14" i="18"/>
  <c r="N44" i="18" s="1"/>
  <c r="N45" i="18" s="1"/>
  <c r="N47" i="18" s="1"/>
  <c r="N48" i="18" s="1"/>
  <c r="D18" i="23"/>
  <c r="E19" i="23" s="1"/>
  <c r="E20" i="23" s="1"/>
  <c r="F13" i="23"/>
  <c r="F18" i="23" s="1"/>
  <c r="G19" i="23" s="1"/>
  <c r="G20" i="23" s="1"/>
  <c r="F19" i="18"/>
  <c r="G20" i="18" s="1"/>
  <c r="G21" i="18" s="1"/>
  <c r="G26" i="10"/>
  <c r="G17" i="16" s="1"/>
  <c r="Y17" i="16" s="1"/>
  <c r="N13" i="18"/>
  <c r="N67" i="18" s="1"/>
  <c r="E17" i="16"/>
  <c r="F17" i="16" s="1"/>
  <c r="L18" i="23"/>
  <c r="M19" i="23" s="1"/>
  <c r="M20" i="23" s="1"/>
  <c r="E19" i="18"/>
  <c r="F20" i="18" s="1"/>
  <c r="F21" i="18" s="1"/>
  <c r="M13" i="18"/>
  <c r="M19" i="18" s="1"/>
  <c r="N20" i="18" s="1"/>
  <c r="N21" i="18" s="1"/>
  <c r="J13" i="23"/>
  <c r="AA25" i="16"/>
  <c r="I25" i="16"/>
  <c r="Z27" i="16"/>
  <c r="G29" i="16"/>
  <c r="Z29" i="16" s="1"/>
  <c r="AA24" i="16"/>
  <c r="I24" i="16"/>
  <c r="H27" i="16"/>
  <c r="AC23" i="16"/>
  <c r="E78" i="8"/>
  <c r="K39" i="12"/>
  <c r="I20" i="17" s="1"/>
  <c r="I25" i="17" s="1"/>
  <c r="Y70" i="16" s="1"/>
  <c r="O27" i="18"/>
  <c r="M23" i="23"/>
  <c r="M41" i="23" s="1"/>
  <c r="J24" i="18"/>
  <c r="J42" i="18" s="1"/>
  <c r="G23" i="23"/>
  <c r="G41" i="23" s="1"/>
  <c r="G24" i="18"/>
  <c r="G42" i="18" s="1"/>
  <c r="N23" i="23"/>
  <c r="N41" i="23" s="1"/>
  <c r="F23" i="23"/>
  <c r="F41" i="23" s="1"/>
  <c r="G29" i="12"/>
  <c r="G17" i="17" s="1"/>
  <c r="W62" i="16" s="1"/>
  <c r="I19" i="16"/>
  <c r="AA19" i="16"/>
  <c r="K18" i="23"/>
  <c r="L19" i="23" s="1"/>
  <c r="L20" i="23" s="1"/>
  <c r="N18" i="23"/>
  <c r="F35" i="16"/>
  <c r="Y35" i="16" s="1"/>
  <c r="G13" i="23"/>
  <c r="G13" i="18"/>
  <c r="E51" i="2"/>
  <c r="L13" i="18"/>
  <c r="C13" i="23"/>
  <c r="C13" i="18"/>
  <c r="H13" i="18"/>
  <c r="H13" i="23"/>
  <c r="I13" i="23"/>
  <c r="I13" i="18"/>
  <c r="O26" i="23"/>
  <c r="I16" i="17"/>
  <c r="Y61" i="16" s="1"/>
  <c r="M57" i="12"/>
  <c r="K60" i="12"/>
  <c r="G53" i="19"/>
  <c r="F59" i="19" s="1"/>
  <c r="M34" i="12"/>
  <c r="M35" i="12"/>
  <c r="M36" i="12" s="1"/>
  <c r="M38" i="12"/>
  <c r="M37" i="12"/>
  <c r="X65" i="16"/>
  <c r="H25" i="17"/>
  <c r="X70" i="16" s="1"/>
  <c r="I26" i="12"/>
  <c r="H36" i="16" s="1"/>
  <c r="AA36" i="16" s="1"/>
  <c r="M23" i="12"/>
  <c r="K27" i="12"/>
  <c r="K28" i="12"/>
  <c r="K25" i="12"/>
  <c r="K24" i="12"/>
  <c r="I37" i="16" s="1"/>
  <c r="AB37" i="16" s="1"/>
  <c r="O25" i="23"/>
  <c r="C23" i="23"/>
  <c r="C41" i="23" s="1"/>
  <c r="O26" i="18"/>
  <c r="C24" i="18"/>
  <c r="C42" i="18" s="1"/>
  <c r="F14" i="18"/>
  <c r="F44" i="18" s="1"/>
  <c r="F45" i="18" s="1"/>
  <c r="G46" i="18" s="1"/>
  <c r="M14" i="23"/>
  <c r="M43" i="23" s="1"/>
  <c r="M44" i="23" s="1"/>
  <c r="N45" i="23" s="1"/>
  <c r="E14" i="23"/>
  <c r="E14" i="18"/>
  <c r="F44" i="23"/>
  <c r="G45" i="23" s="1"/>
  <c r="C14" i="23"/>
  <c r="D14" i="23"/>
  <c r="D43" i="23" s="1"/>
  <c r="D44" i="23" s="1"/>
  <c r="E45" i="23" s="1"/>
  <c r="D14" i="18"/>
  <c r="D44" i="18" s="1"/>
  <c r="D45" i="18" s="1"/>
  <c r="E46" i="18" s="1"/>
  <c r="J14" i="23"/>
  <c r="J14" i="18"/>
  <c r="H14" i="18"/>
  <c r="H44" i="18" s="1"/>
  <c r="H45" i="18" s="1"/>
  <c r="I46" i="18" s="1"/>
  <c r="H14" i="23"/>
  <c r="H43" i="23" s="1"/>
  <c r="H44" i="23" s="1"/>
  <c r="I45" i="23" s="1"/>
  <c r="I14" i="18"/>
  <c r="I14" i="23"/>
  <c r="I43" i="23" s="1"/>
  <c r="G25" i="10"/>
  <c r="G48" i="10"/>
  <c r="J23" i="2"/>
  <c r="G29" i="2"/>
  <c r="G14" i="17" s="1"/>
  <c r="I132" i="7"/>
  <c r="E40" i="10" s="1"/>
  <c r="F40" i="10" s="1"/>
  <c r="G33" i="16" s="1"/>
  <c r="Z33" i="16" s="1"/>
  <c r="F27" i="10"/>
  <c r="L14" i="18"/>
  <c r="L44" i="18" s="1"/>
  <c r="L14" i="23"/>
  <c r="L43" i="23" s="1"/>
  <c r="G14" i="23"/>
  <c r="G43" i="23" s="1"/>
  <c r="G44" i="23" s="1"/>
  <c r="H45" i="23" s="1"/>
  <c r="G14" i="18"/>
  <c r="G44" i="18" s="1"/>
  <c r="K44" i="18"/>
  <c r="K45" i="18" s="1"/>
  <c r="L46" i="18" s="1"/>
  <c r="V59" i="16"/>
  <c r="F18" i="17"/>
  <c r="F31" i="19"/>
  <c r="V99" i="16" s="1"/>
  <c r="N44" i="23"/>
  <c r="C44" i="18"/>
  <c r="C45" i="18" s="1"/>
  <c r="F24" i="8"/>
  <c r="M66" i="23"/>
  <c r="M18" i="23"/>
  <c r="N19" i="23" s="1"/>
  <c r="N20" i="23" s="1"/>
  <c r="H35" i="16"/>
  <c r="AA35" i="16" s="1"/>
  <c r="M67" i="23"/>
  <c r="G68" i="18"/>
  <c r="J51" i="2"/>
  <c r="M48" i="2"/>
  <c r="N48" i="2" s="1"/>
  <c r="M39" i="2"/>
  <c r="N39" i="2" s="1"/>
  <c r="M49" i="2"/>
  <c r="N49" i="2" s="1"/>
  <c r="M40" i="2"/>
  <c r="N40" i="2" s="1"/>
  <c r="M45" i="2"/>
  <c r="N45" i="2" s="1"/>
  <c r="M47" i="2"/>
  <c r="N47" i="2" s="1"/>
  <c r="M41" i="2"/>
  <c r="N41" i="2" s="1"/>
  <c r="M42" i="2"/>
  <c r="N42" i="2" s="1"/>
  <c r="M44" i="2"/>
  <c r="N44" i="2" s="1"/>
  <c r="M46" i="2"/>
  <c r="N46" i="2" s="1"/>
  <c r="M50" i="2"/>
  <c r="N50" i="2" s="1"/>
  <c r="M43" i="2"/>
  <c r="N43" i="2" s="1"/>
  <c r="K51" i="2"/>
  <c r="P39" i="2"/>
  <c r="Q39" i="2" s="1"/>
  <c r="P50" i="2"/>
  <c r="Q50" i="2" s="1"/>
  <c r="P45" i="2"/>
  <c r="Q45" i="2" s="1"/>
  <c r="P43" i="2"/>
  <c r="Q43" i="2" s="1"/>
  <c r="P49" i="2"/>
  <c r="Q49" i="2" s="1"/>
  <c r="P48" i="2"/>
  <c r="Q48" i="2" s="1"/>
  <c r="P40" i="2"/>
  <c r="Q40" i="2" s="1"/>
  <c r="P42" i="2"/>
  <c r="Q42" i="2" s="1"/>
  <c r="P44" i="2"/>
  <c r="Q44" i="2" s="1"/>
  <c r="P47" i="2"/>
  <c r="Q47" i="2" s="1"/>
  <c r="P41" i="2"/>
  <c r="Q41" i="2" s="1"/>
  <c r="P46" i="2"/>
  <c r="Q46" i="2" s="1"/>
  <c r="D62" i="23" l="1"/>
  <c r="I75" i="8"/>
  <c r="K75" i="8" s="1"/>
  <c r="J26" i="16"/>
  <c r="AC26" i="16" s="1"/>
  <c r="AB26" i="16"/>
  <c r="K19" i="18"/>
  <c r="L20" i="18" s="1"/>
  <c r="L21" i="18" s="1"/>
  <c r="O24" i="18"/>
  <c r="O42" i="18" s="1"/>
  <c r="Y65" i="16"/>
  <c r="M67" i="18"/>
  <c r="E18" i="23"/>
  <c r="F19" i="23" s="1"/>
  <c r="F20" i="23" s="1"/>
  <c r="F66" i="23"/>
  <c r="F69" i="23" s="1"/>
  <c r="N46" i="23"/>
  <c r="N47" i="23" s="1"/>
  <c r="N48" i="23" s="1"/>
  <c r="N19" i="18"/>
  <c r="G27" i="10"/>
  <c r="H26" i="10"/>
  <c r="I26" i="10" s="1"/>
  <c r="I17" i="16" s="1"/>
  <c r="X17" i="16"/>
  <c r="J18" i="23"/>
  <c r="K19" i="23" s="1"/>
  <c r="K20" i="23" s="1"/>
  <c r="J66" i="23"/>
  <c r="J69" i="23" s="1"/>
  <c r="G67" i="23"/>
  <c r="AB25" i="16"/>
  <c r="J25" i="16"/>
  <c r="AC25" i="16" s="1"/>
  <c r="AA27" i="16"/>
  <c r="H29" i="16"/>
  <c r="AA29" i="16" s="1"/>
  <c r="AB24" i="16"/>
  <c r="J24" i="16"/>
  <c r="I27" i="16"/>
  <c r="E79" i="8"/>
  <c r="D61" i="23"/>
  <c r="O23" i="23"/>
  <c r="O41" i="23" s="1"/>
  <c r="J19" i="16"/>
  <c r="AC19" i="16" s="1"/>
  <c r="AB19" i="16"/>
  <c r="O13" i="23"/>
  <c r="O18" i="23" s="1"/>
  <c r="F61" i="19"/>
  <c r="K61" i="19" s="1"/>
  <c r="O13" i="18"/>
  <c r="O19" i="18" s="1"/>
  <c r="I18" i="23"/>
  <c r="J19" i="23" s="1"/>
  <c r="J20" i="23" s="1"/>
  <c r="I66" i="23"/>
  <c r="H67" i="18"/>
  <c r="H19" i="18"/>
  <c r="I20" i="18" s="1"/>
  <c r="I21" i="18" s="1"/>
  <c r="C18" i="23"/>
  <c r="D19" i="23" s="1"/>
  <c r="D20" i="23" s="1"/>
  <c r="C66" i="23"/>
  <c r="G19" i="18"/>
  <c r="H20" i="18" s="1"/>
  <c r="H21" i="18" s="1"/>
  <c r="G67" i="18"/>
  <c r="F56" i="19"/>
  <c r="K56" i="19" s="1"/>
  <c r="I67" i="18"/>
  <c r="K68" i="18" s="1"/>
  <c r="I19" i="18"/>
  <c r="J20" i="18" s="1"/>
  <c r="J21" i="18" s="1"/>
  <c r="H66" i="23"/>
  <c r="H69" i="23" s="1"/>
  <c r="H18" i="23"/>
  <c r="I19" i="23" s="1"/>
  <c r="I20" i="23" s="1"/>
  <c r="C67" i="18"/>
  <c r="E68" i="18" s="1"/>
  <c r="C19" i="18"/>
  <c r="D20" i="18" s="1"/>
  <c r="D21" i="18" s="1"/>
  <c r="L19" i="18"/>
  <c r="M20" i="18" s="1"/>
  <c r="M21" i="18" s="1"/>
  <c r="L67" i="18"/>
  <c r="M68" i="18" s="1"/>
  <c r="G18" i="23"/>
  <c r="H19" i="23" s="1"/>
  <c r="H20" i="23" s="1"/>
  <c r="G66" i="23"/>
  <c r="F57" i="19"/>
  <c r="G57" i="19" s="1"/>
  <c r="L57" i="19" s="1"/>
  <c r="J16" i="17"/>
  <c r="Z61" i="16" s="1"/>
  <c r="M60" i="12"/>
  <c r="F60" i="19"/>
  <c r="F58" i="19"/>
  <c r="K58" i="19" s="1"/>
  <c r="M39" i="12"/>
  <c r="J20" i="17" s="1"/>
  <c r="Z65" i="16" s="1"/>
  <c r="I29" i="12"/>
  <c r="H17" i="17" s="1"/>
  <c r="X62" i="16" s="1"/>
  <c r="K26" i="12"/>
  <c r="I36" i="16" s="1"/>
  <c r="AB36" i="16" s="1"/>
  <c r="M28" i="12"/>
  <c r="M25" i="12"/>
  <c r="M24" i="12"/>
  <c r="J37" i="16" s="1"/>
  <c r="AC37" i="16" s="1"/>
  <c r="M27" i="12"/>
  <c r="G40" i="10"/>
  <c r="H40" i="10" s="1"/>
  <c r="O14" i="23"/>
  <c r="C43" i="23"/>
  <c r="C44" i="23" s="1"/>
  <c r="H46" i="23"/>
  <c r="H47" i="23" s="1"/>
  <c r="E44" i="18"/>
  <c r="N49" i="18"/>
  <c r="E43" i="23"/>
  <c r="E44" i="23" s="1"/>
  <c r="F45" i="23" s="1"/>
  <c r="F46" i="23" s="1"/>
  <c r="F47" i="23" s="1"/>
  <c r="J44" i="18"/>
  <c r="J45" i="18" s="1"/>
  <c r="K46" i="18" s="1"/>
  <c r="K47" i="18" s="1"/>
  <c r="K48" i="18" s="1"/>
  <c r="K49" i="18" s="1"/>
  <c r="O14" i="18"/>
  <c r="J43" i="23"/>
  <c r="J44" i="23" s="1"/>
  <c r="K45" i="23" s="1"/>
  <c r="K46" i="23" s="1"/>
  <c r="K47" i="23" s="1"/>
  <c r="L45" i="18"/>
  <c r="M46" i="18" s="1"/>
  <c r="M47" i="18" s="1"/>
  <c r="M48" i="18" s="1"/>
  <c r="G18" i="17"/>
  <c r="W59" i="16"/>
  <c r="G31" i="19"/>
  <c r="W99" i="16" s="1"/>
  <c r="H48" i="10"/>
  <c r="G52" i="10"/>
  <c r="F81" i="10" s="1"/>
  <c r="I44" i="23"/>
  <c r="J45" i="23" s="1"/>
  <c r="V63" i="16"/>
  <c r="F19" i="17"/>
  <c r="G45" i="18"/>
  <c r="H46" i="18" s="1"/>
  <c r="H47" i="18" s="1"/>
  <c r="H48" i="18" s="1"/>
  <c r="L44" i="23"/>
  <c r="M45" i="23" s="1"/>
  <c r="M46" i="23" s="1"/>
  <c r="M47" i="23" s="1"/>
  <c r="M48" i="23" s="1"/>
  <c r="M23" i="2"/>
  <c r="J29" i="2"/>
  <c r="H14" i="17" s="1"/>
  <c r="H25" i="10"/>
  <c r="G18" i="16"/>
  <c r="I44" i="18"/>
  <c r="I45" i="18" s="1"/>
  <c r="D46" i="18"/>
  <c r="C47" i="18"/>
  <c r="C48" i="18" s="1"/>
  <c r="G46" i="23"/>
  <c r="G47" i="23" s="1"/>
  <c r="I35" i="16"/>
  <c r="AB35" i="16" s="1"/>
  <c r="M69" i="23"/>
  <c r="J24" i="8"/>
  <c r="Q51" i="2"/>
  <c r="J35" i="16"/>
  <c r="AC35" i="16" s="1"/>
  <c r="P51" i="2"/>
  <c r="G60" i="19"/>
  <c r="L60" i="19" s="1"/>
  <c r="G59" i="19"/>
  <c r="L59" i="19" s="1"/>
  <c r="K59" i="19"/>
  <c r="N51" i="2"/>
  <c r="M51" i="2"/>
  <c r="G61" i="19"/>
  <c r="L61" i="19" s="1"/>
  <c r="D62" i="18" l="1"/>
  <c r="D64" i="18" s="1"/>
  <c r="J25" i="17"/>
  <c r="Z70" i="16" s="1"/>
  <c r="G58" i="19"/>
  <c r="L58" i="19" s="1"/>
  <c r="K57" i="19"/>
  <c r="F48" i="23"/>
  <c r="H17" i="16"/>
  <c r="Z17" i="16" s="1"/>
  <c r="J26" i="10"/>
  <c r="J17" i="16" s="1"/>
  <c r="K67" i="23"/>
  <c r="K69" i="23" s="1"/>
  <c r="K48" i="23"/>
  <c r="I29" i="16"/>
  <c r="AB29" i="16" s="1"/>
  <c r="AB27" i="16"/>
  <c r="AC24" i="16"/>
  <c r="J27" i="16"/>
  <c r="D63" i="23"/>
  <c r="G76" i="8"/>
  <c r="E80" i="8"/>
  <c r="G56" i="19"/>
  <c r="L56" i="19" s="1"/>
  <c r="O19" i="23"/>
  <c r="O20" i="23" s="1"/>
  <c r="H49" i="18"/>
  <c r="O20" i="18"/>
  <c r="O21" i="18" s="1"/>
  <c r="O67" i="18"/>
  <c r="M49" i="18"/>
  <c r="H48" i="23"/>
  <c r="I67" i="23"/>
  <c r="I69" i="23" s="1"/>
  <c r="O66" i="23"/>
  <c r="I68" i="18"/>
  <c r="O68" i="18" s="1"/>
  <c r="C69" i="23"/>
  <c r="E67" i="23"/>
  <c r="G69" i="23"/>
  <c r="F62" i="19"/>
  <c r="K60" i="19"/>
  <c r="K29" i="12"/>
  <c r="I17" i="17" s="1"/>
  <c r="Y62" i="16" s="1"/>
  <c r="M26" i="12"/>
  <c r="M29" i="12" s="1"/>
  <c r="J17" i="17" s="1"/>
  <c r="Z62" i="16" s="1"/>
  <c r="H33" i="16"/>
  <c r="AA33" i="16" s="1"/>
  <c r="O43" i="23"/>
  <c r="E46" i="23"/>
  <c r="E47" i="23" s="1"/>
  <c r="E48" i="23" s="1"/>
  <c r="E45" i="18"/>
  <c r="F46" i="18" s="1"/>
  <c r="F47" i="18" s="1"/>
  <c r="F48" i="18" s="1"/>
  <c r="F49" i="18" s="1"/>
  <c r="O44" i="18"/>
  <c r="L46" i="23"/>
  <c r="L47" i="23" s="1"/>
  <c r="L48" i="23" s="1"/>
  <c r="G47" i="18"/>
  <c r="G48" i="18" s="1"/>
  <c r="G49" i="18" s="1"/>
  <c r="L47" i="18"/>
  <c r="L48" i="18" s="1"/>
  <c r="L49" i="18" s="1"/>
  <c r="J46" i="23"/>
  <c r="J47" i="23" s="1"/>
  <c r="J48" i="23" s="1"/>
  <c r="J46" i="18"/>
  <c r="J47" i="18" s="1"/>
  <c r="J48" i="18" s="1"/>
  <c r="J49" i="18" s="1"/>
  <c r="Z18" i="16"/>
  <c r="G52" i="16"/>
  <c r="H18" i="17"/>
  <c r="X59" i="16"/>
  <c r="H31" i="19"/>
  <c r="X99" i="16" s="1"/>
  <c r="V64" i="16"/>
  <c r="F26" i="17"/>
  <c r="F28" i="19"/>
  <c r="V96" i="16" s="1"/>
  <c r="F23" i="8"/>
  <c r="H52" i="10"/>
  <c r="G81" i="10" s="1"/>
  <c r="G82" i="10" s="1"/>
  <c r="I47" i="18"/>
  <c r="I48" i="18" s="1"/>
  <c r="I49" i="18" s="1"/>
  <c r="I25" i="10"/>
  <c r="H18" i="16"/>
  <c r="H27" i="10"/>
  <c r="P23" i="2"/>
  <c r="P29" i="2" s="1"/>
  <c r="J14" i="17" s="1"/>
  <c r="M29" i="2"/>
  <c r="I14" i="17" s="1"/>
  <c r="I46" i="23"/>
  <c r="I47" i="23" s="1"/>
  <c r="I48" i="23" s="1"/>
  <c r="B81" i="18"/>
  <c r="F82" i="10"/>
  <c r="B79" i="18"/>
  <c r="E82" i="10"/>
  <c r="W63" i="16"/>
  <c r="G19" i="17"/>
  <c r="I40" i="10"/>
  <c r="J33" i="16" s="1"/>
  <c r="AC33" i="16" s="1"/>
  <c r="I33" i="16"/>
  <c r="AB33" i="16" s="1"/>
  <c r="D45" i="23"/>
  <c r="O44" i="23"/>
  <c r="C49" i="18"/>
  <c r="D47" i="18"/>
  <c r="D48" i="18" s="1"/>
  <c r="D49" i="18" s="1"/>
  <c r="C46" i="23"/>
  <c r="C47" i="23" s="1"/>
  <c r="C48" i="23" s="1"/>
  <c r="G48" i="23"/>
  <c r="AA17" i="16"/>
  <c r="L62" i="19" l="1"/>
  <c r="K62" i="19"/>
  <c r="F35" i="19" s="1"/>
  <c r="V103" i="16" s="1"/>
  <c r="AC27" i="16"/>
  <c r="J29" i="16"/>
  <c r="AC29" i="16" s="1"/>
  <c r="D65" i="18"/>
  <c r="D71" i="18" s="1"/>
  <c r="D75" i="18" s="1"/>
  <c r="D81" i="18" s="1"/>
  <c r="E63" i="18"/>
  <c r="E62" i="23"/>
  <c r="I76" i="8"/>
  <c r="E81" i="8"/>
  <c r="G62" i="19"/>
  <c r="O67" i="23"/>
  <c r="O69" i="23" s="1"/>
  <c r="E69" i="23"/>
  <c r="J36" i="16"/>
  <c r="AC36" i="16" s="1"/>
  <c r="O45" i="18"/>
  <c r="O46" i="18"/>
  <c r="E47" i="18"/>
  <c r="E48" i="18" s="1"/>
  <c r="E49" i="18" s="1"/>
  <c r="W64" i="16"/>
  <c r="G28" i="19"/>
  <c r="W96" i="16" s="1"/>
  <c r="G26" i="17"/>
  <c r="J18" i="17"/>
  <c r="J31" i="19"/>
  <c r="Z99" i="16" s="1"/>
  <c r="Z59" i="16"/>
  <c r="AA18" i="16"/>
  <c r="H52" i="16"/>
  <c r="I31" i="19"/>
  <c r="Y99" i="16" s="1"/>
  <c r="I18" i="17"/>
  <c r="Y59" i="16"/>
  <c r="J25" i="10"/>
  <c r="I18" i="16"/>
  <c r="I27" i="10"/>
  <c r="J23" i="8"/>
  <c r="F27" i="8"/>
  <c r="F36" i="8" s="1"/>
  <c r="F29" i="19"/>
  <c r="V97" i="16" s="1"/>
  <c r="V71" i="16"/>
  <c r="X63" i="16"/>
  <c r="H19" i="17"/>
  <c r="D46" i="23"/>
  <c r="D47" i="23" s="1"/>
  <c r="D48" i="23" s="1"/>
  <c r="D64" i="23" s="1"/>
  <c r="D70" i="23" s="1"/>
  <c r="D74" i="23" s="1"/>
  <c r="O45" i="23"/>
  <c r="O46" i="23" s="1"/>
  <c r="AB17" i="16"/>
  <c r="O47" i="18" l="1"/>
  <c r="D79" i="18"/>
  <c r="E82" i="8"/>
  <c r="E62" i="18"/>
  <c r="E61" i="23"/>
  <c r="K76" i="8"/>
  <c r="O49" i="18"/>
  <c r="O48" i="18"/>
  <c r="C57" i="23"/>
  <c r="C58" i="18"/>
  <c r="C60" i="18" s="1"/>
  <c r="C65" i="18" s="1"/>
  <c r="J18" i="16"/>
  <c r="J27" i="10"/>
  <c r="Y63" i="16"/>
  <c r="I19" i="17"/>
  <c r="Z63" i="16"/>
  <c r="J19" i="17"/>
  <c r="X64" i="16"/>
  <c r="H28" i="19"/>
  <c r="X96" i="16" s="1"/>
  <c r="H26" i="17"/>
  <c r="E18" i="16"/>
  <c r="J27" i="8"/>
  <c r="J36" i="8" s="1"/>
  <c r="H37" i="8" s="1"/>
  <c r="AB18" i="16"/>
  <c r="I52" i="16"/>
  <c r="G29" i="19"/>
  <c r="W97" i="16" s="1"/>
  <c r="W71" i="16"/>
  <c r="O47" i="23"/>
  <c r="O48" i="23"/>
  <c r="G77" i="8" l="1"/>
  <c r="E63" i="23"/>
  <c r="E83" i="8"/>
  <c r="E64" i="18"/>
  <c r="F18" i="16"/>
  <c r="E20" i="16"/>
  <c r="X18" i="16"/>
  <c r="J26" i="17"/>
  <c r="Z64" i="16"/>
  <c r="J28" i="19"/>
  <c r="Z96" i="16" s="1"/>
  <c r="I28" i="19"/>
  <c r="Y96" i="16" s="1"/>
  <c r="Y64" i="16"/>
  <c r="I26" i="17"/>
  <c r="F37" i="8"/>
  <c r="J37" i="8" s="1"/>
  <c r="C59" i="23"/>
  <c r="C64" i="23" s="1"/>
  <c r="O57" i="23"/>
  <c r="X71" i="16"/>
  <c r="H29" i="19"/>
  <c r="X97" i="16" s="1"/>
  <c r="AC18" i="16"/>
  <c r="J52" i="16"/>
  <c r="C71" i="18"/>
  <c r="E84" i="8" l="1"/>
  <c r="E65" i="18"/>
  <c r="E64" i="23"/>
  <c r="E70" i="23" s="1"/>
  <c r="E74" i="23" s="1"/>
  <c r="F62" i="23"/>
  <c r="F63" i="18"/>
  <c r="I77" i="8"/>
  <c r="C75" i="18"/>
  <c r="C73" i="18"/>
  <c r="D72" i="18" s="1"/>
  <c r="D73" i="18" s="1"/>
  <c r="E72" i="18" s="1"/>
  <c r="C70" i="23"/>
  <c r="Y71" i="16"/>
  <c r="I29" i="19"/>
  <c r="Y97" i="16" s="1"/>
  <c r="Y18" i="16"/>
  <c r="F52" i="16"/>
  <c r="Z71" i="16"/>
  <c r="J29" i="19"/>
  <c r="Z97" i="16" s="1"/>
  <c r="E30" i="16"/>
  <c r="X30" i="16" s="1"/>
  <c r="X20" i="16"/>
  <c r="E71" i="18" l="1"/>
  <c r="E73" i="18" s="1"/>
  <c r="F72" i="18" s="1"/>
  <c r="F61" i="23"/>
  <c r="F62" i="18"/>
  <c r="K77" i="8"/>
  <c r="E85" i="8"/>
  <c r="C72" i="23"/>
  <c r="D71" i="23" s="1"/>
  <c r="D72" i="23" s="1"/>
  <c r="E71" i="23" s="1"/>
  <c r="E72" i="23" s="1"/>
  <c r="C74" i="23"/>
  <c r="C81" i="18"/>
  <c r="C79" i="18"/>
  <c r="F63" i="23" l="1"/>
  <c r="F64" i="23" s="1"/>
  <c r="E75" i="18"/>
  <c r="E86" i="8"/>
  <c r="G78" i="8"/>
  <c r="F64" i="18"/>
  <c r="F65" i="18" s="1"/>
  <c r="F71" i="23"/>
  <c r="G63" i="18" l="1"/>
  <c r="G62" i="23"/>
  <c r="I78" i="8"/>
  <c r="E87" i="8"/>
  <c r="E79" i="18"/>
  <c r="E81" i="18"/>
  <c r="F70" i="23"/>
  <c r="F72" i="23" s="1"/>
  <c r="F71" i="18"/>
  <c r="F75" i="18" l="1"/>
  <c r="F73" i="18"/>
  <c r="G72" i="18" s="1"/>
  <c r="F74" i="23"/>
  <c r="E88" i="8"/>
  <c r="G62" i="18"/>
  <c r="G61" i="23"/>
  <c r="K78" i="8"/>
  <c r="G71" i="23"/>
  <c r="G79" i="8" l="1"/>
  <c r="G64" i="18"/>
  <c r="G65" i="18" s="1"/>
  <c r="E89" i="8"/>
  <c r="G63" i="23"/>
  <c r="G64" i="23" s="1"/>
  <c r="F79" i="18"/>
  <c r="F81" i="18"/>
  <c r="G70" i="23" l="1"/>
  <c r="E90" i="8"/>
  <c r="G71" i="18"/>
  <c r="H62" i="23"/>
  <c r="H63" i="18"/>
  <c r="I79" i="8"/>
  <c r="H61" i="23" l="1"/>
  <c r="H63" i="23" s="1"/>
  <c r="H64" i="23" s="1"/>
  <c r="H62" i="18"/>
  <c r="H64" i="18" s="1"/>
  <c r="H65" i="18" s="1"/>
  <c r="K79" i="8"/>
  <c r="G75" i="18"/>
  <c r="G73" i="18"/>
  <c r="H72" i="18" s="1"/>
  <c r="G74" i="23"/>
  <c r="G72" i="23"/>
  <c r="H71" i="23" s="1"/>
  <c r="E91" i="8"/>
  <c r="G80" i="8" l="1"/>
  <c r="E92" i="8"/>
  <c r="G81" i="18"/>
  <c r="G79" i="18"/>
  <c r="H71" i="18"/>
  <c r="H70" i="23"/>
  <c r="H75" i="18" l="1"/>
  <c r="H73" i="18"/>
  <c r="I72" i="18" s="1"/>
  <c r="I62" i="23"/>
  <c r="I63" i="18"/>
  <c r="I80" i="8"/>
  <c r="H74" i="23"/>
  <c r="H72" i="23"/>
  <c r="I71" i="23" s="1"/>
  <c r="E93" i="8"/>
  <c r="E94" i="8" l="1"/>
  <c r="I62" i="18"/>
  <c r="I64" i="18" s="1"/>
  <c r="I65" i="18" s="1"/>
  <c r="I61" i="23"/>
  <c r="I63" i="23" s="1"/>
  <c r="I64" i="23" s="1"/>
  <c r="K80" i="8"/>
  <c r="H81" i="18"/>
  <c r="H79" i="18"/>
  <c r="I71" i="18" l="1"/>
  <c r="I70" i="23"/>
  <c r="G81" i="8"/>
  <c r="E95" i="8"/>
  <c r="J62" i="23" l="1"/>
  <c r="J63" i="18"/>
  <c r="I81" i="8"/>
  <c r="I74" i="23"/>
  <c r="I72" i="23"/>
  <c r="J71" i="23" s="1"/>
  <c r="E96" i="8"/>
  <c r="I75" i="18"/>
  <c r="I73" i="18"/>
  <c r="J72" i="18" s="1"/>
  <c r="I81" i="18" l="1"/>
  <c r="I79" i="18"/>
  <c r="E97" i="8"/>
  <c r="J61" i="23"/>
  <c r="J63" i="23" s="1"/>
  <c r="J64" i="23" s="1"/>
  <c r="J62" i="18"/>
  <c r="J64" i="18" s="1"/>
  <c r="J65" i="18" s="1"/>
  <c r="J71" i="18" s="1"/>
  <c r="J75" i="18" s="1"/>
  <c r="K81" i="8"/>
  <c r="J73" i="18" l="1"/>
  <c r="K72" i="18" s="1"/>
  <c r="J70" i="23"/>
  <c r="E98" i="8"/>
  <c r="J81" i="18"/>
  <c r="J79" i="18"/>
  <c r="G82" i="8"/>
  <c r="K63" i="18" l="1"/>
  <c r="K62" i="23"/>
  <c r="I82" i="8"/>
  <c r="E99" i="8"/>
  <c r="J74" i="23"/>
  <c r="J72" i="23"/>
  <c r="K71" i="23" s="1"/>
  <c r="K62" i="18" l="1"/>
  <c r="K64" i="18" s="1"/>
  <c r="K65" i="18" s="1"/>
  <c r="K71" i="18" s="1"/>
  <c r="K61" i="23"/>
  <c r="K63" i="23" s="1"/>
  <c r="K64" i="23" s="1"/>
  <c r="K70" i="23" s="1"/>
  <c r="K74" i="23" s="1"/>
  <c r="K82" i="8"/>
  <c r="E100" i="8"/>
  <c r="K72" i="23" l="1"/>
  <c r="L71" i="23" s="1"/>
  <c r="E101" i="8"/>
  <c r="G83" i="8"/>
  <c r="K75" i="18"/>
  <c r="K73" i="18"/>
  <c r="L72" i="18" s="1"/>
  <c r="L62" i="23" l="1"/>
  <c r="L63" i="18"/>
  <c r="I83" i="8"/>
  <c r="E102" i="8"/>
  <c r="K81" i="18"/>
  <c r="K79" i="18"/>
  <c r="L61" i="23" l="1"/>
  <c r="L63" i="23" s="1"/>
  <c r="L64" i="23" s="1"/>
  <c r="L70" i="23" s="1"/>
  <c r="L62" i="18"/>
  <c r="L64" i="18" s="1"/>
  <c r="L65" i="18" s="1"/>
  <c r="L71" i="18" s="1"/>
  <c r="K83" i="8"/>
  <c r="E103" i="8"/>
  <c r="G84" i="8" l="1"/>
  <c r="L74" i="23"/>
  <c r="L72" i="23"/>
  <c r="M71" i="23" s="1"/>
  <c r="E104" i="8"/>
  <c r="L75" i="18"/>
  <c r="L73" i="18"/>
  <c r="M72" i="18" s="1"/>
  <c r="L81" i="18" l="1"/>
  <c r="L79" i="18"/>
  <c r="E105" i="8"/>
  <c r="M63" i="18"/>
  <c r="M62" i="23"/>
  <c r="I84" i="8"/>
  <c r="M61" i="23" l="1"/>
  <c r="M63" i="23" s="1"/>
  <c r="M64" i="23" s="1"/>
  <c r="M70" i="23" s="1"/>
  <c r="M62" i="18"/>
  <c r="M64" i="18" s="1"/>
  <c r="M65" i="18" s="1"/>
  <c r="M71" i="18" s="1"/>
  <c r="K84" i="8"/>
  <c r="E106" i="8"/>
  <c r="G85" i="8" l="1"/>
  <c r="M74" i="23"/>
  <c r="M72" i="23"/>
  <c r="N71" i="23" s="1"/>
  <c r="E107" i="8"/>
  <c r="M75" i="18"/>
  <c r="M73" i="18"/>
  <c r="N72" i="18" s="1"/>
  <c r="M81" i="18" l="1"/>
  <c r="M79" i="18"/>
  <c r="N62" i="23"/>
  <c r="O62" i="23" s="1"/>
  <c r="N63" i="18"/>
  <c r="O63" i="18" s="1"/>
  <c r="I85" i="8"/>
  <c r="F27" i="17"/>
  <c r="E41" i="16"/>
  <c r="O72" i="18"/>
  <c r="O71" i="23"/>
  <c r="E108" i="8"/>
  <c r="E42" i="16" l="1"/>
  <c r="X42" i="16" s="1"/>
  <c r="X41" i="16"/>
  <c r="N61" i="23"/>
  <c r="N62" i="18"/>
  <c r="E38" i="16"/>
  <c r="K85" i="8"/>
  <c r="E109" i="8"/>
  <c r="V72" i="16"/>
  <c r="F29" i="17"/>
  <c r="E110" i="8" l="1"/>
  <c r="X38" i="16"/>
  <c r="E39" i="16"/>
  <c r="N63" i="23"/>
  <c r="O61" i="23"/>
  <c r="V76" i="16"/>
  <c r="F30" i="17"/>
  <c r="G86" i="8"/>
  <c r="N64" i="18"/>
  <c r="O62" i="18"/>
  <c r="I86" i="8" l="1"/>
  <c r="N64" i="23"/>
  <c r="O63" i="23"/>
  <c r="F31" i="17"/>
  <c r="F32" i="17" s="1"/>
  <c r="V77" i="16"/>
  <c r="F26" i="19"/>
  <c r="V94" i="16" s="1"/>
  <c r="X39" i="16"/>
  <c r="E43" i="16"/>
  <c r="E111" i="8"/>
  <c r="N65" i="18"/>
  <c r="O64" i="18"/>
  <c r="K86" i="8" l="1"/>
  <c r="N71" i="18"/>
  <c r="O65" i="18"/>
  <c r="E112" i="8"/>
  <c r="F46" i="16"/>
  <c r="F30" i="19"/>
  <c r="V98" i="16" s="1"/>
  <c r="V80" i="16"/>
  <c r="V78" i="16"/>
  <c r="F34" i="16"/>
  <c r="N70" i="23"/>
  <c r="O64" i="23"/>
  <c r="X43" i="16"/>
  <c r="E49" i="16"/>
  <c r="X49" i="16" s="1"/>
  <c r="Y34" i="16" l="1"/>
  <c r="E113" i="8"/>
  <c r="N75" i="18"/>
  <c r="O71" i="18"/>
  <c r="N73" i="18"/>
  <c r="O73" i="18" s="1"/>
  <c r="N74" i="23"/>
  <c r="O70" i="23"/>
  <c r="N72" i="23"/>
  <c r="O72" i="23" s="1"/>
  <c r="G87" i="8"/>
  <c r="G47" i="16"/>
  <c r="Z47" i="16" s="1"/>
  <c r="Y46" i="16"/>
  <c r="F48" i="16"/>
  <c r="Y48" i="16" s="1"/>
  <c r="N81" i="18" l="1"/>
  <c r="F33" i="19" s="1"/>
  <c r="V101" i="16" s="1"/>
  <c r="N79" i="18"/>
  <c r="F34" i="19" s="1"/>
  <c r="V102" i="16" s="1"/>
  <c r="I87" i="8"/>
  <c r="E114" i="8"/>
  <c r="E115" i="8" l="1"/>
  <c r="K87" i="8"/>
  <c r="E116" i="8" l="1"/>
  <c r="G88" i="8"/>
  <c r="E117" i="8" l="1"/>
  <c r="I88" i="8"/>
  <c r="K88" i="8" l="1"/>
  <c r="E118" i="8"/>
  <c r="E119" i="8" l="1"/>
  <c r="G89" i="8"/>
  <c r="I89" i="8" l="1"/>
  <c r="E120" i="8"/>
  <c r="K89" i="8" l="1"/>
  <c r="E121" i="8"/>
  <c r="E122" i="8" l="1"/>
  <c r="G90" i="8"/>
  <c r="E123" i="8" l="1"/>
  <c r="I90" i="8"/>
  <c r="K90" i="8" l="1"/>
  <c r="E124" i="8"/>
  <c r="E125" i="8" l="1"/>
  <c r="G91" i="8"/>
  <c r="I91" i="8" s="1"/>
  <c r="K91" i="8" s="1"/>
  <c r="G92" i="8" l="1"/>
  <c r="I92" i="8" s="1"/>
  <c r="K92" i="8" s="1"/>
  <c r="E126" i="8"/>
  <c r="G93" i="8" l="1"/>
  <c r="I93" i="8" s="1"/>
  <c r="K93" i="8" s="1"/>
  <c r="E127" i="8"/>
  <c r="G94" i="8" l="1"/>
  <c r="I94" i="8" s="1"/>
  <c r="K94" i="8" s="1"/>
  <c r="E128" i="8"/>
  <c r="G95" i="8" l="1"/>
  <c r="I95" i="8" s="1"/>
  <c r="K95" i="8" s="1"/>
  <c r="E129" i="8"/>
  <c r="G96" i="8" l="1"/>
  <c r="I96" i="8" s="1"/>
  <c r="K96" i="8" s="1"/>
  <c r="E130" i="8"/>
  <c r="G97" i="8" l="1"/>
  <c r="E131" i="8"/>
  <c r="E132" i="8" l="1"/>
  <c r="I97" i="8"/>
  <c r="G27" i="17"/>
  <c r="F41" i="16"/>
  <c r="F38" i="16" l="1"/>
  <c r="K97" i="8"/>
  <c r="G29" i="17"/>
  <c r="W72" i="16"/>
  <c r="E133" i="8"/>
  <c r="F42" i="16"/>
  <c r="Y42" i="16" s="1"/>
  <c r="Y41" i="16"/>
  <c r="W76" i="16" l="1"/>
  <c r="G30" i="17"/>
  <c r="G98" i="8"/>
  <c r="Y38" i="16"/>
  <c r="F39" i="16"/>
  <c r="F43" i="16" l="1"/>
  <c r="Y39" i="16"/>
  <c r="I98" i="8"/>
  <c r="W77" i="16"/>
  <c r="G31" i="17"/>
  <c r="G32" i="17" s="1"/>
  <c r="G26" i="19"/>
  <c r="W94" i="16" s="1"/>
  <c r="G46" i="16" l="1"/>
  <c r="G30" i="19"/>
  <c r="W98" i="16" s="1"/>
  <c r="W80" i="16"/>
  <c r="K98" i="8"/>
  <c r="G34" i="16"/>
  <c r="W78" i="16"/>
  <c r="Y43" i="16"/>
  <c r="F49" i="16"/>
  <c r="F51" i="16" l="1"/>
  <c r="F53" i="16" s="1"/>
  <c r="F16" i="16" s="1"/>
  <c r="Y49" i="16"/>
  <c r="Z34" i="16"/>
  <c r="G99" i="8"/>
  <c r="Z46" i="16"/>
  <c r="H47" i="16"/>
  <c r="AA47" i="16" s="1"/>
  <c r="G48" i="16"/>
  <c r="Z48" i="16" s="1"/>
  <c r="I99" i="8" l="1"/>
  <c r="F20" i="16"/>
  <c r="Y16" i="16"/>
  <c r="Y20" i="16" l="1"/>
  <c r="F23" i="19"/>
  <c r="V88" i="16" s="1"/>
  <c r="F30" i="16"/>
  <c r="K99" i="8"/>
  <c r="G100" i="8" l="1"/>
  <c r="Y30" i="16"/>
  <c r="F27" i="19"/>
  <c r="V95" i="16" s="1"/>
  <c r="I100" i="8" l="1"/>
  <c r="K100" i="8" l="1"/>
  <c r="G101" i="8" l="1"/>
  <c r="I101" i="8" l="1"/>
  <c r="K101" i="8" l="1"/>
  <c r="G102" i="8" l="1"/>
  <c r="I102" i="8" l="1"/>
  <c r="K102" i="8" l="1"/>
  <c r="G103" i="8" l="1"/>
  <c r="I103" i="8" s="1"/>
  <c r="K103" i="8" s="1"/>
  <c r="G104" i="8" l="1"/>
  <c r="I104" i="8" s="1"/>
  <c r="K104" i="8" s="1"/>
  <c r="G105" i="8" l="1"/>
  <c r="I105" i="8" s="1"/>
  <c r="K105" i="8" s="1"/>
  <c r="G106" i="8" l="1"/>
  <c r="I106" i="8" s="1"/>
  <c r="K106" i="8" s="1"/>
  <c r="G107" i="8" l="1"/>
  <c r="I107" i="8" s="1"/>
  <c r="K107" i="8" s="1"/>
  <c r="G108" i="8" l="1"/>
  <c r="I108" i="8" s="1"/>
  <c r="K108" i="8" s="1"/>
  <c r="G109" i="8" l="1"/>
  <c r="I109" i="8" l="1"/>
  <c r="G41" i="16"/>
  <c r="H27" i="17"/>
  <c r="H29" i="17" l="1"/>
  <c r="X72" i="16"/>
  <c r="G38" i="16"/>
  <c r="K109" i="8"/>
  <c r="G42" i="16"/>
  <c r="Z42" i="16" s="1"/>
  <c r="Z41" i="16"/>
  <c r="G110" i="8" l="1"/>
  <c r="X76" i="16"/>
  <c r="H30" i="17"/>
  <c r="Z38" i="16"/>
  <c r="G39" i="16"/>
  <c r="I110" i="8" l="1"/>
  <c r="G43" i="16"/>
  <c r="Z39" i="16"/>
  <c r="H31" i="17"/>
  <c r="X77" i="16"/>
  <c r="H26" i="19"/>
  <c r="X94" i="16" s="1"/>
  <c r="H32" i="17" l="1"/>
  <c r="X78" i="16"/>
  <c r="H34" i="16"/>
  <c r="Z43" i="16"/>
  <c r="G49" i="16"/>
  <c r="K110" i="8"/>
  <c r="G111" i="8" l="1"/>
  <c r="Z49" i="16"/>
  <c r="G51" i="16"/>
  <c r="G53" i="16" s="1"/>
  <c r="G16" i="16" s="1"/>
  <c r="AA34" i="16"/>
  <c r="X80" i="16"/>
  <c r="H30" i="19"/>
  <c r="X98" i="16" s="1"/>
  <c r="H46" i="16"/>
  <c r="I47" i="16" l="1"/>
  <c r="AB47" i="16" s="1"/>
  <c r="AA46" i="16"/>
  <c r="H48" i="16"/>
  <c r="AA48" i="16" s="1"/>
  <c r="G20" i="16"/>
  <c r="Z16" i="16"/>
  <c r="I111" i="8"/>
  <c r="K111" i="8" l="1"/>
  <c r="Z20" i="16"/>
  <c r="G23" i="19"/>
  <c r="W88" i="16" s="1"/>
  <c r="G30" i="16"/>
  <c r="G112" i="8" l="1"/>
  <c r="Z30" i="16"/>
  <c r="G27" i="19"/>
  <c r="W95" i="16" s="1"/>
  <c r="I112" i="8" l="1"/>
  <c r="K112" i="8" l="1"/>
  <c r="G113" i="8" l="1"/>
  <c r="I113" i="8" l="1"/>
  <c r="K113" i="8" l="1"/>
  <c r="G114" i="8" l="1"/>
  <c r="I114" i="8" l="1"/>
  <c r="K114" i="8" l="1"/>
  <c r="G115" i="8" l="1"/>
  <c r="I115" i="8" s="1"/>
  <c r="K115" i="8" s="1"/>
  <c r="G116" i="8" l="1"/>
  <c r="I116" i="8" s="1"/>
  <c r="K116" i="8" s="1"/>
  <c r="G117" i="8" l="1"/>
  <c r="I117" i="8" s="1"/>
  <c r="K117" i="8" s="1"/>
  <c r="G118" i="8" l="1"/>
  <c r="I118" i="8" s="1"/>
  <c r="K118" i="8" s="1"/>
  <c r="G119" i="8" l="1"/>
  <c r="I119" i="8" s="1"/>
  <c r="K119" i="8" s="1"/>
  <c r="G120" i="8" l="1"/>
  <c r="I120" i="8" s="1"/>
  <c r="K120" i="8" s="1"/>
  <c r="G121" i="8" l="1"/>
  <c r="I121" i="8" l="1"/>
  <c r="H41" i="16"/>
  <c r="I27" i="17"/>
  <c r="Y72" i="16" l="1"/>
  <c r="I29" i="17"/>
  <c r="H38" i="16"/>
  <c r="J27" i="17"/>
  <c r="K121" i="8"/>
  <c r="AA41" i="16"/>
  <c r="H42" i="16"/>
  <c r="AA42" i="16" s="1"/>
  <c r="Z72" i="16" l="1"/>
  <c r="J29" i="17"/>
  <c r="G122" i="8"/>
  <c r="AA38" i="16"/>
  <c r="H39" i="16"/>
  <c r="Y76" i="16"/>
  <c r="I30" i="17"/>
  <c r="I31" i="17" l="1"/>
  <c r="Y77" i="16"/>
  <c r="I26" i="19"/>
  <c r="Y94" i="16" s="1"/>
  <c r="H43" i="16"/>
  <c r="AA39" i="16"/>
  <c r="I122" i="8"/>
  <c r="Z76" i="16"/>
  <c r="J30" i="17"/>
  <c r="J31" i="17" l="1"/>
  <c r="J32" i="17" s="1"/>
  <c r="Z77" i="16"/>
  <c r="J26" i="19"/>
  <c r="Z94" i="16" s="1"/>
  <c r="K122" i="8"/>
  <c r="I32" i="17"/>
  <c r="Y78" i="16"/>
  <c r="I34" i="16"/>
  <c r="AA43" i="16"/>
  <c r="H49" i="16"/>
  <c r="H51" i="16" l="1"/>
  <c r="H53" i="16" s="1"/>
  <c r="H16" i="16" s="1"/>
  <c r="AA49" i="16"/>
  <c r="I30" i="19"/>
  <c r="Y98" i="16" s="1"/>
  <c r="Y80" i="16"/>
  <c r="I46" i="16"/>
  <c r="J46" i="16"/>
  <c r="J30" i="19"/>
  <c r="Z98" i="16" s="1"/>
  <c r="Z80" i="16"/>
  <c r="J34" i="16"/>
  <c r="Z78" i="16"/>
  <c r="G123" i="8"/>
  <c r="AB34" i="16"/>
  <c r="I123" i="8" l="1"/>
  <c r="AB46" i="16"/>
  <c r="I48" i="16"/>
  <c r="AB48" i="16" s="1"/>
  <c r="J47" i="16"/>
  <c r="AC47" i="16" s="1"/>
  <c r="H20" i="16"/>
  <c r="AA16" i="16"/>
  <c r="AC46" i="16"/>
  <c r="AC34" i="16"/>
  <c r="J39" i="16"/>
  <c r="J48" i="16" l="1"/>
  <c r="AC48" i="16" s="1"/>
  <c r="J43" i="16"/>
  <c r="AC39" i="16"/>
  <c r="K123" i="8"/>
  <c r="H30" i="16"/>
  <c r="H23" i="19"/>
  <c r="X88" i="16" s="1"/>
  <c r="AA20" i="16"/>
  <c r="AA30" i="16" l="1"/>
  <c r="H27" i="19"/>
  <c r="X95" i="16" s="1"/>
  <c r="J49" i="16"/>
  <c r="AC43" i="16"/>
  <c r="G124" i="8"/>
  <c r="J51" i="16" l="1"/>
  <c r="J53" i="16" s="1"/>
  <c r="J16" i="16" s="1"/>
  <c r="AC49" i="16"/>
  <c r="I124" i="8"/>
  <c r="K124" i="8" l="1"/>
  <c r="J20" i="16"/>
  <c r="AC16" i="16"/>
  <c r="J23" i="19" l="1"/>
  <c r="Z88" i="16" s="1"/>
  <c r="AC20" i="16"/>
  <c r="J30" i="16"/>
  <c r="G125" i="8"/>
  <c r="I125" i="8" l="1"/>
  <c r="AC30" i="16"/>
  <c r="J27" i="19"/>
  <c r="Z95" i="16" s="1"/>
  <c r="K125" i="8" l="1"/>
  <c r="G126" i="8" l="1"/>
  <c r="I126" i="8" l="1"/>
  <c r="K126" i="8" l="1"/>
  <c r="G127" i="8" l="1"/>
  <c r="I127" i="8" s="1"/>
  <c r="K127" i="8" s="1"/>
  <c r="G128" i="8" l="1"/>
  <c r="I128" i="8" s="1"/>
  <c r="K128" i="8" s="1"/>
  <c r="G129" i="8" l="1"/>
  <c r="I129" i="8" s="1"/>
  <c r="K129" i="8" s="1"/>
  <c r="G130" i="8" l="1"/>
  <c r="I130" i="8" s="1"/>
  <c r="K130" i="8" s="1"/>
  <c r="G131" i="8" l="1"/>
  <c r="I131" i="8" s="1"/>
  <c r="K131" i="8" s="1"/>
  <c r="G132" i="8" l="1"/>
  <c r="I132" i="8" s="1"/>
  <c r="K132" i="8" s="1"/>
  <c r="G133" i="8" l="1"/>
  <c r="I133" i="8" l="1"/>
  <c r="I41" i="16"/>
  <c r="I38" i="16" l="1"/>
  <c r="K133" i="8"/>
  <c r="I42" i="16"/>
  <c r="AB42" i="16" s="1"/>
  <c r="AB41" i="16"/>
  <c r="AB38" i="16" l="1"/>
  <c r="I39" i="16"/>
  <c r="AB39" i="16" l="1"/>
  <c r="I43" i="16"/>
  <c r="I49" i="16" l="1"/>
  <c r="AB43" i="16"/>
  <c r="I51" i="16" l="1"/>
  <c r="I53" i="16" s="1"/>
  <c r="I16" i="16" s="1"/>
  <c r="AB49" i="16"/>
  <c r="AB16" i="16" l="1"/>
  <c r="I20" i="16"/>
  <c r="I30" i="16" l="1"/>
  <c r="I23" i="19"/>
  <c r="Y88" i="16" s="1"/>
  <c r="AB20" i="16"/>
  <c r="AB30" i="16" l="1"/>
  <c r="I27" i="19"/>
  <c r="Y95" i="1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Omar Rolando Avila Torres</author>
  </authors>
  <commentList>
    <comment ref="C44" authorId="0" shapeId="0" xr:uid="{00000000-0006-0000-0500-000001000000}">
      <text>
        <r>
          <rPr>
            <b/>
            <sz val="9"/>
            <color indexed="81"/>
            <rFont val="Tahoma"/>
            <family val="2"/>
          </rPr>
          <t>Omar Rolando Avila Torres:</t>
        </r>
        <r>
          <rPr>
            <sz val="9"/>
            <color indexed="81"/>
            <rFont val="Tahoma"/>
            <family val="2"/>
          </rPr>
          <t xml:space="preserve">
GGHSHS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uno</author>
  </authors>
  <commentList>
    <comment ref="I64" authorId="0" shapeId="0" xr:uid="{00000000-0006-0000-0B00-000001000000}">
      <text>
        <r>
          <rPr>
            <b/>
            <sz val="8"/>
            <color indexed="81"/>
            <rFont val="Tahoma"/>
            <family val="2"/>
          </rPr>
          <t xml:space="preserve">Es importante tener en cuenta que si las ventas anuales superan lo dispuesto en la normatividad tributaria para la declaración de renta, </t>
        </r>
        <r>
          <rPr>
            <b/>
            <sz val="8"/>
            <color indexed="81"/>
            <rFont val="Tahoma"/>
            <family val="2"/>
          </rPr>
          <t>es obligatorio este rubro</t>
        </r>
      </text>
    </comment>
  </commentList>
</comments>
</file>

<file path=xl/sharedStrings.xml><?xml version="1.0" encoding="utf-8"?>
<sst xmlns="http://schemas.openxmlformats.org/spreadsheetml/2006/main" count="3576" uniqueCount="2829">
  <si>
    <t>VENTAS TOTALES ANUALES:</t>
  </si>
  <si>
    <t>Porcentaje</t>
  </si>
  <si>
    <t>Producto No.1</t>
  </si>
  <si>
    <t>Producto No.3</t>
  </si>
  <si>
    <t>Producto No.4</t>
  </si>
  <si>
    <t>Producto No.5</t>
  </si>
  <si>
    <t>Producto No.6</t>
  </si>
  <si>
    <t xml:space="preserve"> </t>
  </si>
  <si>
    <t>Producto</t>
  </si>
  <si>
    <t>AÑO 1</t>
  </si>
  <si>
    <t>AÑO 2</t>
  </si>
  <si>
    <t>Ventas</t>
  </si>
  <si>
    <t>Total</t>
  </si>
  <si>
    <t>Unidades</t>
  </si>
  <si>
    <t>AÑO 3</t>
  </si>
  <si>
    <t>Producto No.2</t>
  </si>
  <si>
    <t>Muy alto</t>
  </si>
  <si>
    <t>Alto</t>
  </si>
  <si>
    <t>Normal</t>
  </si>
  <si>
    <t>Bajo</t>
  </si>
  <si>
    <t>Nombre:</t>
  </si>
  <si>
    <t>Estado Civil</t>
  </si>
  <si>
    <t>Telefono</t>
  </si>
  <si>
    <t>Otra</t>
  </si>
  <si>
    <t>Activos</t>
  </si>
  <si>
    <t xml:space="preserve">Nombre </t>
  </si>
  <si>
    <t>ESTUDIOS</t>
  </si>
  <si>
    <t>Nombre</t>
  </si>
  <si>
    <t>1- REQUERIMIENTOS DE PERSONAL</t>
  </si>
  <si>
    <t>Subtotal</t>
  </si>
  <si>
    <t>Total salarios</t>
  </si>
  <si>
    <t>Arriendo</t>
  </si>
  <si>
    <t>Dotaciones</t>
  </si>
  <si>
    <t>Energia</t>
  </si>
  <si>
    <t xml:space="preserve">Agua </t>
  </si>
  <si>
    <t>Inventario materia prima</t>
  </si>
  <si>
    <t>Cartera</t>
  </si>
  <si>
    <t>Inversiones diferidas</t>
  </si>
  <si>
    <t>Caja</t>
  </si>
  <si>
    <t>Total capital de trabajo</t>
  </si>
  <si>
    <t>Terrenos</t>
  </si>
  <si>
    <t>Construcciones</t>
  </si>
  <si>
    <t>Maquinaria y equipo</t>
  </si>
  <si>
    <t>Muebles y enseres</t>
  </si>
  <si>
    <t>Vehículos</t>
  </si>
  <si>
    <t>CONCEPTO</t>
  </si>
  <si>
    <t>AÑO 4</t>
  </si>
  <si>
    <t>AÑO 5</t>
  </si>
  <si>
    <t>Unidad</t>
  </si>
  <si>
    <t>2- OTROS COSTOS DE PRODUCCION Y GASTOS DE ADMON Y VTAS</t>
  </si>
  <si>
    <t>1- PLAN DE INVERSION Y FINANCIACION</t>
  </si>
  <si>
    <t>ACTIVOS FIJOS (Discriminar)</t>
  </si>
  <si>
    <t>Total Capital de Trab.</t>
  </si>
  <si>
    <t>Total gastos puesta en marcha</t>
  </si>
  <si>
    <t>Compras anuales</t>
  </si>
  <si>
    <t>Ventas anuales</t>
  </si>
  <si>
    <t>Total inversión fija</t>
  </si>
  <si>
    <t>Inversión Total</t>
  </si>
  <si>
    <t>Participación %</t>
  </si>
  <si>
    <t xml:space="preserve">Año 2 </t>
  </si>
  <si>
    <t>Año 3</t>
  </si>
  <si>
    <t>Año 4</t>
  </si>
  <si>
    <t>Año 5</t>
  </si>
  <si>
    <t>PERIODO</t>
  </si>
  <si>
    <t>Parafiscales</t>
  </si>
  <si>
    <t>Cesantías</t>
  </si>
  <si>
    <t>Cesantias</t>
  </si>
  <si>
    <t>Intereses sobre Cesantías</t>
  </si>
  <si>
    <t>Prima de Servicios</t>
  </si>
  <si>
    <t>Vacaciones</t>
  </si>
  <si>
    <t>Intereses sobre cesantías</t>
  </si>
  <si>
    <t>Prima de servicios</t>
  </si>
  <si>
    <t>Gastos de administración</t>
  </si>
  <si>
    <t>Gastos de ventas</t>
  </si>
  <si>
    <t>Inventario Materia Prima</t>
  </si>
  <si>
    <t>Total muebles y enseres:</t>
  </si>
  <si>
    <t>2-DEPRECIACIONES</t>
  </si>
  <si>
    <t xml:space="preserve">ACTIVOS FIJOS </t>
  </si>
  <si>
    <t>Año 1</t>
  </si>
  <si>
    <t>Año 2</t>
  </si>
  <si>
    <t>ESTADO DE PERDIDAS Y GANANCIAS</t>
  </si>
  <si>
    <t>BALANCE GENERAL</t>
  </si>
  <si>
    <t>ACTIVO</t>
  </si>
  <si>
    <t>TOTAL ACTIVOS</t>
  </si>
  <si>
    <t>PASIVOS</t>
  </si>
  <si>
    <t xml:space="preserve">TOTAL PASIVO </t>
  </si>
  <si>
    <t>PATRIMONIO</t>
  </si>
  <si>
    <t>TOTAL PATRIMONIO</t>
  </si>
  <si>
    <t>TOTAL PASIVO Y PATRIMONIO</t>
  </si>
  <si>
    <t>Inventario de Materia Prima</t>
  </si>
  <si>
    <t>Costo Materia Prima</t>
  </si>
  <si>
    <t>Depreciaciones</t>
  </si>
  <si>
    <t>Costos Indirectos de Fabricación</t>
  </si>
  <si>
    <t>Gastos de Administración</t>
  </si>
  <si>
    <t>Gastos de Ventas</t>
  </si>
  <si>
    <t>Intereses Crédito</t>
  </si>
  <si>
    <t>Otros Intereses</t>
  </si>
  <si>
    <t>Impuesto de Renta</t>
  </si>
  <si>
    <t>Caja y Bancos</t>
  </si>
  <si>
    <t>Gastos Diferidos y Operativos</t>
  </si>
  <si>
    <t>Maquinaria y Equipo</t>
  </si>
  <si>
    <t>Muebles y Enseres</t>
  </si>
  <si>
    <t>Depreciación Acumulada</t>
  </si>
  <si>
    <t>Proveedores</t>
  </si>
  <si>
    <t>Laborales por Pagar (Cesantías e Ints.)</t>
  </si>
  <si>
    <t>Parafiscales y Provisiones</t>
  </si>
  <si>
    <t>Obligación (Crédito)</t>
  </si>
  <si>
    <t>Capital</t>
  </si>
  <si>
    <t>Utilidad del Ejercicio</t>
  </si>
  <si>
    <t>Utilidad Retenida Ejercicios Anteriores</t>
  </si>
  <si>
    <t>Caja y Bancos (Nomina)</t>
  </si>
  <si>
    <t>Caja y Bancos (Gastos operativos)</t>
  </si>
  <si>
    <t>3-AMORTIZACION DEL DIFERIDO</t>
  </si>
  <si>
    <t>Gastos Puesta en marcha</t>
  </si>
  <si>
    <t>Amortización del Diferido</t>
  </si>
  <si>
    <t>IVA</t>
  </si>
  <si>
    <t>%</t>
  </si>
  <si>
    <t>Valor préstamo</t>
  </si>
  <si>
    <t>Tasa efectiva</t>
  </si>
  <si>
    <t>Interes mensual</t>
  </si>
  <si>
    <t>IMPUESTOS</t>
  </si>
  <si>
    <t xml:space="preserve">IVA por Pagar </t>
  </si>
  <si>
    <t>Proveedores (Dias)</t>
  </si>
  <si>
    <t>CUADRE DE CAJA:</t>
  </si>
  <si>
    <t>I. Ingresos Operativos</t>
  </si>
  <si>
    <t>II. Gastos Operativos Fijos</t>
  </si>
  <si>
    <t>Total Ingresos Operativos</t>
  </si>
  <si>
    <t>Total Gastos Operativos</t>
  </si>
  <si>
    <t xml:space="preserve"> A.  Fijos:</t>
  </si>
  <si>
    <t>A. Variables</t>
  </si>
  <si>
    <t>Superavit /(deficit) Operativo</t>
  </si>
  <si>
    <t>III. Inversiones Fijas</t>
  </si>
  <si>
    <t xml:space="preserve">  1. Ventas de Contado</t>
  </si>
  <si>
    <t xml:space="preserve">  2. Ventas a Crédito</t>
  </si>
  <si>
    <t xml:space="preserve">  3. Recuperación Cartera</t>
  </si>
  <si>
    <t xml:space="preserve">  1. Pagos Laborales:</t>
  </si>
  <si>
    <t xml:space="preserve">      Parafiscales</t>
  </si>
  <si>
    <t xml:space="preserve">     Cesantías e Intereses</t>
  </si>
  <si>
    <t xml:space="preserve">     Prima de servicios</t>
  </si>
  <si>
    <t xml:space="preserve">     Vacaciones</t>
  </si>
  <si>
    <t xml:space="preserve">     Subsidio de Transporte</t>
  </si>
  <si>
    <t xml:space="preserve">     Dotaciones</t>
  </si>
  <si>
    <t xml:space="preserve">  2. Arrendamientos</t>
  </si>
  <si>
    <t xml:space="preserve">  3. Servicios</t>
  </si>
  <si>
    <t xml:space="preserve">      Energia</t>
  </si>
  <si>
    <t xml:space="preserve">      Agua</t>
  </si>
  <si>
    <t xml:space="preserve">     Telefono</t>
  </si>
  <si>
    <t xml:space="preserve">  4. Mantenimiento</t>
  </si>
  <si>
    <t xml:space="preserve">  5. Publicidad</t>
  </si>
  <si>
    <t xml:space="preserve">  6. Transporte</t>
  </si>
  <si>
    <t xml:space="preserve">  7. Otros</t>
  </si>
  <si>
    <t xml:space="preserve">  1. Compra de Contado Materia Prima e Insumos</t>
  </si>
  <si>
    <t xml:space="preserve">  2. Compra a Crédito Materia Prima e Insumos</t>
  </si>
  <si>
    <t xml:space="preserve">  1. Terrenos</t>
  </si>
  <si>
    <t xml:space="preserve">  2. Edificacions</t>
  </si>
  <si>
    <t xml:space="preserve">  3. Maquinaria y Equipo</t>
  </si>
  <si>
    <t xml:space="preserve">  4. Muebles y Enseres</t>
  </si>
  <si>
    <t xml:space="preserve">  5. Vehículos</t>
  </si>
  <si>
    <t xml:space="preserve">  1. Cuotas de Capital  Crédito Propuesto</t>
  </si>
  <si>
    <t xml:space="preserve">  2. Intereses Crédito Propuesto</t>
  </si>
  <si>
    <t>Superavit /(deficit) Financiero</t>
  </si>
  <si>
    <t>Imporrenta</t>
  </si>
  <si>
    <t>IVA Cobrado</t>
  </si>
  <si>
    <t>IVA Pagado</t>
  </si>
  <si>
    <t xml:space="preserve">  8. Preoperativos</t>
  </si>
  <si>
    <t>Saldo Neto Caja Mensual</t>
  </si>
  <si>
    <t>PRIMER AÑO FLUJO DE CAJA MENSUAL</t>
  </si>
  <si>
    <t xml:space="preserve">  Período Promedio de Cobro (días)</t>
  </si>
  <si>
    <t xml:space="preserve">  Rotación de Inventarios - M.P. (días)</t>
  </si>
  <si>
    <t xml:space="preserve">  Rotación de Inventarios - P.P. (días)</t>
  </si>
  <si>
    <t xml:space="preserve">  Rotación de Inventarios - P.T. (días)</t>
  </si>
  <si>
    <t xml:space="preserve">  Rotación de Proveedores (días)</t>
  </si>
  <si>
    <t xml:space="preserve">  Capacidad de pago (veces)</t>
  </si>
  <si>
    <t xml:space="preserve">  Endeudamiento (%)</t>
  </si>
  <si>
    <t>Otra información fianciera</t>
  </si>
  <si>
    <t>Punto de Equilibrio en ventas ($)</t>
  </si>
  <si>
    <t xml:space="preserve"> Rentabilidad Neta (%)</t>
  </si>
  <si>
    <t xml:space="preserve"> TIR</t>
  </si>
  <si>
    <t xml:space="preserve"> Rentabilidad Bruta (%)</t>
  </si>
  <si>
    <t xml:space="preserve"> Margen de Contribución (%)</t>
  </si>
  <si>
    <t xml:space="preserve"> Rentabilidad Operacional (%)</t>
  </si>
  <si>
    <t>INDICADORES</t>
  </si>
  <si>
    <t>OCUPACION</t>
  </si>
  <si>
    <t>Empleado</t>
  </si>
  <si>
    <t>Estudiante</t>
  </si>
  <si>
    <t>Independiente</t>
  </si>
  <si>
    <t>Ama de Casa</t>
  </si>
  <si>
    <t>Desempleado</t>
  </si>
  <si>
    <t>ESTADO CIVIL</t>
  </si>
  <si>
    <t>Casado</t>
  </si>
  <si>
    <t>Soltero</t>
  </si>
  <si>
    <t>Separado</t>
  </si>
  <si>
    <t>Viudo</t>
  </si>
  <si>
    <t>Otro</t>
  </si>
  <si>
    <t>V. Amortización Pasivos Financieros</t>
  </si>
  <si>
    <t>VI. Pago de Impuestos</t>
  </si>
  <si>
    <t xml:space="preserve">  1. Préstamo Línea Emprendimiento</t>
  </si>
  <si>
    <t xml:space="preserve">  2. Recursos Propios</t>
  </si>
  <si>
    <t>IV. Recursos Obtenidos</t>
  </si>
  <si>
    <t>Indicadores</t>
  </si>
  <si>
    <t xml:space="preserve">  Liquidez</t>
  </si>
  <si>
    <t xml:space="preserve">  2. Pago compras a crédito</t>
  </si>
  <si>
    <t xml:space="preserve">Pasivos </t>
  </si>
  <si>
    <t>Otros ingresos</t>
  </si>
  <si>
    <t>Vivienda</t>
  </si>
  <si>
    <t>Propia</t>
  </si>
  <si>
    <t>Familiar</t>
  </si>
  <si>
    <t xml:space="preserve">Arriendo </t>
  </si>
  <si>
    <t>CLASE DE EMPRESA</t>
  </si>
  <si>
    <t>Industrial</t>
  </si>
  <si>
    <t>Comercial</t>
  </si>
  <si>
    <t>Servicios</t>
  </si>
  <si>
    <t xml:space="preserve">  </t>
  </si>
  <si>
    <t>Flujo de caja</t>
  </si>
  <si>
    <t>VAN</t>
  </si>
  <si>
    <t>Enero</t>
  </si>
  <si>
    <t>Febrero</t>
  </si>
  <si>
    <t>Marzo</t>
  </si>
  <si>
    <t>Abril</t>
  </si>
  <si>
    <t>Mayo</t>
  </si>
  <si>
    <t>Junio</t>
  </si>
  <si>
    <t>Julio</t>
  </si>
  <si>
    <t>Agosto</t>
  </si>
  <si>
    <t>Septiembre</t>
  </si>
  <si>
    <t>Octubre</t>
  </si>
  <si>
    <t>Noviembre</t>
  </si>
  <si>
    <t>Diciembre</t>
  </si>
  <si>
    <t xml:space="preserve">Enero </t>
  </si>
  <si>
    <t xml:space="preserve">      Ventas de Contado</t>
  </si>
  <si>
    <t xml:space="preserve">      Ventas a Crédito</t>
  </si>
  <si>
    <t xml:space="preserve">      Recuperación Cartera </t>
  </si>
  <si>
    <t xml:space="preserve">      Pago compras a crédito</t>
  </si>
  <si>
    <t xml:space="preserve">      Muebles y Enseres</t>
  </si>
  <si>
    <t xml:space="preserve">      Vehículos</t>
  </si>
  <si>
    <t xml:space="preserve">      Recursos Propios</t>
  </si>
  <si>
    <t xml:space="preserve">      Cuotas de Capital  Crédito Propuesto</t>
  </si>
  <si>
    <t xml:space="preserve">      Pagos Laborales:</t>
  </si>
  <si>
    <t xml:space="preserve">      Arrendamientos</t>
  </si>
  <si>
    <t xml:space="preserve">      Servicios</t>
  </si>
  <si>
    <t xml:space="preserve">      Mantenimiento</t>
  </si>
  <si>
    <t xml:space="preserve">      Publicidad</t>
  </si>
  <si>
    <t xml:space="preserve">      Transporte</t>
  </si>
  <si>
    <t xml:space="preserve">      Otros</t>
  </si>
  <si>
    <t xml:space="preserve">      Compra de Contado Materia Prima e Insumos</t>
  </si>
  <si>
    <t xml:space="preserve">      Compra a Crédito Materia Prima e Insumos</t>
  </si>
  <si>
    <t xml:space="preserve">      Terrenos</t>
  </si>
  <si>
    <t xml:space="preserve">      Edificacions</t>
  </si>
  <si>
    <t xml:space="preserve">      Maquinaria y Equipo </t>
  </si>
  <si>
    <t xml:space="preserve">      Préstamo Línea Emprendimiento</t>
  </si>
  <si>
    <t xml:space="preserve">      Intereses Crédito Propuesto</t>
  </si>
  <si>
    <t xml:space="preserve">      IVA Cobrado</t>
  </si>
  <si>
    <t>Nacionalidad</t>
  </si>
  <si>
    <t>Tipo Documento</t>
  </si>
  <si>
    <t>C.C.</t>
  </si>
  <si>
    <t>C.Extranj</t>
  </si>
  <si>
    <t>ESTRUCTURA DEL MERCADO - UNIDADES</t>
  </si>
  <si>
    <t>VENTAS ANUALES POR PRODUCTO</t>
  </si>
  <si>
    <t xml:space="preserve">Seguridad social </t>
  </si>
  <si>
    <t xml:space="preserve">Seguridad Social </t>
  </si>
  <si>
    <t>DATOS PERSONALES Y DEL PLAN DE NEGOCIO</t>
  </si>
  <si>
    <t>Colombiana</t>
  </si>
  <si>
    <t>Nombre Referidor 1</t>
  </si>
  <si>
    <t>Nombre Referidor 2</t>
  </si>
  <si>
    <t>Dirección Referidor 1</t>
  </si>
  <si>
    <t>Nombre Codeudor</t>
  </si>
  <si>
    <t>Dirección codeudor</t>
  </si>
  <si>
    <t>Barrio codeudor</t>
  </si>
  <si>
    <t>Cr 11 92-21</t>
  </si>
  <si>
    <t>mailcode@correo.com</t>
  </si>
  <si>
    <t>Nombre referencia personal codeudor</t>
  </si>
  <si>
    <t>Dirección referencia codeudor</t>
  </si>
  <si>
    <t>Ernesto Perez</t>
  </si>
  <si>
    <t>Seleccionar</t>
  </si>
  <si>
    <t>Agropecuario - Agricola</t>
  </si>
  <si>
    <t>Agropecuario - Pecuario</t>
  </si>
  <si>
    <t>Industrial - Manufacturero</t>
  </si>
  <si>
    <t>Industrial - Extractivo</t>
  </si>
  <si>
    <t>Comercio - Al por mayor</t>
  </si>
  <si>
    <t>Comercio - Al por menor</t>
  </si>
  <si>
    <t>Comercio - En consignación</t>
  </si>
  <si>
    <t>Sector</t>
  </si>
  <si>
    <t>Tipo documento</t>
  </si>
  <si>
    <t>Masculino</t>
  </si>
  <si>
    <t>Femenino</t>
  </si>
  <si>
    <t>Genero</t>
  </si>
  <si>
    <t>0000</t>
  </si>
  <si>
    <t>0000-Seleccione un código CIIU</t>
  </si>
  <si>
    <t>0010</t>
  </si>
  <si>
    <t>0010-Asalariados</t>
  </si>
  <si>
    <t>0081</t>
  </si>
  <si>
    <t>0081-Personas Naturales sin Actividad Económica</t>
  </si>
  <si>
    <t>0082</t>
  </si>
  <si>
    <t>0082-Personas Naturales Subsidiadas por Terceros</t>
  </si>
  <si>
    <t>0090</t>
  </si>
  <si>
    <t>0090-Rentistas de Capital, solo para personas naturales.</t>
  </si>
  <si>
    <t>0111</t>
  </si>
  <si>
    <t>0111-Cultivo de cereales (excepto arroz), legumbres y semillas oleaginosas.</t>
  </si>
  <si>
    <t>0112</t>
  </si>
  <si>
    <t>0112-Cultivo de arroz.</t>
  </si>
  <si>
    <t>0113</t>
  </si>
  <si>
    <t>0113-Cultivo de hortalizas, raíces y tubérculos.</t>
  </si>
  <si>
    <t>0114</t>
  </si>
  <si>
    <t>0114-Cultivo de tabaco.</t>
  </si>
  <si>
    <t>0115</t>
  </si>
  <si>
    <t>0115-Cultivo de plantas textiles.</t>
  </si>
  <si>
    <t>0119</t>
  </si>
  <si>
    <t>0119-Otros cultivos transitorios n.c.p.</t>
  </si>
  <si>
    <t>0121</t>
  </si>
  <si>
    <t>0121-Cultivo de frutas tropicales y subtropicales.</t>
  </si>
  <si>
    <t>0122</t>
  </si>
  <si>
    <t>0122-Cultivo de plátano y banano.</t>
  </si>
  <si>
    <t>0123</t>
  </si>
  <si>
    <t>0123-Cultivo de café.</t>
  </si>
  <si>
    <t>0124</t>
  </si>
  <si>
    <t>0124-Cultivo de caña de azúcar.</t>
  </si>
  <si>
    <t>0125</t>
  </si>
  <si>
    <t>0125-Cultivo de flor de corte.</t>
  </si>
  <si>
    <t>0126</t>
  </si>
  <si>
    <t>0126-Cultivo de palma para aceite (palma africana) y otros frutos oleaginosos.</t>
  </si>
  <si>
    <t>0127</t>
  </si>
  <si>
    <t>0127-Cultivo de plantas con las que se preparan bebidas.</t>
  </si>
  <si>
    <t>0128</t>
  </si>
  <si>
    <t>0128-Cultivo de especias y de plantas aromáticas y medicinales.</t>
  </si>
  <si>
    <t>0129</t>
  </si>
  <si>
    <t>0129-Otros cultivos permanentes n.c.p.</t>
  </si>
  <si>
    <t>0130</t>
  </si>
  <si>
    <t>0130-Propagación de plantas (actividades de los viveros, excepto viveros forestales).</t>
  </si>
  <si>
    <t>0141</t>
  </si>
  <si>
    <t>0141-Cría de ganado bovino y bufalino.</t>
  </si>
  <si>
    <t>0142</t>
  </si>
  <si>
    <t>0142-Cría de caballos y otros equinos.</t>
  </si>
  <si>
    <t>0143</t>
  </si>
  <si>
    <t>0143-Cría de ovejas y cabras.</t>
  </si>
  <si>
    <t>0144</t>
  </si>
  <si>
    <t>0144-Cría de ganado porcino.</t>
  </si>
  <si>
    <t>0145</t>
  </si>
  <si>
    <t>0145-Cría de aves de corral.</t>
  </si>
  <si>
    <t>0149</t>
  </si>
  <si>
    <t>0149-Cría de otros animales n.c.p.</t>
  </si>
  <si>
    <t>0150</t>
  </si>
  <si>
    <t>0150-Explotación mixta (agrícola y pecuaria).</t>
  </si>
  <si>
    <t>0161</t>
  </si>
  <si>
    <t>0161-Actividades de apoyo a la agricultura.</t>
  </si>
  <si>
    <t>0162</t>
  </si>
  <si>
    <t>0162-Actividades de apoyo a la ganadería.</t>
  </si>
  <si>
    <t>0163</t>
  </si>
  <si>
    <t>0163-Actividades posteriores a la cosecha.</t>
  </si>
  <si>
    <t>0164</t>
  </si>
  <si>
    <t>0164-Tratamiento de semillas para propagación.</t>
  </si>
  <si>
    <t>0170</t>
  </si>
  <si>
    <t>0170-Caza ordinaria y mediante trampas y actividades de servicios conexas.</t>
  </si>
  <si>
    <t>0210</t>
  </si>
  <si>
    <t>0210-Silvicultura y otras actividades forestales.</t>
  </si>
  <si>
    <t>0220</t>
  </si>
  <si>
    <t>0220-Extracción de madera.</t>
  </si>
  <si>
    <t>0230</t>
  </si>
  <si>
    <t>0230-Recolección de productos forestales diferentes a la madera.</t>
  </si>
  <si>
    <t>0240</t>
  </si>
  <si>
    <t>0240-Servicios de apoyo a la silvicultura.</t>
  </si>
  <si>
    <t>0311</t>
  </si>
  <si>
    <t>0311-Pesca marítima.</t>
  </si>
  <si>
    <t>0312</t>
  </si>
  <si>
    <t>0312-Pesca de agua dulce.</t>
  </si>
  <si>
    <t>0321</t>
  </si>
  <si>
    <t>0321-Acuicultura marítima.</t>
  </si>
  <si>
    <t>0322</t>
  </si>
  <si>
    <t>0322-Acuicultura de agua dulce.</t>
  </si>
  <si>
    <t>0510</t>
  </si>
  <si>
    <t>0510-Extracción de hulla (carbón de piedra).</t>
  </si>
  <si>
    <t>0520</t>
  </si>
  <si>
    <t>0520-Extracción de carbón lignito.</t>
  </si>
  <si>
    <t>0610</t>
  </si>
  <si>
    <t>0610-Extracción de petróleo crudo.</t>
  </si>
  <si>
    <t>0620</t>
  </si>
  <si>
    <t>0620-Extracción de gas natural.</t>
  </si>
  <si>
    <t>0710</t>
  </si>
  <si>
    <t>0710-Extracción de minerales de hierro.</t>
  </si>
  <si>
    <t>0721</t>
  </si>
  <si>
    <t>0721-Extracción de minerales de uranio y de torio.</t>
  </si>
  <si>
    <t>0722</t>
  </si>
  <si>
    <t>0722-Extracción de oro y otros metales preciosos.</t>
  </si>
  <si>
    <t>0723</t>
  </si>
  <si>
    <t>0723-Extracción de minerales de níquel.</t>
  </si>
  <si>
    <t>0729</t>
  </si>
  <si>
    <t>0729-Extracción de otros minerales metalíferos no ferrosos n.c.p.</t>
  </si>
  <si>
    <t>0811</t>
  </si>
  <si>
    <t>0811-Extracción de piedra, arena, arcillas comunes, yeso y anhidrita.</t>
  </si>
  <si>
    <t>0812</t>
  </si>
  <si>
    <t>0812-Extracción de arcillas de uso industrial, caliza, caolín y bentonitas.</t>
  </si>
  <si>
    <t>0820</t>
  </si>
  <si>
    <t>0820-Extracción de esmeraldas, piedras preciosas y semipreciosas.</t>
  </si>
  <si>
    <t>0891</t>
  </si>
  <si>
    <t>0891-Extracción de minerales para la fabricación de abonos y productos químicos.</t>
  </si>
  <si>
    <t>0892</t>
  </si>
  <si>
    <t>0892-Extracción de halita (sal).</t>
  </si>
  <si>
    <t>0899</t>
  </si>
  <si>
    <t>0899-Extracción de otros minerales no metálicos n.c.p.</t>
  </si>
  <si>
    <t>0910</t>
  </si>
  <si>
    <t>0910-Actividades de apoyo para la extracción de petróleo y de gas natural.</t>
  </si>
  <si>
    <t>0990</t>
  </si>
  <si>
    <t>0990-Actividades de apoyo para otras actividades de explotación de minas y canteras.</t>
  </si>
  <si>
    <t>1011</t>
  </si>
  <si>
    <t>1011-Procesamiento y conservación de carne y productos cárnicos.</t>
  </si>
  <si>
    <t>1012</t>
  </si>
  <si>
    <t>1012-Procesamiento y conservación de pescados, crustáceos y moluscos.</t>
  </si>
  <si>
    <t>1020</t>
  </si>
  <si>
    <t>1020-Procesamiento y conservación de frutas, legumbres, hortalizas y tubérculos.</t>
  </si>
  <si>
    <t>1030</t>
  </si>
  <si>
    <t>1030-Elaboración de aceites y grasas de origen vegetal y animal.</t>
  </si>
  <si>
    <t>1040</t>
  </si>
  <si>
    <t>1040-Elaboración de productos lácteos.</t>
  </si>
  <si>
    <t>1051</t>
  </si>
  <si>
    <t>1051-Elaboración de productos de molinería.</t>
  </si>
  <si>
    <t>1052</t>
  </si>
  <si>
    <t>1052-Elaboración de almidones y productos derivados del almidón.</t>
  </si>
  <si>
    <t>1061</t>
  </si>
  <si>
    <t>1061-Trilla de café.</t>
  </si>
  <si>
    <t>1062</t>
  </si>
  <si>
    <t>1062-Descafeinado, tostión y molienda del café.</t>
  </si>
  <si>
    <t>1063</t>
  </si>
  <si>
    <t>1063-Otros derivados del café.</t>
  </si>
  <si>
    <t>1071</t>
  </si>
  <si>
    <t>1071-Elaboración y refinación de azúcar.</t>
  </si>
  <si>
    <t>1072</t>
  </si>
  <si>
    <t>1072-Elaboración de panela.</t>
  </si>
  <si>
    <t>1081</t>
  </si>
  <si>
    <t>1081-Elaboración de productos de panadería.</t>
  </si>
  <si>
    <t>1082</t>
  </si>
  <si>
    <t>1082-Elaboración de cacao, chocolate y productos de confitería.</t>
  </si>
  <si>
    <t>1083</t>
  </si>
  <si>
    <t>1083-Elaboración de macarrones, fideos, alcuzcuz y productos farináceos similares.</t>
  </si>
  <si>
    <t>1084</t>
  </si>
  <si>
    <t>1084-Elaboración de comidas y platos preparados.</t>
  </si>
  <si>
    <t>1089</t>
  </si>
  <si>
    <t>1089-Elaboración de otros productos alimenticios n.c.p.</t>
  </si>
  <si>
    <t>1090</t>
  </si>
  <si>
    <t>1090-Elaboración de alimentos preparados para animales.</t>
  </si>
  <si>
    <t>1101</t>
  </si>
  <si>
    <t>1101-Destilación, rectificación y mezcla de bebidas alcohólicas.</t>
  </si>
  <si>
    <t>1102</t>
  </si>
  <si>
    <t>1102-Elaboración de bebidas fermentadas no destiladas.</t>
  </si>
  <si>
    <t>1103</t>
  </si>
  <si>
    <t>1103-Producción de malta, elaboración de cervezas y otras bebidas malteadas.</t>
  </si>
  <si>
    <t>1104</t>
  </si>
  <si>
    <t>1104-Elaboración de bebidas no alcohólicas, producción de aguas minerales y de otras aguas embotelladas.</t>
  </si>
  <si>
    <t>1200</t>
  </si>
  <si>
    <t>1200-Elaboración de productos de tabaco.</t>
  </si>
  <si>
    <t>1311</t>
  </si>
  <si>
    <t>1311-Preparación e hilatura de fibras textiles.</t>
  </si>
  <si>
    <t>1312</t>
  </si>
  <si>
    <t>1312-Tejeduría de productos textiles.</t>
  </si>
  <si>
    <t>1313</t>
  </si>
  <si>
    <t>1313-Acabado de productos textiles.</t>
  </si>
  <si>
    <t>1391</t>
  </si>
  <si>
    <t>1391-Fabricación de tejidos de punto y ganchillo.</t>
  </si>
  <si>
    <t>1392</t>
  </si>
  <si>
    <t>1392-Confección de artículos con materiales textiles, excepto prendas de vestir.</t>
  </si>
  <si>
    <t>1393</t>
  </si>
  <si>
    <t>1393-Fabricación de tapetes y alfombras para pisos.</t>
  </si>
  <si>
    <t>1394</t>
  </si>
  <si>
    <t>1394-Fabricación de cuerdas, cordeles, cables, bramantes y redes.</t>
  </si>
  <si>
    <t>1399</t>
  </si>
  <si>
    <t>1399-Fabricación de otros artículos textiles n.c.p.</t>
  </si>
  <si>
    <t>1410</t>
  </si>
  <si>
    <t>1410-Confección de prendas de vestir, excepto prendas de piel.</t>
  </si>
  <si>
    <t>1420</t>
  </si>
  <si>
    <t>1420-Fabricación de artículos de piel.</t>
  </si>
  <si>
    <t>1430</t>
  </si>
  <si>
    <t>1430-Fabricación de artículos de punto y ganchillo.</t>
  </si>
  <si>
    <t>1511</t>
  </si>
  <si>
    <t>1511-Curtido y recurtido de cueros; recurtido y teñido de pieles.</t>
  </si>
  <si>
    <t>1512</t>
  </si>
  <si>
    <t>1512-Fabricación de artículos de viaje, bolsos de mano y artículos similares elaborados en cuero, y fabricación de artículos de talabartería y guarnicionería.</t>
  </si>
  <si>
    <t>1513</t>
  </si>
  <si>
    <t>1513-Fabricación de artículos de viaje, bolsos de mano y artículos similares; artículos de talabartería y guarnicionería elaborados en otros materiales.</t>
  </si>
  <si>
    <t>1521</t>
  </si>
  <si>
    <t>1521-Fabricación de calzado de cuero y piel, con cualquier tipo de suela.</t>
  </si>
  <si>
    <t>1522</t>
  </si>
  <si>
    <t>1522-Fabricación de otros tipos de calzado, excepto calzado de cuero y piel.</t>
  </si>
  <si>
    <t>1523</t>
  </si>
  <si>
    <t>1523-Fabricación de partes del calzado.</t>
  </si>
  <si>
    <t>1610</t>
  </si>
  <si>
    <t>1610-Aserrado, acepillado e impregnación de la madera.</t>
  </si>
  <si>
    <t>1620</t>
  </si>
  <si>
    <t>1620-Fabricación de hojas de madera para enchapado; fabricación de tableros contrachapados, tableros laminados, tableros de partículas y otros tableros y paneles.</t>
  </si>
  <si>
    <t>1630</t>
  </si>
  <si>
    <t>1630-Fabricación de partes y piezas de madera, de carpintería y ebanistería para la construcción.</t>
  </si>
  <si>
    <t>1640</t>
  </si>
  <si>
    <t>1640-Fabricación de recipientes de madera.</t>
  </si>
  <si>
    <t>1690</t>
  </si>
  <si>
    <t>1690-Fabricación de otros productos de madera; fabricación de artículos de corcho, cestería y espartería.</t>
  </si>
  <si>
    <t>1701</t>
  </si>
  <si>
    <t>1701-Fabricación de pulpas (pastas) celulósicas; papel y cartón.</t>
  </si>
  <si>
    <t>1702</t>
  </si>
  <si>
    <t>1702-Fabricación de papel y cartón ondulado (corrugado); fabricación de envases, empaques y de embalajes de papel y cartón.</t>
  </si>
  <si>
    <t>1709</t>
  </si>
  <si>
    <t>1709-Fabricación de otros artículos de papel y cartón.</t>
  </si>
  <si>
    <t>1811</t>
  </si>
  <si>
    <t>1811-Actividades de impresión.</t>
  </si>
  <si>
    <t>1812</t>
  </si>
  <si>
    <t>1812-Actividades de servicios relacionados con la impresión.</t>
  </si>
  <si>
    <t>1820</t>
  </si>
  <si>
    <t>1820-Producción de copias a partir de grabaciones originales.</t>
  </si>
  <si>
    <t>1910</t>
  </si>
  <si>
    <t>1910-Fabricación de productos de hornos de coque.</t>
  </si>
  <si>
    <t>1921</t>
  </si>
  <si>
    <t>1921-Fabricación de productos de la refinación del petróleo.</t>
  </si>
  <si>
    <t>1922</t>
  </si>
  <si>
    <t>1922-Actividad de mezcla de combustibles.</t>
  </si>
  <si>
    <t>2011</t>
  </si>
  <si>
    <t>2011-Fabricación de sustancias y productos químicos básicos.</t>
  </si>
  <si>
    <t>2012</t>
  </si>
  <si>
    <t>2012-Fabricación de abonos y compuestos inorgánicos nitrogenados.</t>
  </si>
  <si>
    <t>2013</t>
  </si>
  <si>
    <t>2013-Fabricación de plásticos en formas primarias.</t>
  </si>
  <si>
    <t>2014</t>
  </si>
  <si>
    <t>2014-Fabricación de caucho sintético en formas primarias.</t>
  </si>
  <si>
    <t>2021</t>
  </si>
  <si>
    <t>2021-Fabricación de plaguicidas y otros productos químicos de uso agropecuario.</t>
  </si>
  <si>
    <t>2022</t>
  </si>
  <si>
    <t>2022-Fabricación de pinturas, barnices y revestimientos similares, tintas para impresión y masillas.</t>
  </si>
  <si>
    <t>2023</t>
  </si>
  <si>
    <t>2023-Fabricación de jabones y detergentes, preparados para limpiar y pulir; perfumes y preparados de tocador.</t>
  </si>
  <si>
    <t>2029</t>
  </si>
  <si>
    <t>2029-Fabricación de otros productos químicos n.c.p.</t>
  </si>
  <si>
    <t>2030</t>
  </si>
  <si>
    <t>2030-Fabricación de fibras sintéticas y artificiales.</t>
  </si>
  <si>
    <t>2100</t>
  </si>
  <si>
    <t>2100-Fabricación de productos farmacéuticos, sustancias químicas medicinales y productos botánicos de uso farmacéutico.</t>
  </si>
  <si>
    <t>2211</t>
  </si>
  <si>
    <t>2211-Fabricación de llantas y neumáticos de caucho</t>
  </si>
  <si>
    <t>2212</t>
  </si>
  <si>
    <t>2212-Reencauche de llantas usadas</t>
  </si>
  <si>
    <t>2219</t>
  </si>
  <si>
    <t>2219-Fabricación de formas básicas de caucho y otros productos de caucho n.c.p.</t>
  </si>
  <si>
    <t>2221</t>
  </si>
  <si>
    <t>2221-Fabricación de formas básicas de plástico.</t>
  </si>
  <si>
    <t>2229</t>
  </si>
  <si>
    <t>2229-Fabricación de artículos de plástico n.c.p.</t>
  </si>
  <si>
    <t>2310</t>
  </si>
  <si>
    <t>2310-Fabricación de vidrio y productos de vidrio.</t>
  </si>
  <si>
    <t>2391</t>
  </si>
  <si>
    <t>2391-Fabricación de productos refractarios.</t>
  </si>
  <si>
    <t>2392</t>
  </si>
  <si>
    <t>2392-Fabricación de materiales de arcilla para la construcción.</t>
  </si>
  <si>
    <t>2393</t>
  </si>
  <si>
    <t>2393-Fabricación de otros productos de cerámica y porcelana.</t>
  </si>
  <si>
    <t>2394</t>
  </si>
  <si>
    <t>2394-Fabricación de cemento, cal y yeso.</t>
  </si>
  <si>
    <t>2395</t>
  </si>
  <si>
    <t>2395-Fabricación de artículos de hormigón, cemento y yeso.</t>
  </si>
  <si>
    <t>2396</t>
  </si>
  <si>
    <t>2396-Corte, tallado y acabado de la piedra.</t>
  </si>
  <si>
    <t>2399</t>
  </si>
  <si>
    <t>2399-Fabricación de otros productos minerales no metálicos n.c.p.</t>
  </si>
  <si>
    <t>2410</t>
  </si>
  <si>
    <t>2410-Industrias básicas de hierro y de acero.</t>
  </si>
  <si>
    <t>2421</t>
  </si>
  <si>
    <t>2421-Industrias básicas de metales preciosos.</t>
  </si>
  <si>
    <t>2429</t>
  </si>
  <si>
    <t>2429-Industrias básicas de otros metales no ferrosos.</t>
  </si>
  <si>
    <t>2431</t>
  </si>
  <si>
    <t>2431-Fundición de hierro y de acero.</t>
  </si>
  <si>
    <t>2432</t>
  </si>
  <si>
    <t>2432-Fundición de metales no ferrosos.</t>
  </si>
  <si>
    <t>2511</t>
  </si>
  <si>
    <t>2511-Fabricación de productos metálicos para uso estructural.</t>
  </si>
  <si>
    <t>2512</t>
  </si>
  <si>
    <t>2512-Fabricación de tanques, depósitos y recipientes de metal, excepto los utilizados para el envase o transporte de mercancías.</t>
  </si>
  <si>
    <t>2513</t>
  </si>
  <si>
    <t>2513-Fabricación de generadores de vapor, excepto calderas de agua caliente para calefacción central.</t>
  </si>
  <si>
    <t>2520</t>
  </si>
  <si>
    <t>2520-Fabricación de armas y municiones.</t>
  </si>
  <si>
    <t>2591</t>
  </si>
  <si>
    <t>2591-Forja, prensado, estampado y laminado de metal; pulvimetalurgia.</t>
  </si>
  <si>
    <t>2592</t>
  </si>
  <si>
    <t>2592-Tratamiento y revestimiento de metales; mecanizado.</t>
  </si>
  <si>
    <t>2593</t>
  </si>
  <si>
    <t>2593-Fabricación de artículos de cuchillería, herramientas de mano y artículos de ferretería.</t>
  </si>
  <si>
    <t>2599</t>
  </si>
  <si>
    <t>2599-Fabricación de otros productos elaborados de metal n.c.p.</t>
  </si>
  <si>
    <t>2610</t>
  </si>
  <si>
    <t>2610-Fabricación de componentes y tableros electrónicos.</t>
  </si>
  <si>
    <t>2620</t>
  </si>
  <si>
    <t>2620-Fabricación de computadoras y de equipo periférico.</t>
  </si>
  <si>
    <t>2630</t>
  </si>
  <si>
    <t>2630-Fabricación de equipos de comunicación.</t>
  </si>
  <si>
    <t>2640</t>
  </si>
  <si>
    <t>2640-Fabricación de aparatos electrónicos de consumo.</t>
  </si>
  <si>
    <t>2651</t>
  </si>
  <si>
    <t>2651-Fabricación de equipo de medición, prueba, navegación y control.</t>
  </si>
  <si>
    <t>2652</t>
  </si>
  <si>
    <t>2652-Fabricación de relojes.</t>
  </si>
  <si>
    <t>2660</t>
  </si>
  <si>
    <t>2660-Fabricación de equipo de irradiación y equipo electrónico de uso médico y terapéutico.</t>
  </si>
  <si>
    <t>2670</t>
  </si>
  <si>
    <t>2670-Fabricación de instrumentos ópticos y equipo fotográfico.</t>
  </si>
  <si>
    <t>2680</t>
  </si>
  <si>
    <t>2680-Fabricación de medios magnéticos y ópticos para almacenamiento de datos.</t>
  </si>
  <si>
    <t>2711</t>
  </si>
  <si>
    <t>2711-Fabricación de motores, generadores y transformadores eléctricos.</t>
  </si>
  <si>
    <t>2712</t>
  </si>
  <si>
    <t>2712-Fabricación de aparatos de distribución y control de la energía eléctrica.</t>
  </si>
  <si>
    <t>2720</t>
  </si>
  <si>
    <t>2720-Fabricación de pilas, baterías y acumuladores eléctricos.</t>
  </si>
  <si>
    <t>2731</t>
  </si>
  <si>
    <t>2731-Fabricación de hilos y cables eléctricos y de fibra óptica.</t>
  </si>
  <si>
    <t>2732</t>
  </si>
  <si>
    <t>2732-Fabricación de dispositivos de cableado.</t>
  </si>
  <si>
    <t>2740</t>
  </si>
  <si>
    <t>2740-Fabricación de equipos eléctricos de iluminación.</t>
  </si>
  <si>
    <t>2750</t>
  </si>
  <si>
    <t>2750-Fabricación de aparatos de uso doméstico.</t>
  </si>
  <si>
    <t>2790</t>
  </si>
  <si>
    <t>2790-Fabricación de otros tipos de equipo eléctrico n.c.p.</t>
  </si>
  <si>
    <t>2811</t>
  </si>
  <si>
    <t>2811-Fabricación de motores, turbinas, y partes para motores de combustión interna.</t>
  </si>
  <si>
    <t>2812</t>
  </si>
  <si>
    <t>2812-Fabricación de equipos de potencia hidráulica y neumática.</t>
  </si>
  <si>
    <t>2813</t>
  </si>
  <si>
    <t>2813-Fabricación de otras bombas, compresores, grifos y válvulas.</t>
  </si>
  <si>
    <t>2814</t>
  </si>
  <si>
    <t>2814-Fabricación de cojinetes, engranajes, trenes de engranajes y piezas de transmisión.</t>
  </si>
  <si>
    <t>2815</t>
  </si>
  <si>
    <t>2815-Fabricación de hornos, hogares y quemadores industriales.</t>
  </si>
  <si>
    <t>2816</t>
  </si>
  <si>
    <t>2816-Fabricación de equipo de elevación y manipulación.</t>
  </si>
  <si>
    <t>2817</t>
  </si>
  <si>
    <t>2817-Fabricación de maquinaria y equipo de oficina (excepto computadoras y equipo periférico).</t>
  </si>
  <si>
    <t>2818</t>
  </si>
  <si>
    <t>2818-Fabricación de herramientas manuales con motor.</t>
  </si>
  <si>
    <t>2819</t>
  </si>
  <si>
    <t>2819-Fabricación de otros tipos de maquinaria y equipo de uso general n.c.p.</t>
  </si>
  <si>
    <t>2821</t>
  </si>
  <si>
    <t>2821-Fabricación de maquinaria agropecuaria y forestal.</t>
  </si>
  <si>
    <t>2822</t>
  </si>
  <si>
    <t>2822-Fabricación de máquinas formadoras de metal y de máquinas herramienta.</t>
  </si>
  <si>
    <t>2823</t>
  </si>
  <si>
    <t>2823-Fabricación de maquinaria para la metalurgia.</t>
  </si>
  <si>
    <t>2824</t>
  </si>
  <si>
    <t>2824-Fabricación de maquinaria para explotación de minas y canteras y para obras de construcción.</t>
  </si>
  <si>
    <t>2825</t>
  </si>
  <si>
    <t>2825-Fabricación de maquinaria para la elaboración de alimentos, bebidas y tabaco.</t>
  </si>
  <si>
    <t>2826</t>
  </si>
  <si>
    <t>2826-Fabricación de maquinaria para la elaboración de productos textiles, prendas de vestir y cueros.</t>
  </si>
  <si>
    <t>2829</t>
  </si>
  <si>
    <t>2829-Fabricación de otros tipos de maquinaria y equipo de uso especial n.c.p.</t>
  </si>
  <si>
    <t>2910</t>
  </si>
  <si>
    <t>2910-Fabricación de vehículos automotores y sus motores.</t>
  </si>
  <si>
    <t>2920</t>
  </si>
  <si>
    <t>2920-Fabricación de carrocerías para vehículos automotores; fabricación de remolques y semirremolques.</t>
  </si>
  <si>
    <t>2930</t>
  </si>
  <si>
    <t>2930-Fabricación de partes, piezas (autopartes) y accesorios (lujos) para vehículos automotores.</t>
  </si>
  <si>
    <t>3011</t>
  </si>
  <si>
    <t>3011-Construcción de barcos y de estructuras flotantes.</t>
  </si>
  <si>
    <t>3012</t>
  </si>
  <si>
    <t>3012-Construcción de embarcaciones de recreo y deporte.</t>
  </si>
  <si>
    <t>3020</t>
  </si>
  <si>
    <t>3020-Fabricación de locomotoras y de material rodante para ferrocarriles.</t>
  </si>
  <si>
    <t>3030</t>
  </si>
  <si>
    <t>3030-Fabricación de aeronaves, naves espaciales y de maquinaria conexa.</t>
  </si>
  <si>
    <t>3040</t>
  </si>
  <si>
    <t>3040-Fabricación de vehículos militares de combate.</t>
  </si>
  <si>
    <t>3091</t>
  </si>
  <si>
    <t>3091-Fabricación de motocicletas.</t>
  </si>
  <si>
    <t>3092</t>
  </si>
  <si>
    <t>3092-Fabricación de bicicletas y de sillas de ruedas para personas con discapacidad.</t>
  </si>
  <si>
    <t>3099</t>
  </si>
  <si>
    <t>3099-Fabricación de otros tipos de equipo de transporte n.c.p.</t>
  </si>
  <si>
    <t>3110</t>
  </si>
  <si>
    <t>3110-Fabricación de muebles.</t>
  </si>
  <si>
    <t>3120</t>
  </si>
  <si>
    <t>3120-Fabricación de colchones y somieres.</t>
  </si>
  <si>
    <t>3210</t>
  </si>
  <si>
    <t>3210-Fabricación de joyas, bisutería y artículos conexos.</t>
  </si>
  <si>
    <t>3220</t>
  </si>
  <si>
    <t>3220-Fabricación de instrumentos musicales.</t>
  </si>
  <si>
    <t>3230</t>
  </si>
  <si>
    <t>3230-Fabricación de artículos y equipo para la práctica del deporte.</t>
  </si>
  <si>
    <t>3240</t>
  </si>
  <si>
    <t>3240-Fabricación de juegos, juguetes y rompecabezas.</t>
  </si>
  <si>
    <t>3250</t>
  </si>
  <si>
    <t>3250-Fabricación de instrumentos, aparatos y materiales médicos y odontológicos (incluido mobiliario).</t>
  </si>
  <si>
    <t>3290</t>
  </si>
  <si>
    <t>3290-Otras industrias manufactureras n.c.p.</t>
  </si>
  <si>
    <t>3311</t>
  </si>
  <si>
    <t>3311-Mantenimiento y reparación especializado de productos elaborados en metal.</t>
  </si>
  <si>
    <t>3312</t>
  </si>
  <si>
    <t>3312-Mantenimiento y reparación especializado de maquinaria y equipo.</t>
  </si>
  <si>
    <t>3313</t>
  </si>
  <si>
    <t>3313-Mantenimiento y reparación especializado de equipo electrónico y óptico.</t>
  </si>
  <si>
    <t>3314</t>
  </si>
  <si>
    <t>3314-Mantenimiento y reparación especializado de equipo eléctrico.</t>
  </si>
  <si>
    <t>3315</t>
  </si>
  <si>
    <t>3315-Mantenimiento y reparación especializado de equipo de transporte, excepto los vehículos automotores, motocicletas y bicicletas.</t>
  </si>
  <si>
    <t>3319</t>
  </si>
  <si>
    <t>3319-Mantenimiento y reparación de otros tipos de equipos y sus componentes n.c.p.</t>
  </si>
  <si>
    <t>3320</t>
  </si>
  <si>
    <t>3320-Instalación especializada de maquinaria y equipo industrial.</t>
  </si>
  <si>
    <t>3511</t>
  </si>
  <si>
    <t>3511-Generación de energía eléctrica.</t>
  </si>
  <si>
    <t>3512</t>
  </si>
  <si>
    <t>3512-Transmisión de energía eléctrica.</t>
  </si>
  <si>
    <t>3513</t>
  </si>
  <si>
    <t>3513-Distribución de energía eléctrica.</t>
  </si>
  <si>
    <t>3514</t>
  </si>
  <si>
    <t>3514-Comercialización de energía eléctrica.</t>
  </si>
  <si>
    <t>3520</t>
  </si>
  <si>
    <t>3520-Producción de gas; distribución de combustibles gaseosos por tuberías.</t>
  </si>
  <si>
    <t>3530</t>
  </si>
  <si>
    <t>3530-Suministro de vapor y aire acondicionado.</t>
  </si>
  <si>
    <t>3600</t>
  </si>
  <si>
    <t>3600-Captación, tratamiento y distribución de agua.</t>
  </si>
  <si>
    <t>3700</t>
  </si>
  <si>
    <t>3700-Evacuación y tratamiento de aguas residuales.</t>
  </si>
  <si>
    <t>3811</t>
  </si>
  <si>
    <t>3811-Recolección de desechos no peligrosos.</t>
  </si>
  <si>
    <t>3812</t>
  </si>
  <si>
    <t>3812-Recolección de desechos peligrosos.</t>
  </si>
  <si>
    <t>3821</t>
  </si>
  <si>
    <t>3821-Tratamiento y disposición de desechos no peligrosos.</t>
  </si>
  <si>
    <t>3822</t>
  </si>
  <si>
    <t>3822-Tratamiento y disposición de desechos peligrosos.</t>
  </si>
  <si>
    <t>3830</t>
  </si>
  <si>
    <t>3830-Recuperación de materiales.</t>
  </si>
  <si>
    <t>3900</t>
  </si>
  <si>
    <t>3900-Actividades de saneamiento ambiental y otros servicios de gestión de desechos.</t>
  </si>
  <si>
    <t>4111</t>
  </si>
  <si>
    <t>4111-Construcción de edificios residenciales.</t>
  </si>
  <si>
    <t>4112</t>
  </si>
  <si>
    <t>4112-Construcción de edificios no residenciales.</t>
  </si>
  <si>
    <t>4210</t>
  </si>
  <si>
    <t>4210-Construcción de carreteras y vías de ferrocarril.</t>
  </si>
  <si>
    <t>4220</t>
  </si>
  <si>
    <t>4220-Construcción de proyectos de servicio público.</t>
  </si>
  <si>
    <t>4290</t>
  </si>
  <si>
    <t>4290-Construcción de otras obras de ingeniería civil.</t>
  </si>
  <si>
    <t>4311</t>
  </si>
  <si>
    <t>4311-Demolición.</t>
  </si>
  <si>
    <t>4312</t>
  </si>
  <si>
    <t>4312-Preparación del terreno.</t>
  </si>
  <si>
    <t>4321</t>
  </si>
  <si>
    <t>4321-Instalaciones eléctricas.</t>
  </si>
  <si>
    <t>4322</t>
  </si>
  <si>
    <t>4322-Instalaciones de fontanería, calefacción y aire acondicionado.</t>
  </si>
  <si>
    <t>4329</t>
  </si>
  <si>
    <t>4329-Otras instalaciones especializadas.</t>
  </si>
  <si>
    <t>4330</t>
  </si>
  <si>
    <t>4330-Terminación y acabado de edificios y obras de ingeniería civil.</t>
  </si>
  <si>
    <t>4390</t>
  </si>
  <si>
    <t>4390-Otras actividades especializadas para la construcción de edificios y obras de ingeniería civil.</t>
  </si>
  <si>
    <t>4511</t>
  </si>
  <si>
    <t>4511-Comercio de vehículos automotores nuevos.</t>
  </si>
  <si>
    <t>4512</t>
  </si>
  <si>
    <t>4512-Comercio de vehículos automotores usados.</t>
  </si>
  <si>
    <t>4520</t>
  </si>
  <si>
    <t>4520-Mantenimiento y reparación de vehículos automotores.</t>
  </si>
  <si>
    <t>4530</t>
  </si>
  <si>
    <t>4530-Comercio de partes, piezas (autopartes) y accesorios (lujos) para vehículos automotores.</t>
  </si>
  <si>
    <t>4541</t>
  </si>
  <si>
    <t>4541-Comercio de motocicletas y de sus partes, piezas y accesorios.</t>
  </si>
  <si>
    <t>4542</t>
  </si>
  <si>
    <t>4542-Mantenimiento y reparación de motocicletas y de sus partes y piezas.</t>
  </si>
  <si>
    <t>4610</t>
  </si>
  <si>
    <t>4610-Comercio al por mayor a cambio de una retribución o por contrata.</t>
  </si>
  <si>
    <t>4620</t>
  </si>
  <si>
    <t>4620-Comercio al por mayor de materias primas agropecuarias; animales vivos.</t>
  </si>
  <si>
    <t>4631</t>
  </si>
  <si>
    <t>4631-Comercio al por mayor de productos alimenticios.</t>
  </si>
  <si>
    <t>4632</t>
  </si>
  <si>
    <t>4632-Comercio al por mayor de bebidas y tabaco.</t>
  </si>
  <si>
    <t>4641</t>
  </si>
  <si>
    <t>4641-Comercio al por mayor de productos textiles, productos confeccionados para uso doméstico.</t>
  </si>
  <si>
    <t>4642</t>
  </si>
  <si>
    <t>4642-Comercio al por mayor de prendas de vestir.</t>
  </si>
  <si>
    <t>4643</t>
  </si>
  <si>
    <t>4643-Comercio al por mayor de calzado.</t>
  </si>
  <si>
    <t>4644</t>
  </si>
  <si>
    <t>4644-Comercio al por mayor de aparatos y equipo de uso doméstico.</t>
  </si>
  <si>
    <t>4645</t>
  </si>
  <si>
    <t>4645-Comercio al por mayor de productos farmacéuticos, medicinales, cosméticos y de tocador.</t>
  </si>
  <si>
    <t>4649</t>
  </si>
  <si>
    <t>4649-Comercio al por mayor de otros utensilios domésticos n.c.p.</t>
  </si>
  <si>
    <t>4651</t>
  </si>
  <si>
    <t>4651-Comercio al por mayor de computadores, equipo periférico y programas de informática.</t>
  </si>
  <si>
    <t>4652</t>
  </si>
  <si>
    <t>4652-Comercio al por mayor de equipo, partes y piezas electrónicos y de telecomunicaciones.</t>
  </si>
  <si>
    <t>4653</t>
  </si>
  <si>
    <t>4653-Comercio al por mayor de maquinaria y equipo agropecuarios.</t>
  </si>
  <si>
    <t>4659</t>
  </si>
  <si>
    <t>4659-Comercio al por mayor de otros tipos de maquinaria y equipo n.c.p.</t>
  </si>
  <si>
    <t>4661</t>
  </si>
  <si>
    <t>4661-Comercio al por mayor de combustibles sólidos, líquidos, gaseosos y productos conexos.</t>
  </si>
  <si>
    <t>4662</t>
  </si>
  <si>
    <t>4662-Comercio al por mayor de metales y productos metalíferos.</t>
  </si>
  <si>
    <t>4663</t>
  </si>
  <si>
    <t>4663-Comercio al por mayor de materiales de construcción, artículos de ferretería, pinturas, productos de vidrio, equipo y materiales de fontanería y calefacción.</t>
  </si>
  <si>
    <t>4664</t>
  </si>
  <si>
    <t>4664-Comercio al por mayor de productos químicos básicos, cauchos y plásticos en formas primarias y productos químicos de uso agropecuario.</t>
  </si>
  <si>
    <t>4665</t>
  </si>
  <si>
    <t>4665-Comercio al por mayor de desperdicios, desechos y chatarra.</t>
  </si>
  <si>
    <t>4669</t>
  </si>
  <si>
    <t>4669-Comercio al por mayor de otros productos n.c.p.</t>
  </si>
  <si>
    <t>4690</t>
  </si>
  <si>
    <t>4690-Comercio al por mayor no especializado.</t>
  </si>
  <si>
    <t>4711</t>
  </si>
  <si>
    <t>4711-Comercio al por menor en establecimientos no especializados con surtido compuesto principalmente por alimentos, bebidas o tabaco.</t>
  </si>
  <si>
    <t>4719</t>
  </si>
  <si>
    <t>4719-Comercio al por menor en establecimientos no especializados, con surtido compuesto principalmente por productos diferentes de alimentos (víveres en general), bebidas y tabaco.</t>
  </si>
  <si>
    <t>4721</t>
  </si>
  <si>
    <t>4721-Comercio al por menor de productos agrícolas para el consumo en establecimientos especializados.</t>
  </si>
  <si>
    <t>4722</t>
  </si>
  <si>
    <t>4722-Comercio al por menor de leche, productos lácteos y huevos, en establecimientos especializados.</t>
  </si>
  <si>
    <t>4723</t>
  </si>
  <si>
    <t>4723-Comercio al por menor de carnes (incluye aves de corral), productos cárnicos, pescados y productos de mar, en establecimientos especializados.</t>
  </si>
  <si>
    <t>4724</t>
  </si>
  <si>
    <t>4724-Comercio al por menor de bebidas y productos del tabaco, en establecimientos especializados.</t>
  </si>
  <si>
    <t>4729</t>
  </si>
  <si>
    <t>4729-Comercio al por menor de otros productos alimenticios n.c.p., en establecimientos especializados.</t>
  </si>
  <si>
    <t>4731</t>
  </si>
  <si>
    <t>4731-Comercio al por menor de combustible para automotores.</t>
  </si>
  <si>
    <t>4732</t>
  </si>
  <si>
    <t>4732-Comercio al por menor de lubricantes (aceites, grasas), aditivos y productos de limpieza para vehículos automotores.</t>
  </si>
  <si>
    <t>4741</t>
  </si>
  <si>
    <t>4741-Comercio al por menor de computadores, equipos periféricos, programas de informática y equipos de telecomunicaciones en establecimientos especializados.</t>
  </si>
  <si>
    <t>4742</t>
  </si>
  <si>
    <t>4742-Comercio al por menor de equipos y aparatos de sonido y de video, en establecimientos especializados.</t>
  </si>
  <si>
    <t>4751</t>
  </si>
  <si>
    <t>4751-Comercio al por menor de productos textiles en establecimientos especializados.</t>
  </si>
  <si>
    <t>4752</t>
  </si>
  <si>
    <t>4752-Comercio al por menor de artículos de ferretería, pinturas y productos de vidrio en establecimientos especializados.</t>
  </si>
  <si>
    <t>4753</t>
  </si>
  <si>
    <t>4753-Comercio al por menor de tapices, alfombras y cubrimientos para paredes y pisos en establecimientos especializados.</t>
  </si>
  <si>
    <t>4754</t>
  </si>
  <si>
    <t>4754-Comercio al por menor de electrodomésticos y gasodomésticos de uso doméstico, muebles y equipos de iluminación.</t>
  </si>
  <si>
    <t>4755</t>
  </si>
  <si>
    <t>4755-Comercio al por menor de artículos y utensilios de uso doméstico.</t>
  </si>
  <si>
    <t>4759</t>
  </si>
  <si>
    <t>4759-Comercio al por menor de otros artículos domésticos en establecimientos especializados.</t>
  </si>
  <si>
    <t>4761</t>
  </si>
  <si>
    <t>4761-Comercio al por menor de libros, periódicos, materiales y artículos de papelería y escritorio, en establecimientos especializados.</t>
  </si>
  <si>
    <t>4762</t>
  </si>
  <si>
    <t>4762-Comercio al por menor de artículos deportivos, en establecimientos especializados.</t>
  </si>
  <si>
    <t>4769</t>
  </si>
  <si>
    <t>4769-Comercio al por menor de otros artículos culturales y de entretenimiento n.c.p. en establecimientos especializados.</t>
  </si>
  <si>
    <t>4771</t>
  </si>
  <si>
    <t>4771-Comercio al por menor de prendas de vestir y sus accesorios (incluye artículos de piel) en establecimientos especializados.</t>
  </si>
  <si>
    <t>4772</t>
  </si>
  <si>
    <t>4772-Comercio al por menor de todo tipo de calzado y artículos de cuero y sucedáneos del cuero en establecimientos especializados.</t>
  </si>
  <si>
    <t>4773</t>
  </si>
  <si>
    <t>4773-Comercio al por menor de productos farmacéuticos y medicinales, cosméticos y artículos de tocador en establecimientos especializados.</t>
  </si>
  <si>
    <t>4774</t>
  </si>
  <si>
    <t>4774-Comercio al por menor de otros productos nuevos en establecimientos especializados.</t>
  </si>
  <si>
    <t>4775</t>
  </si>
  <si>
    <t>4775-Comercio al por menor de artículos de segunda mano.</t>
  </si>
  <si>
    <t>4781</t>
  </si>
  <si>
    <t>4781-Comercio al por menor de alimentos, bebidas y tabaco, en puestos de venta móviles.</t>
  </si>
  <si>
    <t>4782</t>
  </si>
  <si>
    <t>4782-Comercio al por menor de productos textiles, prendas de vestir y calzado, en puestos de venta móviles.</t>
  </si>
  <si>
    <t>4789</t>
  </si>
  <si>
    <t>4789-Comercio al por menor de otros productos en puestos de venta móviles.</t>
  </si>
  <si>
    <t>4791</t>
  </si>
  <si>
    <t>4791-Comercio al por menor realizado a través de internet.</t>
  </si>
  <si>
    <t>4792</t>
  </si>
  <si>
    <t>4792-Comercio al por menor realizado a través de casas de venta o por correo.</t>
  </si>
  <si>
    <t>4799</t>
  </si>
  <si>
    <t>4799-Otros tipos de comercio al por menor no realizado en establecimientos, puestos de venta o mercados.</t>
  </si>
  <si>
    <t>4911</t>
  </si>
  <si>
    <t>4911-Transporte férreo de pasajeros.</t>
  </si>
  <si>
    <t>4912</t>
  </si>
  <si>
    <t>4912-Transporte férreo de carga.</t>
  </si>
  <si>
    <t>4921</t>
  </si>
  <si>
    <t>4921-Transporte de pasajeros.</t>
  </si>
  <si>
    <t>4922</t>
  </si>
  <si>
    <t>4922-Transporte mixto.</t>
  </si>
  <si>
    <t>4923</t>
  </si>
  <si>
    <t>4923-Transporte de carga por carretera.</t>
  </si>
  <si>
    <t>4930</t>
  </si>
  <si>
    <t>4930-Transporte por tuberías.</t>
  </si>
  <si>
    <t>5011</t>
  </si>
  <si>
    <t>5011-Transporte de pasajeros marítimo y de cabotaje.</t>
  </si>
  <si>
    <t>5012</t>
  </si>
  <si>
    <t>5012-Transporte de carga marítimo y de cabotaje.</t>
  </si>
  <si>
    <t>5021</t>
  </si>
  <si>
    <t>5021-Transporte fluvial de pasajeros.</t>
  </si>
  <si>
    <t>5022</t>
  </si>
  <si>
    <t>5022-Transporte fluvial de carga.</t>
  </si>
  <si>
    <t>5111</t>
  </si>
  <si>
    <t>5111-Transporte aéreo nacional de pasajeros.</t>
  </si>
  <si>
    <t>5112</t>
  </si>
  <si>
    <t>5112-Transporte aéreo internacional de pasajeros.</t>
  </si>
  <si>
    <t>5121</t>
  </si>
  <si>
    <t>5121-Transporte aéreo nacional de carga.</t>
  </si>
  <si>
    <t>5122</t>
  </si>
  <si>
    <t>5122-Transporte aéreo internacional de carga.</t>
  </si>
  <si>
    <t>5210</t>
  </si>
  <si>
    <t>5210-Almacenamiento y depósito.</t>
  </si>
  <si>
    <t>5221</t>
  </si>
  <si>
    <t>5221-Actividades de estaciones, vías y servicios complementarios para el transporte terrestre.</t>
  </si>
  <si>
    <t>5222</t>
  </si>
  <si>
    <t>5222-Actividades de puertos y servicios complementarios para el transporte acuático.</t>
  </si>
  <si>
    <t>5223</t>
  </si>
  <si>
    <t>5223-Actividades de aeropuertos, servicios de navegación aérea y demás actividades conexas al transporte aéreo.</t>
  </si>
  <si>
    <t>5224</t>
  </si>
  <si>
    <t>5224-Manipulación de carga.</t>
  </si>
  <si>
    <t>5229</t>
  </si>
  <si>
    <t>5229-Otras actividades complementarias al transporte.</t>
  </si>
  <si>
    <t>5310</t>
  </si>
  <si>
    <t>5310-Actividades postales nacionales.</t>
  </si>
  <si>
    <t>5320</t>
  </si>
  <si>
    <t>5320-Actividades de mensajería.</t>
  </si>
  <si>
    <t>5511</t>
  </si>
  <si>
    <t>5511-Alojamiento en hoteles.</t>
  </si>
  <si>
    <t>5512</t>
  </si>
  <si>
    <t>5512-Alojamiento en apartahoteles.</t>
  </si>
  <si>
    <t>5513</t>
  </si>
  <si>
    <t>5513-Alojamiento en centros vacacionales.</t>
  </si>
  <si>
    <t>5514</t>
  </si>
  <si>
    <t>5514-Alojamiento rural.</t>
  </si>
  <si>
    <t>5519</t>
  </si>
  <si>
    <t>5519-Otros tipos de alojamientos para visitantes.</t>
  </si>
  <si>
    <t>5520</t>
  </si>
  <si>
    <t>5520-Actividades de zonas de camping y parques para vehículos recreacionales.</t>
  </si>
  <si>
    <t>5530</t>
  </si>
  <si>
    <t>5530-Servicio por horas</t>
  </si>
  <si>
    <t>5590</t>
  </si>
  <si>
    <t>5590-Otros tipos de alojamiento n.c.p.</t>
  </si>
  <si>
    <t>5611</t>
  </si>
  <si>
    <t>5611-Expendio a la mesa de comidas preparadas.</t>
  </si>
  <si>
    <t>5612</t>
  </si>
  <si>
    <t>5612-Expendio por autoservicio de comidas preparadas.</t>
  </si>
  <si>
    <t>5613</t>
  </si>
  <si>
    <t>5613-Expendio de comidas preparadas en cafeterías.</t>
  </si>
  <si>
    <t>5619</t>
  </si>
  <si>
    <t>5619-Otros tipos de expendio de comidas preparadas n.c.p.</t>
  </si>
  <si>
    <t>5621</t>
  </si>
  <si>
    <t>5621-Catering para eventos.</t>
  </si>
  <si>
    <t>5629</t>
  </si>
  <si>
    <t>5629-Actividades de otros servicios de comidas.</t>
  </si>
  <si>
    <t>5630</t>
  </si>
  <si>
    <t>5630-Expendio de bebidas alcohólicas para el consumo dentro del establecimiento.</t>
  </si>
  <si>
    <t>5811</t>
  </si>
  <si>
    <t>5811-Edición de libros.</t>
  </si>
  <si>
    <t>5812</t>
  </si>
  <si>
    <t>5812-Edición de directorios y listas de correo.</t>
  </si>
  <si>
    <t>5813</t>
  </si>
  <si>
    <t>5813-Edición de periódicos, revistas y otras publicaciones periódicas.</t>
  </si>
  <si>
    <t>5819</t>
  </si>
  <si>
    <t>5819-Otros trabajos de edición.</t>
  </si>
  <si>
    <t>5820</t>
  </si>
  <si>
    <t>5820-Edición de programas de informática (software).</t>
  </si>
  <si>
    <t>5911</t>
  </si>
  <si>
    <t>5911-Actividades de producción de películas cinematográficas, videos, programas, anuncios y comerciales de televisión.</t>
  </si>
  <si>
    <t>5912</t>
  </si>
  <si>
    <t>5912-Actividades de posproducción de películas cinematográficas, videos, programas, anuncios y comerciales de televisión.</t>
  </si>
  <si>
    <t>5913</t>
  </si>
  <si>
    <t>5913-Actividades de distribución de películas cinematográficas, videos, programas, anuncios y comerciales de televisión.</t>
  </si>
  <si>
    <t>5914</t>
  </si>
  <si>
    <t>5914-Actividades de exhibición de películas cinematográficas y videos.</t>
  </si>
  <si>
    <t>5920</t>
  </si>
  <si>
    <t>5920-Actividades de grabación de sonido y edición de música.</t>
  </si>
  <si>
    <t>6010</t>
  </si>
  <si>
    <t>6010-Actividades de programación y transmisión en el servicio de radiodifusión sonora.</t>
  </si>
  <si>
    <t>6020</t>
  </si>
  <si>
    <t>6020-Actividades de programación y transmisión de televisión.</t>
  </si>
  <si>
    <t>6110</t>
  </si>
  <si>
    <t>6110-Actividades de telecomunicaciones alámbricas.</t>
  </si>
  <si>
    <t>6120</t>
  </si>
  <si>
    <t>6120-Actividades de telecomunicaciones inalámbricas.</t>
  </si>
  <si>
    <t>6130</t>
  </si>
  <si>
    <t>6130-Actividades de telecomunicación satelital.</t>
  </si>
  <si>
    <t>6190</t>
  </si>
  <si>
    <t>6190-Otras actividades de telecomunicaciones.</t>
  </si>
  <si>
    <t>6201</t>
  </si>
  <si>
    <t>6201-Actividades de desarrollo de sistemas informáticos (planificación, análisis, diseño, programación, pruebas).</t>
  </si>
  <si>
    <t>6202</t>
  </si>
  <si>
    <t>6202-Actividades de consultoría informática y actividades de administración de instalaciones informáticas.</t>
  </si>
  <si>
    <t>6209</t>
  </si>
  <si>
    <t>6209-Otras actividades de tecnologías de información y actividades de servicios informáticos.</t>
  </si>
  <si>
    <t>6311</t>
  </si>
  <si>
    <t>6311-Procesamiento de datos, alojamiento (hosting) y actividades relacionadas.</t>
  </si>
  <si>
    <t>6312</t>
  </si>
  <si>
    <t>6312-Portales web.</t>
  </si>
  <si>
    <t>6391</t>
  </si>
  <si>
    <t>6391-Actividades de agencias de noticias.</t>
  </si>
  <si>
    <t>6399</t>
  </si>
  <si>
    <t>6399-Otras actividades de servicio de información n.c.p.</t>
  </si>
  <si>
    <t>6411</t>
  </si>
  <si>
    <t>6411-Banco Central.</t>
  </si>
  <si>
    <t>6412</t>
  </si>
  <si>
    <t>6412-Bancos comerciales.</t>
  </si>
  <si>
    <t>6421</t>
  </si>
  <si>
    <t>6421-Actividades de las corporaciones financieras.</t>
  </si>
  <si>
    <t>6422</t>
  </si>
  <si>
    <t>6422-Actividades de las compañías de financiamiento.</t>
  </si>
  <si>
    <t>6423</t>
  </si>
  <si>
    <t>6423-Banca de segundo piso.</t>
  </si>
  <si>
    <t>6424</t>
  </si>
  <si>
    <t>6424-Actividades de las cooperativas financieras.</t>
  </si>
  <si>
    <t>6431</t>
  </si>
  <si>
    <t>6431-Fideicomisos, fondos y entidades financieras similares.</t>
  </si>
  <si>
    <t>6432</t>
  </si>
  <si>
    <t>6432-Fondos de cesantías.</t>
  </si>
  <si>
    <t>6491</t>
  </si>
  <si>
    <t>6491-Leasing financiero (arrendamiento financiero).</t>
  </si>
  <si>
    <t>6492</t>
  </si>
  <si>
    <t>6492-Actividades financieras de fondos de empleados y otras formas asociativas del sector solidario.</t>
  </si>
  <si>
    <t>6493</t>
  </si>
  <si>
    <t>6493-Actividades de compra de cartera o factoring.</t>
  </si>
  <si>
    <t>6494</t>
  </si>
  <si>
    <t>6494-Otras actividades de distribución de fondos.</t>
  </si>
  <si>
    <t>6495</t>
  </si>
  <si>
    <t>6495-Instituciones especiales oficiales.</t>
  </si>
  <si>
    <t>6499</t>
  </si>
  <si>
    <t>6499-Otras actividades de servicio financiero, excepto las de seguros y pensiones n.c.p.</t>
  </si>
  <si>
    <t>6511</t>
  </si>
  <si>
    <t>6511-Seguros generales.</t>
  </si>
  <si>
    <t>6512</t>
  </si>
  <si>
    <t>6512-Seguros de vida.</t>
  </si>
  <si>
    <t>6513</t>
  </si>
  <si>
    <t>6513-Reaseguros.</t>
  </si>
  <si>
    <t>6514</t>
  </si>
  <si>
    <t>6514-Capitalización.</t>
  </si>
  <si>
    <t>6521</t>
  </si>
  <si>
    <t>6521-Servicios de seguros sociales de salud.</t>
  </si>
  <si>
    <t>6522</t>
  </si>
  <si>
    <t>6522-Servicios de seguros sociales de riesgos profesionales.</t>
  </si>
  <si>
    <t>6531</t>
  </si>
  <si>
    <t>6531-Régimen de prima media con prestación definida (RPM).</t>
  </si>
  <si>
    <t>6532</t>
  </si>
  <si>
    <t>6532-Régimen de ahorro individual (RAI).</t>
  </si>
  <si>
    <t>6611</t>
  </si>
  <si>
    <t>6611-Administración de mercados financieros.</t>
  </si>
  <si>
    <t>6612</t>
  </si>
  <si>
    <t>6612-Corretaje de valores y de contratos de productos básicos.</t>
  </si>
  <si>
    <t>6613</t>
  </si>
  <si>
    <t>6613-Otras actividades relacionadas con el mercado de valores.</t>
  </si>
  <si>
    <t>6614</t>
  </si>
  <si>
    <t>6614-Actividades de las casas de cambio.</t>
  </si>
  <si>
    <t>6615</t>
  </si>
  <si>
    <t>6615-Actividades de los profesionales de compra y venta de divisas.</t>
  </si>
  <si>
    <t>6619</t>
  </si>
  <si>
    <t>6619-Otras actividades auxiliares de las actividades de servicios financieros n.c.p.</t>
  </si>
  <si>
    <t>6621</t>
  </si>
  <si>
    <t>6621-Actividades de agentes y corredores de seguros</t>
  </si>
  <si>
    <t>6629</t>
  </si>
  <si>
    <t>6629-Evaluación de riesgos y daños, y otras actividades de servicios auxiliares</t>
  </si>
  <si>
    <t>6630</t>
  </si>
  <si>
    <t>6630-Actividades de administración de fondos.</t>
  </si>
  <si>
    <t>6810</t>
  </si>
  <si>
    <t>6810-Actividades inmobiliarias realizadas con bienes propios o arrendados.</t>
  </si>
  <si>
    <t>6820</t>
  </si>
  <si>
    <t>6820-Actividades inmobiliarias realizadas a cambio de una retribución o por contrata.</t>
  </si>
  <si>
    <t>6910</t>
  </si>
  <si>
    <t>6910-Actividades jurídicas.</t>
  </si>
  <si>
    <t>6920</t>
  </si>
  <si>
    <t>6920-Actividades de contabilidad, teneduría de libros, auditoría financiera y asesoría tributaria.</t>
  </si>
  <si>
    <t>7010</t>
  </si>
  <si>
    <t>7010-Actividades de administración empresarial.</t>
  </si>
  <si>
    <t>7020</t>
  </si>
  <si>
    <t>7020-Actividades de consultaría de gestión.</t>
  </si>
  <si>
    <t>7110</t>
  </si>
  <si>
    <t>7110-Actividades de arquitectura e ingeniería y otras actividades conexas de consultoría técnica.</t>
  </si>
  <si>
    <t>7120</t>
  </si>
  <si>
    <t>7120-Ensayos y análisis técnicos.</t>
  </si>
  <si>
    <t>7210</t>
  </si>
  <si>
    <t>7210-Investigaciones y desarrollo experimental en el campo de las ciencias naturales y la ingeniería.</t>
  </si>
  <si>
    <t>7220</t>
  </si>
  <si>
    <t>7220-Investigaciones y desarrollo experimental en el campo de las ciencias sociales y las humanidades.</t>
  </si>
  <si>
    <t>7310</t>
  </si>
  <si>
    <t>7310-Publicidad.</t>
  </si>
  <si>
    <t>7320</t>
  </si>
  <si>
    <t>7320-Estudios de mercado y realización de encuestas de opinión pública.</t>
  </si>
  <si>
    <t>7410</t>
  </si>
  <si>
    <t>7410-Actividades especializadas de diseño.</t>
  </si>
  <si>
    <t>7420</t>
  </si>
  <si>
    <t>7420-Actividades de fotografía.</t>
  </si>
  <si>
    <t>7490</t>
  </si>
  <si>
    <t>7490-Otras actividades profesionales, científicas y técnicas n.c.p.</t>
  </si>
  <si>
    <t>7500</t>
  </si>
  <si>
    <t>7500-Actividades veterinarias.</t>
  </si>
  <si>
    <t>7710</t>
  </si>
  <si>
    <t>7710-Alquiler y arrendamiento de vehículos automotores.</t>
  </si>
  <si>
    <t>7721</t>
  </si>
  <si>
    <t>7721-Alquiler y arrendamiento de equipo recreativo y deportivo.</t>
  </si>
  <si>
    <t>7722</t>
  </si>
  <si>
    <t>7722-Alquiler de videos y discos.</t>
  </si>
  <si>
    <t>7729</t>
  </si>
  <si>
    <t>7729-Alquiler y arrendamiento de otros efectos personales y enseres domésticos n.c.p.</t>
  </si>
  <si>
    <t>7730</t>
  </si>
  <si>
    <t>7730-Alquiler y arrendamiento de otros tipos de maquinaria, equipo y bienes tangibles n.c.p.</t>
  </si>
  <si>
    <t>7740</t>
  </si>
  <si>
    <t>7740-Arrendamiento de propiedad intelectual y productos similares, excepto obras protegidas por derechos de autor.</t>
  </si>
  <si>
    <t>7810</t>
  </si>
  <si>
    <t>7810-Actividades de agencias de empleo.</t>
  </si>
  <si>
    <t>7820</t>
  </si>
  <si>
    <t>7820-Actividades de agencias de empleo temporal.</t>
  </si>
  <si>
    <t>7830</t>
  </si>
  <si>
    <t>7830-Otras actividades de suministro de recurso humano.</t>
  </si>
  <si>
    <t>7911</t>
  </si>
  <si>
    <t>7911-Actividades de las agencias de viaje.</t>
  </si>
  <si>
    <t>7912</t>
  </si>
  <si>
    <t>7912-Actividades de operadores turísticos.</t>
  </si>
  <si>
    <t>7990</t>
  </si>
  <si>
    <t>7990-Otros servicios de reserva y actividades relacionadas.</t>
  </si>
  <si>
    <t>8010</t>
  </si>
  <si>
    <t>8010-Actividades de seguridad privada.</t>
  </si>
  <si>
    <t>8020</t>
  </si>
  <si>
    <t>8020-Actividades de servicios de sistemas de seguridad.</t>
  </si>
  <si>
    <t>8030</t>
  </si>
  <si>
    <t>8030-Actividades de detectives e investigadores privados.</t>
  </si>
  <si>
    <t>8110</t>
  </si>
  <si>
    <t>8110-Actividades combinadas de apoyo a instalaciones.</t>
  </si>
  <si>
    <t>8121</t>
  </si>
  <si>
    <t>8121-Limpieza general interior de edificios.</t>
  </si>
  <si>
    <t>8129</t>
  </si>
  <si>
    <t>8129-Otras actividades de limpieza de edificios e instalaciones industriales.</t>
  </si>
  <si>
    <t>8130</t>
  </si>
  <si>
    <t>8130-Actividades de paisajismo y servicios de mantenimiento conexos.</t>
  </si>
  <si>
    <t>8211</t>
  </si>
  <si>
    <t>8211-Actividades combinadas de servicios administrativos de oficina</t>
  </si>
  <si>
    <t>8219</t>
  </si>
  <si>
    <t>8219-Fotocopiado, preparación de documentos y otras actividades especializadas de apoyo a oficina.</t>
  </si>
  <si>
    <t>8220</t>
  </si>
  <si>
    <t>8220-Actividades de centros de llamadas (Call center).</t>
  </si>
  <si>
    <t>8230</t>
  </si>
  <si>
    <t>8230-Organización de convenciones y eventos comerciales.</t>
  </si>
  <si>
    <t>8291</t>
  </si>
  <si>
    <t>8291-Actividades de agencias de cobranza y oficinas de calificación crediticia.</t>
  </si>
  <si>
    <t>8292</t>
  </si>
  <si>
    <t>8292-Actividades de envase y empaque.</t>
  </si>
  <si>
    <t>8299</t>
  </si>
  <si>
    <t>8299-Otras actividades de servicio de apoyo a las empresas n.c.p.</t>
  </si>
  <si>
    <t>8411</t>
  </si>
  <si>
    <t>8411-Actividades legislativas de la administración pública.</t>
  </si>
  <si>
    <t>8412</t>
  </si>
  <si>
    <t>8412-Actividades ejecutivas de la administración pública.</t>
  </si>
  <si>
    <t>8413</t>
  </si>
  <si>
    <t>8413-Regulación de las actividades de organismos que prestan servicios de salud, educativos, culturales.y otros servicios sociales, excepto servicios de seguridad social.</t>
  </si>
  <si>
    <t>8414</t>
  </si>
  <si>
    <t>8414-Actividades reguladoras y facilitadoras de la actividad económica.</t>
  </si>
  <si>
    <t>8415</t>
  </si>
  <si>
    <t>8415-Actividades de los otros órganos de control.</t>
  </si>
  <si>
    <t>8421</t>
  </si>
  <si>
    <t>8421-Relaciones exteriores.</t>
  </si>
  <si>
    <t>8422</t>
  </si>
  <si>
    <t>8422-Actividades de defensa.</t>
  </si>
  <si>
    <t>8423</t>
  </si>
  <si>
    <t>8423-Orden público y actividades de seguridad.</t>
  </si>
  <si>
    <t>8424</t>
  </si>
  <si>
    <t>8424-Administración de justicia.</t>
  </si>
  <si>
    <t>8430</t>
  </si>
  <si>
    <t>8430-Actividades de planes de seguridad social de afiliación obligatoria.</t>
  </si>
  <si>
    <t>8511</t>
  </si>
  <si>
    <t>8511-Educación de la primera infancia.</t>
  </si>
  <si>
    <t>8512</t>
  </si>
  <si>
    <t>8512-Educación preescolar.</t>
  </si>
  <si>
    <t>8513</t>
  </si>
  <si>
    <t>8513-Educación básica primaria.</t>
  </si>
  <si>
    <t>8521</t>
  </si>
  <si>
    <t>8521-Educación básica secundaria.</t>
  </si>
  <si>
    <t>8522</t>
  </si>
  <si>
    <t>8522-Educación media académica.</t>
  </si>
  <si>
    <t>8523</t>
  </si>
  <si>
    <t>8523-Educación media técnica y de formación laboral.</t>
  </si>
  <si>
    <t>8530</t>
  </si>
  <si>
    <t>8530-Establecimientos que combinan diferentes niveles de educación.</t>
  </si>
  <si>
    <t>8541</t>
  </si>
  <si>
    <t>8541-Educación técnica profesional.</t>
  </si>
  <si>
    <t>8542</t>
  </si>
  <si>
    <t>8542-Educación tecnológica.</t>
  </si>
  <si>
    <t>8543</t>
  </si>
  <si>
    <t>8543-Educación de instituciones universitarias o de escuelas tecnológicas.</t>
  </si>
  <si>
    <t>8544</t>
  </si>
  <si>
    <t>8544-Educación de universidades.</t>
  </si>
  <si>
    <t>8551</t>
  </si>
  <si>
    <t>8551-Formación académica no formal.</t>
  </si>
  <si>
    <t>8552</t>
  </si>
  <si>
    <t>8552-Enseñanza deportiva y recreativa.</t>
  </si>
  <si>
    <t>8553</t>
  </si>
  <si>
    <t>8553-Enseñanza cultural.</t>
  </si>
  <si>
    <t>8559</t>
  </si>
  <si>
    <t>8559-Otros tipos de educación n.c.p.</t>
  </si>
  <si>
    <t>8560</t>
  </si>
  <si>
    <t>8560-Actividades de apoyo a la educación.</t>
  </si>
  <si>
    <t>8610</t>
  </si>
  <si>
    <t>8610-Actividades de hospitales y clínicas, con internación.</t>
  </si>
  <si>
    <t>8621</t>
  </si>
  <si>
    <t>8621-Actividades de la práctica médica, sin internación.</t>
  </si>
  <si>
    <t>8622</t>
  </si>
  <si>
    <t>8622-Actividades de la práctica odontológica.</t>
  </si>
  <si>
    <t>8691</t>
  </si>
  <si>
    <t>8691-Actividades de apoyo diagnóstico.</t>
  </si>
  <si>
    <t>8692</t>
  </si>
  <si>
    <t>8692-Actividades de apoyo terapéutico.</t>
  </si>
  <si>
    <t>8699</t>
  </si>
  <si>
    <t>8699-Otras actividades de atención de la salud humana.</t>
  </si>
  <si>
    <t>8710</t>
  </si>
  <si>
    <t>8710-Actividades de atención residencial medicalizada de tipo general.</t>
  </si>
  <si>
    <t>8720</t>
  </si>
  <si>
    <t>8720-Actividades de atención residencial, para el cuidado de pacientes con retardo mental, enfermedad mental y consumo de sustancias psicoactivas.</t>
  </si>
  <si>
    <t>8730</t>
  </si>
  <si>
    <t>8730-Actividades de atención en instituciones para el cuidado de personas mayores y/o discapacitadas.</t>
  </si>
  <si>
    <t>8790</t>
  </si>
  <si>
    <t>8790-Otras actividades de atención en instituciones con alojamiento</t>
  </si>
  <si>
    <t>8810</t>
  </si>
  <si>
    <t>8810-Actividades de asistencia social sin alojamiento para personas mayores y discapacitadas.</t>
  </si>
  <si>
    <t>8890</t>
  </si>
  <si>
    <t>8890-Otras actividades de asistencia social sin alojamiento.</t>
  </si>
  <si>
    <t>9001</t>
  </si>
  <si>
    <t>9001-Creación literaria.</t>
  </si>
  <si>
    <t>9002</t>
  </si>
  <si>
    <t>9002-Creación musical.</t>
  </si>
  <si>
    <t>9003</t>
  </si>
  <si>
    <t>9003-Creación teatral.</t>
  </si>
  <si>
    <t>9004</t>
  </si>
  <si>
    <t>9004-Creación audiovisual.</t>
  </si>
  <si>
    <t>9005</t>
  </si>
  <si>
    <t>9005-Artes plásticas y visuales.</t>
  </si>
  <si>
    <t>9006</t>
  </si>
  <si>
    <t>9006-Actividades teatrales.</t>
  </si>
  <si>
    <t>9007</t>
  </si>
  <si>
    <t>9007-Actividades de espectáculos musicales en vivo.</t>
  </si>
  <si>
    <t>9008</t>
  </si>
  <si>
    <t>9008-Otras actividades de espectáculos en vivo.</t>
  </si>
  <si>
    <t>9101</t>
  </si>
  <si>
    <t>9101-Actividades de bibliotecas y archivos.</t>
  </si>
  <si>
    <t>9102</t>
  </si>
  <si>
    <t>9102-Actividades y funcionamiento de museos, conservación de edificios y sitios históricos.</t>
  </si>
  <si>
    <t>9103</t>
  </si>
  <si>
    <t>9103-Actividades de jardines botánicos, zoológicos y reservas naturales.</t>
  </si>
  <si>
    <t>9200</t>
  </si>
  <si>
    <t>9200-Actividades de juegos de azar y apuestas.</t>
  </si>
  <si>
    <t>9311</t>
  </si>
  <si>
    <t>9311-Gestión de instalaciones deportivas.</t>
  </si>
  <si>
    <t>9312</t>
  </si>
  <si>
    <t>9312-Actividades de clubes deportivos.</t>
  </si>
  <si>
    <t>9319</t>
  </si>
  <si>
    <t>9319-Otras actividades deportivas.</t>
  </si>
  <si>
    <t>9321</t>
  </si>
  <si>
    <t>9321-Actividades de parques de atracciones y parques temáticos.</t>
  </si>
  <si>
    <t>9329</t>
  </si>
  <si>
    <t>9329-Otras actividades recreativas y de esparcimiento n.c.p.</t>
  </si>
  <si>
    <t>9411</t>
  </si>
  <si>
    <t>9411-Actividades de asociaciones empresariales y de empleadores</t>
  </si>
  <si>
    <t>9412</t>
  </si>
  <si>
    <t>9412-Actividades de asociaciones profesionales</t>
  </si>
  <si>
    <t>9420</t>
  </si>
  <si>
    <t>9420-Actividades de sindicatos de empleados.</t>
  </si>
  <si>
    <t>9491</t>
  </si>
  <si>
    <t>9491-Actividades de asociaciones religiosas.</t>
  </si>
  <si>
    <t>9492</t>
  </si>
  <si>
    <t>9492-Actividades de asociaciones políticas.</t>
  </si>
  <si>
    <t>9499</t>
  </si>
  <si>
    <t>9499-Actividades de otras asociaciones n.c.p.</t>
  </si>
  <si>
    <t>9511</t>
  </si>
  <si>
    <t>9511-Mantenimiento y reparación de computadores y de equipo periférico.</t>
  </si>
  <si>
    <t>9512</t>
  </si>
  <si>
    <t>9512-Mantenimiento y reparación de equipos de comunicación.</t>
  </si>
  <si>
    <t>9521</t>
  </si>
  <si>
    <t>9521-Mantenimiento y reparación de aparatos electrónicos de consumo.</t>
  </si>
  <si>
    <t>9522</t>
  </si>
  <si>
    <t>9522-Mantenimiento y reparación de aparatos y equipos domésticos y de jardinería.</t>
  </si>
  <si>
    <t>9523</t>
  </si>
  <si>
    <t>9523-Reparación de calzado y artículos de cuero.</t>
  </si>
  <si>
    <t>9524</t>
  </si>
  <si>
    <t>9524-Reparación de muebles y accesorios para el hogar.</t>
  </si>
  <si>
    <t>9529</t>
  </si>
  <si>
    <t>9529-Mantenimiento y reparación de otros efectos personales y enseres domésticos.</t>
  </si>
  <si>
    <t>9601</t>
  </si>
  <si>
    <t>9601-Lavado y limpieza, incluso la limpieza en seco, de productos textiles y de piel.</t>
  </si>
  <si>
    <t>9602</t>
  </si>
  <si>
    <t>9602-Peluquería y otros tratamientos de belleza.</t>
  </si>
  <si>
    <t>9603</t>
  </si>
  <si>
    <t>9603-Pompas fúnebres y actividades relacionadas.</t>
  </si>
  <si>
    <t>9609</t>
  </si>
  <si>
    <t>9609-Otras actividades de servicios personales n.c.p.</t>
  </si>
  <si>
    <t>9700</t>
  </si>
  <si>
    <t>9700-Actividades de los hogares individuales como empleadores de personal doméstico.</t>
  </si>
  <si>
    <t>9810</t>
  </si>
  <si>
    <t>9810-Actividades no diferenciadas de los hogares individuales como productores de bienes para uso propio.</t>
  </si>
  <si>
    <t>9820</t>
  </si>
  <si>
    <t>9820-Actividades no diferenciadas de los hogares individuales como productores de servicios para uso propio.</t>
  </si>
  <si>
    <t>9900</t>
  </si>
  <si>
    <t>9900-Actividades de organizaciones y entidades extraterritoriales</t>
  </si>
  <si>
    <t>Codigo Ciiu</t>
  </si>
  <si>
    <t>Actividad</t>
  </si>
  <si>
    <t>Amazonas</t>
  </si>
  <si>
    <t>Antioquia</t>
  </si>
  <si>
    <t>Arauca</t>
  </si>
  <si>
    <t>Atlántico</t>
  </si>
  <si>
    <t>Bolívar</t>
  </si>
  <si>
    <t>Boyacá</t>
  </si>
  <si>
    <t>Caldas</t>
  </si>
  <si>
    <t>Caquetá</t>
  </si>
  <si>
    <t>Casanare</t>
  </si>
  <si>
    <t>Cauca</t>
  </si>
  <si>
    <t>Cesar</t>
  </si>
  <si>
    <t>Chocó</t>
  </si>
  <si>
    <t>Córdoba</t>
  </si>
  <si>
    <t>Cundinamarca</t>
  </si>
  <si>
    <t>Distrito_Capital</t>
  </si>
  <si>
    <t>Guainía</t>
  </si>
  <si>
    <t>Guajira</t>
  </si>
  <si>
    <t>Guaviare</t>
  </si>
  <si>
    <t>Huila</t>
  </si>
  <si>
    <t>Magdalena</t>
  </si>
  <si>
    <t>Meta</t>
  </si>
  <si>
    <t>Nariño</t>
  </si>
  <si>
    <t>Norte_de_Santander</t>
  </si>
  <si>
    <t>Putumayo</t>
  </si>
  <si>
    <t>Quindío</t>
  </si>
  <si>
    <t>Risaralda</t>
  </si>
  <si>
    <t>San_Andrés</t>
  </si>
  <si>
    <t>Santander</t>
  </si>
  <si>
    <t>Sucre</t>
  </si>
  <si>
    <t>Tolima</t>
  </si>
  <si>
    <t>Valle</t>
  </si>
  <si>
    <t>Vaupés</t>
  </si>
  <si>
    <t>Vichada</t>
  </si>
  <si>
    <t>COD.</t>
  </si>
  <si>
    <t>REGIONAL</t>
  </si>
  <si>
    <t xml:space="preserve">CENTRO </t>
  </si>
  <si>
    <t>Centro para la Biodiversidad y el Turismo del Amazonas</t>
  </si>
  <si>
    <t>Centro de los Recursos Naturales Renovables -La Salada</t>
  </si>
  <si>
    <t>Centro del Diseño y Manufactura del Cuero</t>
  </si>
  <si>
    <t>Centro de Formación en Diseño, Confección y Moda.</t>
  </si>
  <si>
    <t>Centro para el Desarrollo del Hábitat y la Construcción</t>
  </si>
  <si>
    <t>Centro de Tecnología de la Manufactura Avanzada.</t>
  </si>
  <si>
    <t>Centro Tecnológico del Mobiliario</t>
  </si>
  <si>
    <t>Centro Tecnológico de Gestión Industrial</t>
  </si>
  <si>
    <t>Centro de Comercio</t>
  </si>
  <si>
    <t>Centro de Servicios de Salud</t>
  </si>
  <si>
    <t xml:space="preserve">Centro de Servicios y Gestión Empresarial </t>
  </si>
  <si>
    <t>Complejo Tecnológico para la Gestión Agroempresarial</t>
  </si>
  <si>
    <t xml:space="preserve">Complejo Tecnológico Minero Agroempresarial </t>
  </si>
  <si>
    <t>Centro de la Innovación, la Agroindustria y el Turismo</t>
  </si>
  <si>
    <t>Complejo Tecnológico Agroindustrial, Pecuario y Turístico</t>
  </si>
  <si>
    <t>Complejo Tecnológico, Turístico y Agroindustrial del Occidente Antioqueño</t>
  </si>
  <si>
    <t>Centro de Gestión y Desarrollo Agroindustrial de Arauca</t>
  </si>
  <si>
    <t>Centro para el Desarrollo Agroecologico y Agroindustrial</t>
  </si>
  <si>
    <t>Centro Nacional Colombo Alemán</t>
  </si>
  <si>
    <t xml:space="preserve">Centro Industrial y de Aviación  </t>
  </si>
  <si>
    <t>Centro de Comercio y Servicios</t>
  </si>
  <si>
    <t>Centro Agroempresarial y Minero</t>
  </si>
  <si>
    <t>Centro Internacional Náutico, Fluvial y Portuario</t>
  </si>
  <si>
    <t>Centro para la Industria Petroquímica</t>
  </si>
  <si>
    <t xml:space="preserve">Centro de Desarrollo Agropecuario y Agroindustrial </t>
  </si>
  <si>
    <t>Centro  Minero</t>
  </si>
  <si>
    <t xml:space="preserve">Centro de Gestión Administrativa y Fortalecimiento Empresarial </t>
  </si>
  <si>
    <t>Centro Industrial de Mantenimiento y Manufactura</t>
  </si>
  <si>
    <t>Centro para la Formación Cafetera</t>
  </si>
  <si>
    <t>Centro de Automatización Industrial</t>
  </si>
  <si>
    <t>Centro de Procesos Industriales</t>
  </si>
  <si>
    <t>Centro Pecuario y Agroempresarial</t>
  </si>
  <si>
    <t>Centro Tecnológico de la Amazonia</t>
  </si>
  <si>
    <t>Centro Agroindustrial y Fortalecimiento Empresarial de Casanare</t>
  </si>
  <si>
    <t xml:space="preserve">Centro Agropecuario </t>
  </si>
  <si>
    <t xml:space="preserve">Centro de Teleinformática y Producción Industrial </t>
  </si>
  <si>
    <t>Centro Biotecnológico del Caribe</t>
  </si>
  <si>
    <t>Centro Agroempresarial</t>
  </si>
  <si>
    <t>Centro de Operación y Mantenimiento Minero</t>
  </si>
  <si>
    <t>Choco</t>
  </si>
  <si>
    <t>Centro de Recursos Naturales, Industria y Biodiversidad</t>
  </si>
  <si>
    <t>Centro Agropecuario y de Biotecnología el Porvenir</t>
  </si>
  <si>
    <t>Centro de Comercio, Industria y Turismo de Córdoba</t>
  </si>
  <si>
    <t>Centro Industrial y de Desarrollo Empresarial de Soacha</t>
  </si>
  <si>
    <t>Centro de Desarrollo Agroindustrial y Empresarial</t>
  </si>
  <si>
    <t xml:space="preserve">Centro Agroecológico y Empresarial </t>
  </si>
  <si>
    <t>Centro de la Tecnología de Diseño y la Productividad Empresarial</t>
  </si>
  <si>
    <t>Centro de Biotecnología Agropecuaria</t>
  </si>
  <si>
    <t xml:space="preserve">Centro de Desarrollo Agroempresarial </t>
  </si>
  <si>
    <t>Distrito Capital</t>
  </si>
  <si>
    <t>Centro de Tecnologías para la Construcción y la Madera</t>
  </si>
  <si>
    <t>Centro de Electricidad, Electrónica y Telecomunicaciones</t>
  </si>
  <si>
    <t>Centro de Gestión Industrial</t>
  </si>
  <si>
    <t>Centro de Manufactura en Textil y Cuero</t>
  </si>
  <si>
    <t>Centro de Tecnologías del Transporte</t>
  </si>
  <si>
    <t>Centro Metalmecánico</t>
  </si>
  <si>
    <t>Centro de Materiales y Ensayos</t>
  </si>
  <si>
    <t>Centro de Diseño y Metrología</t>
  </si>
  <si>
    <t>Centro para la Industria de la Comunicación Grafica</t>
  </si>
  <si>
    <t>Centro de Gestión de Mercados, Logística y Tecnologías de la Información</t>
  </si>
  <si>
    <t>Centro de Formación de Talento Humano en Salud</t>
  </si>
  <si>
    <t>Centro de Gestión Administrativa</t>
  </si>
  <si>
    <t>Centro de Servicios Financieros</t>
  </si>
  <si>
    <t>Centro Nacional de Hoteleria, Turismo y Alimentos</t>
  </si>
  <si>
    <t>Centro de Formación en Actividad Física y cultura</t>
  </si>
  <si>
    <t>Unidad de Emprendimiento Especializada de Tecnoparque Regional Distrito Capital</t>
  </si>
  <si>
    <t>Centro Ambiental y Ecoturistico del Nororiente Amazónico</t>
  </si>
  <si>
    <t>Centro Industrial y de Energías Alternativas</t>
  </si>
  <si>
    <t>Centro Agroempresarial y Acuícola</t>
  </si>
  <si>
    <t>Centro de Desarrollo Agroindustrial, Turístico y Tecnológico del Guaviare</t>
  </si>
  <si>
    <t>Centro de Formación Agroindustrial</t>
  </si>
  <si>
    <t>Centro Agroempresarial y Desarrollo Pecuario del Huila</t>
  </si>
  <si>
    <t>Centro de Desarrollo Agroempresarial y Turístico del Huila</t>
  </si>
  <si>
    <t xml:space="preserve">Centro de la Industria, la Empresa y los Servicios </t>
  </si>
  <si>
    <t>Centro de Gestión y Desarrollo Sostenible Surcolombiano</t>
  </si>
  <si>
    <t>Centro Acuícola y Agroindustrial de Gaira</t>
  </si>
  <si>
    <t>Centro de Logística y Promoción Ecoturística del Magdalena</t>
  </si>
  <si>
    <t>Centro Agroindustrial del Meta</t>
  </si>
  <si>
    <t>Centro de Industria y Servicios del Meta</t>
  </si>
  <si>
    <t>Centro Sur Colombiano de Logística Internacional</t>
  </si>
  <si>
    <t>Centro Agroindustrial y Pesquero de la Costa Pacifica</t>
  </si>
  <si>
    <t>Centro Internacional de Producción Limpia - Lope</t>
  </si>
  <si>
    <t>Norte de Santander</t>
  </si>
  <si>
    <t>Centro de Formación para el Desarrollo Rural y Minero</t>
  </si>
  <si>
    <t>Centro Agroforestal y Acuícola Arapaima</t>
  </si>
  <si>
    <t>Centro Agroindustrial</t>
  </si>
  <si>
    <t>Centro para el Desarrollo Tecnológico de la Construcción y la Industria</t>
  </si>
  <si>
    <t>Centro de Comercio y Turismo</t>
  </si>
  <si>
    <t>Centro Atención Sector Agropecuario</t>
  </si>
  <si>
    <t>Centro de Diseño e Innovación Tecnológica Industrial</t>
  </si>
  <si>
    <t>San Andrés</t>
  </si>
  <si>
    <t>Centro de Formación Turística, Gente de Mar y de Servicios</t>
  </si>
  <si>
    <t>Centro Industrial de Mantenimiento Integral</t>
  </si>
  <si>
    <t>Centro Industrial del Diseño y la Manufactura</t>
  </si>
  <si>
    <t>Centro de Servicios Empresariales y Turísticos</t>
  </si>
  <si>
    <t>Centro Industrial y del Desarrollo Tecnológico</t>
  </si>
  <si>
    <t>Centro Agroturístico</t>
  </si>
  <si>
    <t>Centro Agroempresarial y Turístico de los Andes</t>
  </si>
  <si>
    <t>Centro de Gestión Agroempresarial del Oriente</t>
  </si>
  <si>
    <t>Centro de la Innovación, la Tecnología y los Servicios</t>
  </si>
  <si>
    <t>Centro Agropecuario la Granja</t>
  </si>
  <si>
    <t>Centro de Industria y Construcción</t>
  </si>
  <si>
    <t>Centro Agropecuario de Buga</t>
  </si>
  <si>
    <t>Centro Latinoamericano de  Especies Menores</t>
  </si>
  <si>
    <t>Centro Náutico Pesquero de Buenaventura</t>
  </si>
  <si>
    <t>Centro de Electricidad y Automatización Industrial -CEAI</t>
  </si>
  <si>
    <t>Centro de la Construcción</t>
  </si>
  <si>
    <t>Centro de Diseño Tecnológico Industrial</t>
  </si>
  <si>
    <t>Centro Nacional de Asistencia Técnica a la Industria -ASTIN</t>
  </si>
  <si>
    <t>Centro de Gestión Tecnológica de Servicios</t>
  </si>
  <si>
    <t>Centro de Tecnologías Agroindustriales</t>
  </si>
  <si>
    <t>Centro de Biotecnología Industrial</t>
  </si>
  <si>
    <t>Unidad de Emprendimiento Especializada de Tecnoparque ASTIN</t>
  </si>
  <si>
    <t>Centro Agropecuario y de Servicios Ambientales "Jiri-jirimo"</t>
  </si>
  <si>
    <t>Centro de Producción y Transformación Agroindustrial de la Orinoquia</t>
  </si>
  <si>
    <t>Seleccione</t>
  </si>
  <si>
    <r>
      <t>_</t>
    </r>
    <r>
      <rPr>
        <sz val="11"/>
        <rFont val="Calibri"/>
        <family val="2"/>
      </rPr>
      <t>AMAZONAS</t>
    </r>
  </si>
  <si>
    <t>_ANTIOQUIA</t>
  </si>
  <si>
    <r>
      <t>_</t>
    </r>
    <r>
      <rPr>
        <sz val="11"/>
        <rFont val="Calibri"/>
        <family val="2"/>
      </rPr>
      <t>ARAUCA</t>
    </r>
  </si>
  <si>
    <r>
      <t>_</t>
    </r>
    <r>
      <rPr>
        <sz val="11"/>
        <rFont val="Calibri"/>
        <family val="2"/>
      </rPr>
      <t>ATLÁNTICO</t>
    </r>
  </si>
  <si>
    <r>
      <t>_</t>
    </r>
    <r>
      <rPr>
        <sz val="11"/>
        <rFont val="Calibri"/>
        <family val="2"/>
      </rPr>
      <t>BOGOTÁ_D.C.</t>
    </r>
  </si>
  <si>
    <r>
      <t>_</t>
    </r>
    <r>
      <rPr>
        <sz val="11"/>
        <rFont val="Calibri"/>
        <family val="2"/>
      </rPr>
      <t>BOLÍVAR</t>
    </r>
  </si>
  <si>
    <r>
      <t>_</t>
    </r>
    <r>
      <rPr>
        <sz val="11"/>
        <rFont val="Calibri"/>
        <family val="2"/>
      </rPr>
      <t>BOYACÁ</t>
    </r>
  </si>
  <si>
    <r>
      <t>_</t>
    </r>
    <r>
      <rPr>
        <sz val="11"/>
        <rFont val="Calibri"/>
        <family val="2"/>
      </rPr>
      <t>CALDAS</t>
    </r>
  </si>
  <si>
    <r>
      <t>_</t>
    </r>
    <r>
      <rPr>
        <sz val="11"/>
        <rFont val="Calibri"/>
        <family val="2"/>
      </rPr>
      <t>CAQUETÁ</t>
    </r>
  </si>
  <si>
    <r>
      <t>_</t>
    </r>
    <r>
      <rPr>
        <sz val="11"/>
        <rFont val="Calibri"/>
        <family val="2"/>
      </rPr>
      <t>CASANARE</t>
    </r>
  </si>
  <si>
    <r>
      <t>_</t>
    </r>
    <r>
      <rPr>
        <sz val="11"/>
        <rFont val="Calibri"/>
        <family val="2"/>
      </rPr>
      <t>CAUCA</t>
    </r>
  </si>
  <si>
    <r>
      <t>_</t>
    </r>
    <r>
      <rPr>
        <sz val="11"/>
        <rFont val="Calibri"/>
        <family val="2"/>
      </rPr>
      <t>CESAR</t>
    </r>
  </si>
  <si>
    <r>
      <t>_</t>
    </r>
    <r>
      <rPr>
        <sz val="11"/>
        <rFont val="Calibri"/>
        <family val="2"/>
      </rPr>
      <t>CHOCÓ</t>
    </r>
  </si>
  <si>
    <r>
      <t>_</t>
    </r>
    <r>
      <rPr>
        <sz val="11"/>
        <rFont val="Calibri"/>
        <family val="2"/>
      </rPr>
      <t>CÓRDOBA</t>
    </r>
  </si>
  <si>
    <r>
      <t>_</t>
    </r>
    <r>
      <rPr>
        <sz val="11"/>
        <rFont val="Calibri"/>
        <family val="2"/>
      </rPr>
      <t>CUNDINAMARCA</t>
    </r>
  </si>
  <si>
    <r>
      <t>_</t>
    </r>
    <r>
      <rPr>
        <sz val="11"/>
        <rFont val="Calibri"/>
        <family val="2"/>
      </rPr>
      <t>GUAINÍA</t>
    </r>
  </si>
  <si>
    <r>
      <t>_</t>
    </r>
    <r>
      <rPr>
        <sz val="11"/>
        <rFont val="Calibri"/>
        <family val="2"/>
      </rPr>
      <t>GUAVIARE</t>
    </r>
  </si>
  <si>
    <r>
      <t>_</t>
    </r>
    <r>
      <rPr>
        <sz val="11"/>
        <rFont val="Calibri"/>
        <family val="2"/>
      </rPr>
      <t>HUILA</t>
    </r>
  </si>
  <si>
    <r>
      <t>_</t>
    </r>
    <r>
      <rPr>
        <sz val="11"/>
        <rFont val="Calibri"/>
        <family val="2"/>
      </rPr>
      <t>LA_GUAJIRA</t>
    </r>
  </si>
  <si>
    <r>
      <t>_</t>
    </r>
    <r>
      <rPr>
        <sz val="11"/>
        <rFont val="Calibri"/>
        <family val="2"/>
      </rPr>
      <t>MAGDALENA</t>
    </r>
  </si>
  <si>
    <r>
      <t>_</t>
    </r>
    <r>
      <rPr>
        <sz val="11"/>
        <rFont val="Calibri"/>
        <family val="2"/>
      </rPr>
      <t>META</t>
    </r>
  </si>
  <si>
    <r>
      <t>_</t>
    </r>
    <r>
      <rPr>
        <sz val="11"/>
        <rFont val="Calibri"/>
        <family val="2"/>
      </rPr>
      <t>NARIÑO</t>
    </r>
  </si>
  <si>
    <r>
      <t>_</t>
    </r>
    <r>
      <rPr>
        <sz val="11"/>
        <rFont val="Calibri"/>
        <family val="2"/>
      </rPr>
      <t>NORTE_DE_SANTANDER</t>
    </r>
  </si>
  <si>
    <r>
      <t>_</t>
    </r>
    <r>
      <rPr>
        <sz val="11"/>
        <rFont val="Calibri"/>
        <family val="2"/>
      </rPr>
      <t>PUTUMAYO</t>
    </r>
  </si>
  <si>
    <r>
      <t>_</t>
    </r>
    <r>
      <rPr>
        <sz val="11"/>
        <rFont val="Calibri"/>
        <family val="2"/>
      </rPr>
      <t>QUINDÍO</t>
    </r>
  </si>
  <si>
    <r>
      <t>_</t>
    </r>
    <r>
      <rPr>
        <sz val="11"/>
        <rFont val="Calibri"/>
        <family val="2"/>
      </rPr>
      <t>RISARALDA</t>
    </r>
  </si>
  <si>
    <t>_SAN_ANDRÉS</t>
  </si>
  <si>
    <r>
      <t>_</t>
    </r>
    <r>
      <rPr>
        <sz val="11"/>
        <rFont val="Calibri"/>
        <family val="2"/>
      </rPr>
      <t>SANTANDER</t>
    </r>
  </si>
  <si>
    <r>
      <t>_</t>
    </r>
    <r>
      <rPr>
        <sz val="11"/>
        <rFont val="Calibri"/>
        <family val="2"/>
      </rPr>
      <t>SUCRE</t>
    </r>
  </si>
  <si>
    <r>
      <t>_</t>
    </r>
    <r>
      <rPr>
        <sz val="11"/>
        <rFont val="Calibri"/>
        <family val="2"/>
      </rPr>
      <t>TOLIMA</t>
    </r>
  </si>
  <si>
    <r>
      <t>_</t>
    </r>
    <r>
      <rPr>
        <sz val="11"/>
        <rFont val="Calibri"/>
        <family val="2"/>
      </rPr>
      <t>VALLE_DEL_CAUCA</t>
    </r>
  </si>
  <si>
    <r>
      <t>_</t>
    </r>
    <r>
      <rPr>
        <sz val="11"/>
        <rFont val="Calibri"/>
        <family val="2"/>
      </rPr>
      <t>VAUPÉS</t>
    </r>
  </si>
  <si>
    <r>
      <t>_</t>
    </r>
    <r>
      <rPr>
        <sz val="11"/>
        <rFont val="Calibri"/>
        <family val="2"/>
      </rPr>
      <t>VICHADA</t>
    </r>
  </si>
  <si>
    <r>
      <rPr>
        <sz val="11"/>
        <rFont val="Calibri"/>
        <family val="2"/>
      </rPr>
      <t>EL ENCANTO</t>
    </r>
  </si>
  <si>
    <r>
      <rPr>
        <sz val="11"/>
        <rFont val="Calibri"/>
        <family val="2"/>
      </rPr>
      <t>ABEJORRAL</t>
    </r>
  </si>
  <si>
    <r>
      <rPr>
        <sz val="11"/>
        <rFont val="Calibri"/>
        <family val="2"/>
      </rPr>
      <t>ARAUCA</t>
    </r>
  </si>
  <si>
    <r>
      <rPr>
        <sz val="11"/>
        <rFont val="Calibri"/>
        <family val="2"/>
      </rPr>
      <t>BARANOA</t>
    </r>
  </si>
  <si>
    <t>BOGOTÁ D.C.</t>
  </si>
  <si>
    <r>
      <rPr>
        <sz val="11"/>
        <rFont val="Calibri"/>
        <family val="2"/>
      </rPr>
      <t>ACHÍ</t>
    </r>
  </si>
  <si>
    <r>
      <rPr>
        <sz val="11"/>
        <rFont val="Calibri"/>
        <family val="2"/>
      </rPr>
      <t>ALMEIDA</t>
    </r>
  </si>
  <si>
    <r>
      <rPr>
        <sz val="11"/>
        <rFont val="Calibri"/>
        <family val="2"/>
      </rPr>
      <t>AGUADAS</t>
    </r>
  </si>
  <si>
    <r>
      <rPr>
        <sz val="11"/>
        <rFont val="Calibri"/>
        <family val="2"/>
      </rPr>
      <t>ALBANIA</t>
    </r>
  </si>
  <si>
    <r>
      <rPr>
        <sz val="11"/>
        <rFont val="Calibri"/>
        <family val="2"/>
      </rPr>
      <t>AGUAZUL</t>
    </r>
  </si>
  <si>
    <r>
      <rPr>
        <sz val="11"/>
        <rFont val="Calibri"/>
        <family val="2"/>
      </rPr>
      <t>ALMAGUER</t>
    </r>
  </si>
  <si>
    <r>
      <rPr>
        <sz val="11"/>
        <rFont val="Calibri"/>
        <family val="2"/>
      </rPr>
      <t>AGUACHICA</t>
    </r>
  </si>
  <si>
    <r>
      <rPr>
        <sz val="11"/>
        <rFont val="Calibri"/>
        <family val="2"/>
      </rPr>
      <t>ACANDÍ</t>
    </r>
  </si>
  <si>
    <r>
      <rPr>
        <sz val="11"/>
        <rFont val="Calibri"/>
        <family val="2"/>
      </rPr>
      <t>AYAPEL</t>
    </r>
  </si>
  <si>
    <r>
      <rPr>
        <sz val="11"/>
        <rFont val="Calibri"/>
        <family val="2"/>
      </rPr>
      <t>AGUA DE DIOS</t>
    </r>
  </si>
  <si>
    <r>
      <rPr>
        <sz val="11"/>
        <rFont val="Calibri"/>
        <family val="2"/>
      </rPr>
      <t>BARRANCO MINAS</t>
    </r>
  </si>
  <si>
    <r>
      <rPr>
        <sz val="11"/>
        <rFont val="Calibri"/>
        <family val="2"/>
      </rPr>
      <t>CALAMAR</t>
    </r>
  </si>
  <si>
    <r>
      <rPr>
        <sz val="11"/>
        <rFont val="Calibri"/>
        <family val="2"/>
      </rPr>
      <t>ACEVEDO</t>
    </r>
  </si>
  <si>
    <r>
      <rPr>
        <sz val="11"/>
        <rFont val="Calibri"/>
        <family val="2"/>
      </rPr>
      <t>ALGARROBO</t>
    </r>
  </si>
  <si>
    <r>
      <rPr>
        <sz val="11"/>
        <rFont val="Calibri"/>
        <family val="2"/>
      </rPr>
      <t>ACACÍAS</t>
    </r>
  </si>
  <si>
    <r>
      <rPr>
        <sz val="11"/>
        <rFont val="Calibri"/>
        <family val="2"/>
      </rPr>
      <t>ALBÁN</t>
    </r>
  </si>
  <si>
    <r>
      <rPr>
        <sz val="11"/>
        <rFont val="Calibri"/>
        <family val="2"/>
      </rPr>
      <t>ÁBREGO</t>
    </r>
  </si>
  <si>
    <r>
      <rPr>
        <sz val="11"/>
        <rFont val="Calibri"/>
        <family val="2"/>
      </rPr>
      <t>COLÓN</t>
    </r>
  </si>
  <si>
    <r>
      <rPr>
        <sz val="11"/>
        <rFont val="Calibri"/>
        <family val="2"/>
      </rPr>
      <t>ARMENIA</t>
    </r>
  </si>
  <si>
    <r>
      <rPr>
        <sz val="11"/>
        <rFont val="Calibri"/>
        <family val="2"/>
      </rPr>
      <t>APÍA</t>
    </r>
  </si>
  <si>
    <r>
      <rPr>
        <sz val="11"/>
        <rFont val="Calibri"/>
        <family val="2"/>
      </rPr>
      <t>PROVIDENCIA</t>
    </r>
  </si>
  <si>
    <r>
      <rPr>
        <sz val="11"/>
        <rFont val="Calibri"/>
        <family val="2"/>
      </rPr>
      <t>AGUADA</t>
    </r>
  </si>
  <si>
    <r>
      <rPr>
        <sz val="11"/>
        <rFont val="Calibri"/>
        <family val="2"/>
      </rPr>
      <t>BUENAVISTA</t>
    </r>
  </si>
  <si>
    <r>
      <rPr>
        <sz val="11"/>
        <rFont val="Calibri"/>
        <family val="2"/>
      </rPr>
      <t>ALPUJARRA</t>
    </r>
  </si>
  <si>
    <r>
      <rPr>
        <sz val="11"/>
        <rFont val="Calibri"/>
        <family val="2"/>
      </rPr>
      <t>ALCALÁ</t>
    </r>
  </si>
  <si>
    <r>
      <rPr>
        <sz val="11"/>
        <rFont val="Calibri"/>
        <family val="2"/>
      </rPr>
      <t>CARURÚ</t>
    </r>
  </si>
  <si>
    <r>
      <rPr>
        <sz val="11"/>
        <rFont val="Calibri"/>
        <family val="2"/>
      </rPr>
      <t>CUMARIBO</t>
    </r>
  </si>
  <si>
    <r>
      <rPr>
        <sz val="11"/>
        <rFont val="Calibri"/>
        <family val="2"/>
      </rPr>
      <t>LA CHORRERA</t>
    </r>
  </si>
  <si>
    <r>
      <rPr>
        <sz val="11"/>
        <rFont val="Calibri"/>
        <family val="2"/>
      </rPr>
      <t>ABRIAQUÍ</t>
    </r>
  </si>
  <si>
    <r>
      <rPr>
        <sz val="11"/>
        <rFont val="Calibri"/>
        <family val="2"/>
      </rPr>
      <t>ARAUQUITA</t>
    </r>
  </si>
  <si>
    <r>
      <rPr>
        <sz val="11"/>
        <rFont val="Calibri"/>
        <family val="2"/>
      </rPr>
      <t>BARRANQUILLA</t>
    </r>
  </si>
  <si>
    <r>
      <rPr>
        <sz val="11"/>
        <rFont val="Calibri"/>
        <family val="2"/>
      </rPr>
      <t>ALTOS DEL ROSARIO</t>
    </r>
  </si>
  <si>
    <r>
      <rPr>
        <sz val="11"/>
        <rFont val="Calibri"/>
        <family val="2"/>
      </rPr>
      <t>AQUITANIA</t>
    </r>
  </si>
  <si>
    <r>
      <rPr>
        <sz val="11"/>
        <rFont val="Calibri"/>
        <family val="2"/>
      </rPr>
      <t>ANSERMA</t>
    </r>
  </si>
  <si>
    <r>
      <rPr>
        <sz val="11"/>
        <rFont val="Calibri"/>
        <family val="2"/>
      </rPr>
      <t>BELÉN DE LOS ANDAQUÍES</t>
    </r>
  </si>
  <si>
    <r>
      <rPr>
        <sz val="11"/>
        <rFont val="Calibri"/>
        <family val="2"/>
      </rPr>
      <t>CHÁMEZA</t>
    </r>
  </si>
  <si>
    <r>
      <rPr>
        <sz val="11"/>
        <rFont val="Calibri"/>
        <family val="2"/>
      </rPr>
      <t>ARGELIA</t>
    </r>
  </si>
  <si>
    <r>
      <rPr>
        <sz val="11"/>
        <rFont val="Calibri"/>
        <family val="2"/>
      </rPr>
      <t>AGUSTÍN CODAZZI</t>
    </r>
  </si>
  <si>
    <r>
      <rPr>
        <sz val="11"/>
        <rFont val="Calibri"/>
        <family val="2"/>
      </rPr>
      <t>ALTO BAUDÓ</t>
    </r>
  </si>
  <si>
    <r>
      <rPr>
        <sz val="11"/>
        <rFont val="Calibri"/>
        <family val="2"/>
      </rPr>
      <t>CACAHUAL</t>
    </r>
  </si>
  <si>
    <r>
      <rPr>
        <sz val="11"/>
        <rFont val="Calibri"/>
        <family val="2"/>
      </rPr>
      <t>EL RETORNO</t>
    </r>
  </si>
  <si>
    <r>
      <rPr>
        <sz val="11"/>
        <rFont val="Calibri"/>
        <family val="2"/>
      </rPr>
      <t>AGRADO</t>
    </r>
  </si>
  <si>
    <r>
      <rPr>
        <sz val="11"/>
        <rFont val="Calibri"/>
        <family val="2"/>
      </rPr>
      <t>BARRANCAS</t>
    </r>
  </si>
  <si>
    <r>
      <rPr>
        <sz val="11"/>
        <rFont val="Calibri"/>
        <family val="2"/>
      </rPr>
      <t>ARACATACA</t>
    </r>
  </si>
  <si>
    <r>
      <rPr>
        <sz val="11"/>
        <rFont val="Calibri"/>
        <family val="2"/>
      </rPr>
      <t>BARRANCA DE UPÍA</t>
    </r>
  </si>
  <si>
    <r>
      <rPr>
        <sz val="11"/>
        <rFont val="Calibri"/>
        <family val="2"/>
      </rPr>
      <t>ALDANA</t>
    </r>
  </si>
  <si>
    <r>
      <rPr>
        <sz val="11"/>
        <rFont val="Calibri"/>
        <family val="2"/>
      </rPr>
      <t>ARBOLEDAS</t>
    </r>
  </si>
  <si>
    <r>
      <rPr>
        <sz val="11"/>
        <rFont val="Calibri"/>
        <family val="2"/>
      </rPr>
      <t>MOCOA</t>
    </r>
  </si>
  <si>
    <r>
      <rPr>
        <sz val="11"/>
        <rFont val="Calibri"/>
        <family val="2"/>
      </rPr>
      <t>BALBOA</t>
    </r>
  </si>
  <si>
    <r>
      <rPr>
        <sz val="11"/>
        <rFont val="Calibri"/>
        <family val="2"/>
      </rPr>
      <t>SAN ANDRÉS</t>
    </r>
  </si>
  <si>
    <r>
      <rPr>
        <sz val="11"/>
        <rFont val="Calibri"/>
        <family val="2"/>
      </rPr>
      <t>CAIMITO</t>
    </r>
  </si>
  <si>
    <r>
      <rPr>
        <sz val="11"/>
        <rFont val="Calibri"/>
        <family val="2"/>
      </rPr>
      <t>ALVARADO</t>
    </r>
  </si>
  <si>
    <r>
      <rPr>
        <sz val="11"/>
        <rFont val="Calibri"/>
        <family val="2"/>
      </rPr>
      <t>ANDALUCÍA</t>
    </r>
  </si>
  <si>
    <r>
      <rPr>
        <sz val="11"/>
        <rFont val="Calibri"/>
        <family val="2"/>
      </rPr>
      <t>MITÚ</t>
    </r>
  </si>
  <si>
    <r>
      <rPr>
        <sz val="11"/>
        <rFont val="Calibri"/>
        <family val="2"/>
      </rPr>
      <t>LA PRIMAVERA</t>
    </r>
  </si>
  <si>
    <r>
      <rPr>
        <sz val="11"/>
        <rFont val="Calibri"/>
        <family val="2"/>
      </rPr>
      <t>LA PEDRERA</t>
    </r>
  </si>
  <si>
    <r>
      <rPr>
        <sz val="11"/>
        <rFont val="Calibri"/>
        <family val="2"/>
      </rPr>
      <t>ALEJANDRÍA</t>
    </r>
  </si>
  <si>
    <r>
      <rPr>
        <sz val="11"/>
        <rFont val="Calibri"/>
        <family val="2"/>
      </rPr>
      <t>CRAVO NORTE</t>
    </r>
  </si>
  <si>
    <r>
      <rPr>
        <sz val="11"/>
        <rFont val="Calibri"/>
        <family val="2"/>
      </rPr>
      <t>CAMPO DE LA CRUZ</t>
    </r>
  </si>
  <si>
    <r>
      <rPr>
        <sz val="11"/>
        <rFont val="Calibri"/>
        <family val="2"/>
      </rPr>
      <t>ARENAL</t>
    </r>
  </si>
  <si>
    <r>
      <rPr>
        <sz val="11"/>
        <rFont val="Calibri"/>
        <family val="2"/>
      </rPr>
      <t>ARCABUCO</t>
    </r>
  </si>
  <si>
    <r>
      <rPr>
        <sz val="11"/>
        <rFont val="Calibri"/>
        <family val="2"/>
      </rPr>
      <t>ARANZAZU</t>
    </r>
  </si>
  <si>
    <r>
      <rPr>
        <sz val="11"/>
        <rFont val="Calibri"/>
        <family val="2"/>
      </rPr>
      <t>CARTAGENA DEL CHAIRÁ</t>
    </r>
  </si>
  <si>
    <r>
      <rPr>
        <sz val="11"/>
        <rFont val="Calibri"/>
        <family val="2"/>
      </rPr>
      <t>HATO COROZAL</t>
    </r>
  </si>
  <si>
    <r>
      <rPr>
        <sz val="11"/>
        <rFont val="Calibri"/>
        <family val="2"/>
      </rPr>
      <t>ASTREA</t>
    </r>
  </si>
  <si>
    <r>
      <rPr>
        <sz val="11"/>
        <rFont val="Calibri"/>
        <family val="2"/>
      </rPr>
      <t>ATRATO</t>
    </r>
  </si>
  <si>
    <r>
      <rPr>
        <sz val="11"/>
        <rFont val="Calibri"/>
        <family val="2"/>
      </rPr>
      <t>CANALETE</t>
    </r>
  </si>
  <si>
    <r>
      <rPr>
        <sz val="11"/>
        <rFont val="Calibri"/>
        <family val="2"/>
      </rPr>
      <t>ANAPOIMA</t>
    </r>
  </si>
  <si>
    <r>
      <rPr>
        <sz val="11"/>
        <rFont val="Calibri"/>
        <family val="2"/>
      </rPr>
      <t>INÍRIDA</t>
    </r>
  </si>
  <si>
    <r>
      <rPr>
        <sz val="11"/>
        <rFont val="Calibri"/>
        <family val="2"/>
      </rPr>
      <t>MIRAFLORES</t>
    </r>
  </si>
  <si>
    <r>
      <rPr>
        <sz val="11"/>
        <rFont val="Calibri"/>
        <family val="2"/>
      </rPr>
      <t>AIPE</t>
    </r>
  </si>
  <si>
    <r>
      <rPr>
        <sz val="11"/>
        <rFont val="Calibri"/>
        <family val="2"/>
      </rPr>
      <t>DIBULLA</t>
    </r>
  </si>
  <si>
    <r>
      <rPr>
        <sz val="11"/>
        <rFont val="Calibri"/>
        <family val="2"/>
      </rPr>
      <t>ARIGUANÍ</t>
    </r>
  </si>
  <si>
    <r>
      <rPr>
        <sz val="11"/>
        <rFont val="Calibri"/>
        <family val="2"/>
      </rPr>
      <t>CABUYARO</t>
    </r>
  </si>
  <si>
    <r>
      <rPr>
        <sz val="11"/>
        <rFont val="Calibri"/>
        <family val="2"/>
      </rPr>
      <t>ANCUYÁ</t>
    </r>
  </si>
  <si>
    <r>
      <rPr>
        <sz val="11"/>
        <rFont val="Calibri"/>
        <family val="2"/>
      </rPr>
      <t>BOCHALEMA</t>
    </r>
  </si>
  <si>
    <r>
      <rPr>
        <sz val="11"/>
        <rFont val="Calibri"/>
        <family val="2"/>
      </rPr>
      <t>ORITO</t>
    </r>
  </si>
  <si>
    <r>
      <rPr>
        <sz val="11"/>
        <rFont val="Calibri"/>
        <family val="2"/>
      </rPr>
      <t>CALARCÁ</t>
    </r>
  </si>
  <si>
    <r>
      <rPr>
        <sz val="11"/>
        <rFont val="Calibri"/>
        <family val="2"/>
      </rPr>
      <t>BELÉN DE UMBRÍA</t>
    </r>
  </si>
  <si>
    <r>
      <rPr>
        <sz val="11"/>
        <rFont val="Calibri"/>
        <family val="2"/>
      </rPr>
      <t>ARATOCA</t>
    </r>
  </si>
  <si>
    <r>
      <rPr>
        <sz val="11"/>
        <rFont val="Calibri"/>
        <family val="2"/>
      </rPr>
      <t>CHALÁN</t>
    </r>
  </si>
  <si>
    <r>
      <rPr>
        <sz val="11"/>
        <rFont val="Calibri"/>
        <family val="2"/>
      </rPr>
      <t>AMBALEMA</t>
    </r>
  </si>
  <si>
    <r>
      <rPr>
        <sz val="11"/>
        <rFont val="Calibri"/>
        <family val="2"/>
      </rPr>
      <t>ANSERMANUEVO</t>
    </r>
  </si>
  <si>
    <r>
      <rPr>
        <sz val="11"/>
        <rFont val="Calibri"/>
        <family val="2"/>
      </rPr>
      <t>PACOA</t>
    </r>
  </si>
  <si>
    <r>
      <rPr>
        <sz val="11"/>
        <rFont val="Calibri"/>
        <family val="2"/>
      </rPr>
      <t>PUERTO CARREÑO</t>
    </r>
  </si>
  <si>
    <r>
      <rPr>
        <sz val="11"/>
        <rFont val="Calibri"/>
        <family val="2"/>
      </rPr>
      <t>LA VICTORIA</t>
    </r>
  </si>
  <si>
    <r>
      <rPr>
        <sz val="11"/>
        <rFont val="Calibri"/>
        <family val="2"/>
      </rPr>
      <t>AMAGÁ</t>
    </r>
  </si>
  <si>
    <r>
      <rPr>
        <sz val="11"/>
        <rFont val="Calibri"/>
        <family val="2"/>
      </rPr>
      <t>FORTUL</t>
    </r>
  </si>
  <si>
    <r>
      <rPr>
        <sz val="11"/>
        <rFont val="Calibri"/>
        <family val="2"/>
      </rPr>
      <t>CANDELARIA</t>
    </r>
  </si>
  <si>
    <r>
      <rPr>
        <sz val="11"/>
        <rFont val="Calibri"/>
        <family val="2"/>
      </rPr>
      <t>ARJONA</t>
    </r>
  </si>
  <si>
    <r>
      <rPr>
        <sz val="11"/>
        <rFont val="Calibri"/>
        <family val="2"/>
      </rPr>
      <t>BELÉN</t>
    </r>
  </si>
  <si>
    <r>
      <rPr>
        <sz val="11"/>
        <rFont val="Calibri"/>
        <family val="2"/>
      </rPr>
      <t>BELALCÁZAR</t>
    </r>
  </si>
  <si>
    <r>
      <rPr>
        <sz val="11"/>
        <rFont val="Calibri"/>
        <family val="2"/>
      </rPr>
      <t>CURILLO</t>
    </r>
  </si>
  <si>
    <r>
      <rPr>
        <sz val="11"/>
        <rFont val="Calibri"/>
        <family val="2"/>
      </rPr>
      <t>LA SALINA</t>
    </r>
  </si>
  <si>
    <r>
      <rPr>
        <sz val="11"/>
        <rFont val="Calibri"/>
        <family val="2"/>
      </rPr>
      <t>BOLÍVAR</t>
    </r>
  </si>
  <si>
    <r>
      <rPr>
        <sz val="11"/>
        <rFont val="Calibri"/>
        <family val="2"/>
      </rPr>
      <t>BECERRIL</t>
    </r>
  </si>
  <si>
    <r>
      <rPr>
        <sz val="11"/>
        <rFont val="Calibri"/>
        <family val="2"/>
      </rPr>
      <t>BAGADÓ</t>
    </r>
  </si>
  <si>
    <r>
      <rPr>
        <sz val="11"/>
        <rFont val="Calibri"/>
        <family val="2"/>
      </rPr>
      <t>CERETÉ</t>
    </r>
  </si>
  <si>
    <r>
      <rPr>
        <sz val="11"/>
        <rFont val="Calibri"/>
        <family val="2"/>
      </rPr>
      <t>ANOLAIMA</t>
    </r>
  </si>
  <si>
    <r>
      <rPr>
        <sz val="11"/>
        <rFont val="Calibri"/>
        <family val="2"/>
      </rPr>
      <t>LA GUADALUPE</t>
    </r>
  </si>
  <si>
    <r>
      <rPr>
        <sz val="11"/>
        <rFont val="Calibri"/>
        <family val="2"/>
      </rPr>
      <t>SAN JOSÉ DEL GUAVIARE</t>
    </r>
  </si>
  <si>
    <r>
      <rPr>
        <sz val="11"/>
        <rFont val="Calibri"/>
        <family val="2"/>
      </rPr>
      <t>ALGECIRAS</t>
    </r>
  </si>
  <si>
    <r>
      <rPr>
        <sz val="11"/>
        <rFont val="Calibri"/>
        <family val="2"/>
      </rPr>
      <t>DISTRACCIÓN</t>
    </r>
  </si>
  <si>
    <r>
      <rPr>
        <sz val="11"/>
        <rFont val="Calibri"/>
        <family val="2"/>
      </rPr>
      <t>CERRO DE SAN ANTONIO</t>
    </r>
  </si>
  <si>
    <r>
      <rPr>
        <sz val="11"/>
        <rFont val="Calibri"/>
        <family val="2"/>
      </rPr>
      <t>CASTILLA LA NUEVA</t>
    </r>
  </si>
  <si>
    <r>
      <rPr>
        <sz val="11"/>
        <rFont val="Calibri"/>
        <family val="2"/>
      </rPr>
      <t>ARBOLEDA</t>
    </r>
  </si>
  <si>
    <r>
      <rPr>
        <sz val="11"/>
        <rFont val="Calibri"/>
        <family val="2"/>
      </rPr>
      <t>BUCARASICA</t>
    </r>
  </si>
  <si>
    <r>
      <rPr>
        <sz val="11"/>
        <rFont val="Calibri"/>
        <family val="2"/>
      </rPr>
      <t>PUERTO ASÍS</t>
    </r>
  </si>
  <si>
    <r>
      <rPr>
        <sz val="11"/>
        <rFont val="Calibri"/>
        <family val="2"/>
      </rPr>
      <t>CIRCASIA</t>
    </r>
  </si>
  <si>
    <r>
      <rPr>
        <sz val="11"/>
        <rFont val="Calibri"/>
        <family val="2"/>
      </rPr>
      <t>DOSQUEBRADAS</t>
    </r>
  </si>
  <si>
    <r>
      <rPr>
        <sz val="11"/>
        <rFont val="Calibri"/>
        <family val="2"/>
      </rPr>
      <t>BARBOSA</t>
    </r>
  </si>
  <si>
    <r>
      <rPr>
        <sz val="11"/>
        <rFont val="Calibri"/>
        <family val="2"/>
      </rPr>
      <t>COLOSÓ</t>
    </r>
  </si>
  <si>
    <r>
      <rPr>
        <sz val="11"/>
        <rFont val="Calibri"/>
        <family val="2"/>
      </rPr>
      <t>ANZOÁTEGUI</t>
    </r>
  </si>
  <si>
    <r>
      <rPr>
        <sz val="11"/>
        <rFont val="Calibri"/>
        <family val="2"/>
      </rPr>
      <t>PAPUNAUA</t>
    </r>
  </si>
  <si>
    <r>
      <rPr>
        <sz val="11"/>
        <rFont val="Calibri"/>
        <family val="2"/>
      </rPr>
      <t>SANTA ROSALÍA</t>
    </r>
  </si>
  <si>
    <r>
      <rPr>
        <sz val="11"/>
        <rFont val="Calibri"/>
        <family val="2"/>
      </rPr>
      <t>LETICIA</t>
    </r>
  </si>
  <si>
    <r>
      <rPr>
        <sz val="11"/>
        <rFont val="Calibri"/>
        <family val="2"/>
      </rPr>
      <t>AMALFI</t>
    </r>
  </si>
  <si>
    <r>
      <rPr>
        <sz val="11"/>
        <rFont val="Calibri"/>
        <family val="2"/>
      </rPr>
      <t>PUERTO RONDÓN</t>
    </r>
  </si>
  <si>
    <r>
      <rPr>
        <sz val="11"/>
        <rFont val="Calibri"/>
        <family val="2"/>
      </rPr>
      <t>GALAPA</t>
    </r>
  </si>
  <si>
    <r>
      <rPr>
        <sz val="11"/>
        <rFont val="Calibri"/>
        <family val="2"/>
      </rPr>
      <t>ARROYOHONDO</t>
    </r>
  </si>
  <si>
    <r>
      <rPr>
        <sz val="11"/>
        <rFont val="Calibri"/>
        <family val="2"/>
      </rPr>
      <t>BERBEO</t>
    </r>
  </si>
  <si>
    <r>
      <rPr>
        <sz val="11"/>
        <rFont val="Calibri"/>
        <family val="2"/>
      </rPr>
      <t>CHINCHINÁ</t>
    </r>
  </si>
  <si>
    <r>
      <rPr>
        <sz val="11"/>
        <rFont val="Calibri"/>
        <family val="2"/>
      </rPr>
      <t>EL DONCELLO</t>
    </r>
  </si>
  <si>
    <r>
      <rPr>
        <sz val="11"/>
        <rFont val="Calibri"/>
        <family val="2"/>
      </rPr>
      <t>MANÍ</t>
    </r>
  </si>
  <si>
    <r>
      <rPr>
        <sz val="11"/>
        <rFont val="Calibri"/>
        <family val="2"/>
      </rPr>
      <t>BUENOS AIRES</t>
    </r>
  </si>
  <si>
    <r>
      <rPr>
        <sz val="11"/>
        <rFont val="Calibri"/>
        <family val="2"/>
      </rPr>
      <t>BOSCONIA</t>
    </r>
  </si>
  <si>
    <r>
      <rPr>
        <sz val="11"/>
        <rFont val="Calibri"/>
        <family val="2"/>
      </rPr>
      <t>BAHÍA SOLANO</t>
    </r>
  </si>
  <si>
    <r>
      <rPr>
        <sz val="11"/>
        <rFont val="Calibri"/>
        <family val="2"/>
      </rPr>
      <t>CHIMÁ</t>
    </r>
  </si>
  <si>
    <r>
      <rPr>
        <sz val="11"/>
        <rFont val="Calibri"/>
        <family val="2"/>
      </rPr>
      <t>APULO</t>
    </r>
  </si>
  <si>
    <r>
      <rPr>
        <sz val="11"/>
        <rFont val="Calibri"/>
        <family val="2"/>
      </rPr>
      <t>MAPIRIPANA</t>
    </r>
  </si>
  <si>
    <r>
      <rPr>
        <sz val="11"/>
        <rFont val="Calibri"/>
        <family val="2"/>
      </rPr>
      <t>ALTAMIRA</t>
    </r>
  </si>
  <si>
    <r>
      <rPr>
        <sz val="11"/>
        <rFont val="Calibri"/>
        <family val="2"/>
      </rPr>
      <t>EL MOLINO</t>
    </r>
  </si>
  <si>
    <r>
      <rPr>
        <sz val="11"/>
        <rFont val="Calibri"/>
        <family val="2"/>
      </rPr>
      <t>CHIVOLO</t>
    </r>
  </si>
  <si>
    <r>
      <rPr>
        <sz val="11"/>
        <rFont val="Calibri"/>
        <family val="2"/>
      </rPr>
      <t>CUBARRAL</t>
    </r>
  </si>
  <si>
    <r>
      <rPr>
        <sz val="11"/>
        <rFont val="Calibri"/>
        <family val="2"/>
      </rPr>
      <t>BARBACOAS</t>
    </r>
  </si>
  <si>
    <r>
      <rPr>
        <sz val="11"/>
        <rFont val="Calibri"/>
        <family val="2"/>
      </rPr>
      <t>CÁCHIRA</t>
    </r>
  </si>
  <si>
    <r>
      <rPr>
        <sz val="11"/>
        <rFont val="Calibri"/>
        <family val="2"/>
      </rPr>
      <t>PUERTO CAICEDO</t>
    </r>
  </si>
  <si>
    <r>
      <rPr>
        <sz val="11"/>
        <rFont val="Calibri"/>
        <family val="2"/>
      </rPr>
      <t>CÓRDOBA</t>
    </r>
  </si>
  <si>
    <r>
      <rPr>
        <sz val="11"/>
        <rFont val="Calibri"/>
        <family val="2"/>
      </rPr>
      <t>GUÁTICA</t>
    </r>
  </si>
  <si>
    <r>
      <rPr>
        <sz val="11"/>
        <rFont val="Calibri"/>
        <family val="2"/>
      </rPr>
      <t>BARICHARA</t>
    </r>
  </si>
  <si>
    <r>
      <rPr>
        <sz val="11"/>
        <rFont val="Calibri"/>
        <family val="2"/>
      </rPr>
      <t>COROZAL</t>
    </r>
  </si>
  <si>
    <r>
      <rPr>
        <sz val="11"/>
        <rFont val="Calibri"/>
        <family val="2"/>
      </rPr>
      <t>ARMERO GUAYABAL</t>
    </r>
  </si>
  <si>
    <r>
      <rPr>
        <sz val="11"/>
        <rFont val="Calibri"/>
        <family val="2"/>
      </rPr>
      <t>TARAIRA</t>
    </r>
  </si>
  <si>
    <r>
      <rPr>
        <sz val="11"/>
        <rFont val="Calibri"/>
        <family val="2"/>
      </rPr>
      <t>MIRITÍ - PARANÁ</t>
    </r>
  </si>
  <si>
    <r>
      <rPr>
        <sz val="11"/>
        <rFont val="Calibri"/>
        <family val="2"/>
      </rPr>
      <t>ANDES</t>
    </r>
  </si>
  <si>
    <r>
      <rPr>
        <sz val="11"/>
        <rFont val="Calibri"/>
        <family val="2"/>
      </rPr>
      <t>SARAVENA</t>
    </r>
  </si>
  <si>
    <r>
      <rPr>
        <sz val="11"/>
        <rFont val="Calibri"/>
        <family val="2"/>
      </rPr>
      <t>JUAN DE ACOSTA</t>
    </r>
  </si>
  <si>
    <r>
      <rPr>
        <sz val="11"/>
        <rFont val="Calibri"/>
        <family val="2"/>
      </rPr>
      <t>BARRANCO DE LOBA</t>
    </r>
  </si>
  <si>
    <r>
      <rPr>
        <sz val="11"/>
        <rFont val="Calibri"/>
        <family val="2"/>
      </rPr>
      <t>BETÉITIVA</t>
    </r>
  </si>
  <si>
    <r>
      <rPr>
        <sz val="11"/>
        <rFont val="Calibri"/>
        <family val="2"/>
      </rPr>
      <t>FILADELFIA</t>
    </r>
  </si>
  <si>
    <r>
      <rPr>
        <sz val="11"/>
        <rFont val="Calibri"/>
        <family val="2"/>
      </rPr>
      <t>EL PAUJÍL</t>
    </r>
  </si>
  <si>
    <r>
      <rPr>
        <sz val="11"/>
        <rFont val="Calibri"/>
        <family val="2"/>
      </rPr>
      <t>MONTERREY</t>
    </r>
  </si>
  <si>
    <r>
      <rPr>
        <sz val="11"/>
        <rFont val="Calibri"/>
        <family val="2"/>
      </rPr>
      <t>CAJIBÍO</t>
    </r>
  </si>
  <si>
    <r>
      <rPr>
        <sz val="11"/>
        <rFont val="Calibri"/>
        <family val="2"/>
      </rPr>
      <t>CHIMICHAGUA</t>
    </r>
  </si>
  <si>
    <r>
      <rPr>
        <sz val="11"/>
        <rFont val="Calibri"/>
        <family val="2"/>
      </rPr>
      <t>BAJO BAUDÓ</t>
    </r>
  </si>
  <si>
    <r>
      <rPr>
        <sz val="11"/>
        <rFont val="Calibri"/>
        <family val="2"/>
      </rPr>
      <t>CHINÚ</t>
    </r>
  </si>
  <si>
    <r>
      <rPr>
        <sz val="11"/>
        <rFont val="Calibri"/>
        <family val="2"/>
      </rPr>
      <t>ARBELÁEZ</t>
    </r>
  </si>
  <si>
    <r>
      <rPr>
        <sz val="11"/>
        <rFont val="Calibri"/>
        <family val="2"/>
      </rPr>
      <t>MORICHAL</t>
    </r>
  </si>
  <si>
    <r>
      <rPr>
        <sz val="11"/>
        <rFont val="Calibri"/>
        <family val="2"/>
      </rPr>
      <t>BARAYA</t>
    </r>
  </si>
  <si>
    <r>
      <rPr>
        <sz val="11"/>
        <rFont val="Calibri"/>
        <family val="2"/>
      </rPr>
      <t>FONSECA</t>
    </r>
  </si>
  <si>
    <r>
      <rPr>
        <sz val="11"/>
        <rFont val="Calibri"/>
        <family val="2"/>
      </rPr>
      <t>CIÉNAGA</t>
    </r>
  </si>
  <si>
    <r>
      <rPr>
        <sz val="11"/>
        <rFont val="Calibri"/>
        <family val="2"/>
      </rPr>
      <t>CUMARAL</t>
    </r>
  </si>
  <si>
    <r>
      <rPr>
        <sz val="11"/>
        <rFont val="Calibri"/>
        <family val="2"/>
      </rPr>
      <t>CÁCOTA</t>
    </r>
  </si>
  <si>
    <r>
      <rPr>
        <sz val="11"/>
        <rFont val="Calibri"/>
        <family val="2"/>
      </rPr>
      <t>PUERTO GUZMÁN</t>
    </r>
  </si>
  <si>
    <r>
      <rPr>
        <sz val="11"/>
        <rFont val="Calibri"/>
        <family val="2"/>
      </rPr>
      <t>FILANDIA</t>
    </r>
  </si>
  <si>
    <r>
      <rPr>
        <sz val="11"/>
        <rFont val="Calibri"/>
        <family val="2"/>
      </rPr>
      <t>LA CELIA</t>
    </r>
  </si>
  <si>
    <r>
      <rPr>
        <sz val="11"/>
        <rFont val="Calibri"/>
        <family val="2"/>
      </rPr>
      <t>BARRANCABERMEJA</t>
    </r>
  </si>
  <si>
    <r>
      <rPr>
        <sz val="11"/>
        <rFont val="Calibri"/>
        <family val="2"/>
      </rPr>
      <t>COVEÑAS</t>
    </r>
  </si>
  <si>
    <r>
      <rPr>
        <sz val="11"/>
        <rFont val="Calibri"/>
        <family val="2"/>
      </rPr>
      <t>ATACO</t>
    </r>
  </si>
  <si>
    <r>
      <rPr>
        <sz val="11"/>
        <rFont val="Calibri"/>
        <family val="2"/>
      </rPr>
      <t>BUENAVENTURA</t>
    </r>
  </si>
  <si>
    <r>
      <rPr>
        <sz val="11"/>
        <rFont val="Calibri"/>
        <family val="2"/>
      </rPr>
      <t>YAVARATÉ</t>
    </r>
  </si>
  <si>
    <r>
      <rPr>
        <sz val="11"/>
        <rFont val="Calibri"/>
        <family val="2"/>
      </rPr>
      <t>PUERTO ALEGRÍA</t>
    </r>
  </si>
  <si>
    <r>
      <rPr>
        <sz val="11"/>
        <rFont val="Calibri"/>
        <family val="2"/>
      </rPr>
      <t>ANGELÓPOLIS</t>
    </r>
  </si>
  <si>
    <r>
      <rPr>
        <sz val="11"/>
        <rFont val="Calibri"/>
        <family val="2"/>
      </rPr>
      <t>TAME</t>
    </r>
  </si>
  <si>
    <r>
      <rPr>
        <sz val="11"/>
        <rFont val="Calibri"/>
        <family val="2"/>
      </rPr>
      <t>LURUACO</t>
    </r>
  </si>
  <si>
    <r>
      <rPr>
        <sz val="11"/>
        <rFont val="Calibri"/>
        <family val="2"/>
      </rPr>
      <t>BOAVITA</t>
    </r>
  </si>
  <si>
    <r>
      <rPr>
        <sz val="11"/>
        <rFont val="Calibri"/>
        <family val="2"/>
      </rPr>
      <t>LA DORADA</t>
    </r>
  </si>
  <si>
    <r>
      <rPr>
        <sz val="11"/>
        <rFont val="Calibri"/>
        <family val="2"/>
      </rPr>
      <t>FLORENCIA</t>
    </r>
  </si>
  <si>
    <r>
      <rPr>
        <sz val="11"/>
        <rFont val="Calibri"/>
        <family val="2"/>
      </rPr>
      <t>NUNCHÍA</t>
    </r>
  </si>
  <si>
    <r>
      <rPr>
        <sz val="11"/>
        <rFont val="Calibri"/>
        <family val="2"/>
      </rPr>
      <t>CALDONO</t>
    </r>
  </si>
  <si>
    <r>
      <rPr>
        <sz val="11"/>
        <rFont val="Calibri"/>
        <family val="2"/>
      </rPr>
      <t>CHIRIGUANÁ</t>
    </r>
  </si>
  <si>
    <r>
      <rPr>
        <sz val="11"/>
        <rFont val="Calibri"/>
        <family val="2"/>
      </rPr>
      <t>BOJAYÁ</t>
    </r>
  </si>
  <si>
    <r>
      <rPr>
        <sz val="11"/>
        <rFont val="Calibri"/>
        <family val="2"/>
      </rPr>
      <t>CIÉNAGA DE ORO</t>
    </r>
  </si>
  <si>
    <r>
      <rPr>
        <sz val="11"/>
        <rFont val="Calibri"/>
        <family val="2"/>
      </rPr>
      <t>BELTRÁN</t>
    </r>
  </si>
  <si>
    <r>
      <rPr>
        <sz val="11"/>
        <rFont val="Calibri"/>
        <family val="2"/>
      </rPr>
      <t>PANA PANA</t>
    </r>
  </si>
  <si>
    <r>
      <rPr>
        <sz val="11"/>
        <rFont val="Calibri"/>
        <family val="2"/>
      </rPr>
      <t>CAMPOALEGRE</t>
    </r>
  </si>
  <si>
    <r>
      <rPr>
        <sz val="11"/>
        <rFont val="Calibri"/>
        <family val="2"/>
      </rPr>
      <t>HATONUEVO</t>
    </r>
  </si>
  <si>
    <r>
      <rPr>
        <sz val="11"/>
        <rFont val="Calibri"/>
        <family val="2"/>
      </rPr>
      <t>CONCORDIA</t>
    </r>
  </si>
  <si>
    <r>
      <rPr>
        <sz val="11"/>
        <rFont val="Calibri"/>
        <family val="2"/>
      </rPr>
      <t>EL CALVARIO</t>
    </r>
  </si>
  <si>
    <r>
      <rPr>
        <sz val="11"/>
        <rFont val="Calibri"/>
        <family val="2"/>
      </rPr>
      <t>BUESACO</t>
    </r>
  </si>
  <si>
    <r>
      <rPr>
        <sz val="11"/>
        <rFont val="Calibri"/>
        <family val="2"/>
      </rPr>
      <t>CHINÁCOTA</t>
    </r>
  </si>
  <si>
    <r>
      <rPr>
        <sz val="11"/>
        <rFont val="Calibri"/>
        <family val="2"/>
      </rPr>
      <t>PUERTO LEGUÍZAMO</t>
    </r>
  </si>
  <si>
    <r>
      <rPr>
        <sz val="11"/>
        <rFont val="Calibri"/>
        <family val="2"/>
      </rPr>
      <t>GÉNOVA</t>
    </r>
  </si>
  <si>
    <r>
      <rPr>
        <sz val="11"/>
        <rFont val="Calibri"/>
        <family val="2"/>
      </rPr>
      <t>LA VIRGINIA</t>
    </r>
  </si>
  <si>
    <r>
      <rPr>
        <sz val="11"/>
        <rFont val="Calibri"/>
        <family val="2"/>
      </rPr>
      <t>BETULIA</t>
    </r>
  </si>
  <si>
    <r>
      <rPr>
        <sz val="11"/>
        <rFont val="Calibri"/>
        <family val="2"/>
      </rPr>
      <t>EL ROBLE</t>
    </r>
  </si>
  <si>
    <r>
      <rPr>
        <sz val="11"/>
        <rFont val="Calibri"/>
        <family val="2"/>
      </rPr>
      <t>CAJAMARCA</t>
    </r>
  </si>
  <si>
    <r>
      <rPr>
        <sz val="11"/>
        <rFont val="Calibri"/>
        <family val="2"/>
      </rPr>
      <t>BUGALAGRANDE</t>
    </r>
  </si>
  <si>
    <r>
      <rPr>
        <sz val="11"/>
        <rFont val="Calibri"/>
        <family val="2"/>
      </rPr>
      <t>PUERTO ARICA</t>
    </r>
  </si>
  <si>
    <r>
      <rPr>
        <sz val="11"/>
        <rFont val="Calibri"/>
        <family val="2"/>
      </rPr>
      <t>ANGOSTURA</t>
    </r>
  </si>
  <si>
    <r>
      <rPr>
        <sz val="11"/>
        <rFont val="Calibri"/>
        <family val="2"/>
      </rPr>
      <t>MALAMBO</t>
    </r>
  </si>
  <si>
    <r>
      <rPr>
        <sz val="11"/>
        <rFont val="Calibri"/>
        <family val="2"/>
      </rPr>
      <t>CANTAGALLO</t>
    </r>
  </si>
  <si>
    <r>
      <rPr>
        <sz val="11"/>
        <rFont val="Calibri"/>
        <family val="2"/>
      </rPr>
      <t>BOYACÁ</t>
    </r>
  </si>
  <si>
    <r>
      <rPr>
        <sz val="11"/>
        <rFont val="Calibri"/>
        <family val="2"/>
      </rPr>
      <t>LA MERCED</t>
    </r>
  </si>
  <si>
    <r>
      <rPr>
        <sz val="11"/>
        <rFont val="Calibri"/>
        <family val="2"/>
      </rPr>
      <t>LA MONTAÑITA</t>
    </r>
  </si>
  <si>
    <r>
      <rPr>
        <sz val="11"/>
        <rFont val="Calibri"/>
        <family val="2"/>
      </rPr>
      <t>OROCUÉ</t>
    </r>
  </si>
  <si>
    <r>
      <rPr>
        <sz val="11"/>
        <rFont val="Calibri"/>
        <family val="2"/>
      </rPr>
      <t>CALOTO</t>
    </r>
  </si>
  <si>
    <r>
      <rPr>
        <sz val="11"/>
        <rFont val="Calibri"/>
        <family val="2"/>
      </rPr>
      <t>CURUMANÍ</t>
    </r>
  </si>
  <si>
    <r>
      <rPr>
        <sz val="11"/>
        <rFont val="Calibri"/>
        <family val="2"/>
      </rPr>
      <t>CARMEN DEL DARIÉN</t>
    </r>
  </si>
  <si>
    <r>
      <rPr>
        <sz val="11"/>
        <rFont val="Calibri"/>
        <family val="2"/>
      </rPr>
      <t>COTORRA</t>
    </r>
  </si>
  <si>
    <r>
      <rPr>
        <sz val="11"/>
        <rFont val="Calibri"/>
        <family val="2"/>
      </rPr>
      <t>BITUIMA</t>
    </r>
  </si>
  <si>
    <r>
      <rPr>
        <sz val="11"/>
        <rFont val="Calibri"/>
        <family val="2"/>
      </rPr>
      <t>PUERTO COLOMBIA</t>
    </r>
  </si>
  <si>
    <r>
      <rPr>
        <sz val="11"/>
        <rFont val="Calibri"/>
        <family val="2"/>
      </rPr>
      <t>COLOMBIA</t>
    </r>
  </si>
  <si>
    <r>
      <rPr>
        <sz val="11"/>
        <rFont val="Calibri"/>
        <family val="2"/>
      </rPr>
      <t>LA JAGUA DEL PILAR</t>
    </r>
  </si>
  <si>
    <r>
      <rPr>
        <sz val="11"/>
        <rFont val="Calibri"/>
        <family val="2"/>
      </rPr>
      <t>EL BANCO</t>
    </r>
  </si>
  <si>
    <r>
      <rPr>
        <sz val="11"/>
        <rFont val="Calibri"/>
        <family val="2"/>
      </rPr>
      <t>EL CASTILLO</t>
    </r>
  </si>
  <si>
    <r>
      <rPr>
        <sz val="11"/>
        <rFont val="Calibri"/>
        <family val="2"/>
      </rPr>
      <t>CHACHAGÜÍ</t>
    </r>
  </si>
  <si>
    <r>
      <rPr>
        <sz val="11"/>
        <rFont val="Calibri"/>
        <family val="2"/>
      </rPr>
      <t>CHITAGÁ</t>
    </r>
  </si>
  <si>
    <r>
      <rPr>
        <sz val="11"/>
        <rFont val="Calibri"/>
        <family val="2"/>
      </rPr>
      <t>SAN FRANCISCO</t>
    </r>
  </si>
  <si>
    <r>
      <rPr>
        <sz val="11"/>
        <rFont val="Calibri"/>
        <family val="2"/>
      </rPr>
      <t>LA TEBAIDA</t>
    </r>
  </si>
  <si>
    <r>
      <rPr>
        <sz val="11"/>
        <rFont val="Calibri"/>
        <family val="2"/>
      </rPr>
      <t>MARSELLA</t>
    </r>
  </si>
  <si>
    <r>
      <rPr>
        <sz val="11"/>
        <rFont val="Calibri"/>
        <family val="2"/>
      </rPr>
      <t>GALERAS</t>
    </r>
  </si>
  <si>
    <r>
      <rPr>
        <sz val="11"/>
        <rFont val="Calibri"/>
        <family val="2"/>
      </rPr>
      <t>CARMEN DE APICALÁ</t>
    </r>
  </si>
  <si>
    <r>
      <rPr>
        <sz val="11"/>
        <rFont val="Calibri"/>
        <family val="2"/>
      </rPr>
      <t>CAICEDONIA</t>
    </r>
  </si>
  <si>
    <r>
      <rPr>
        <sz val="11"/>
        <rFont val="Calibri"/>
        <family val="2"/>
      </rPr>
      <t>PUERTO NARIÑO</t>
    </r>
  </si>
  <si>
    <r>
      <rPr>
        <sz val="11"/>
        <rFont val="Calibri"/>
        <family val="2"/>
      </rPr>
      <t>ANORÍ</t>
    </r>
  </si>
  <si>
    <r>
      <rPr>
        <sz val="11"/>
        <rFont val="Calibri"/>
        <family val="2"/>
      </rPr>
      <t>MANATÍ</t>
    </r>
  </si>
  <si>
    <r>
      <rPr>
        <sz val="11"/>
        <rFont val="Calibri"/>
        <family val="2"/>
      </rPr>
      <t>CARTAGENA DE INDIAS</t>
    </r>
  </si>
  <si>
    <r>
      <rPr>
        <sz val="11"/>
        <rFont val="Calibri"/>
        <family val="2"/>
      </rPr>
      <t>BRICEÑO</t>
    </r>
  </si>
  <si>
    <r>
      <rPr>
        <sz val="11"/>
        <rFont val="Calibri"/>
        <family val="2"/>
      </rPr>
      <t>MANIZALES</t>
    </r>
  </si>
  <si>
    <r>
      <rPr>
        <sz val="11"/>
        <rFont val="Calibri"/>
        <family val="2"/>
      </rPr>
      <t>MILÁN</t>
    </r>
  </si>
  <si>
    <r>
      <rPr>
        <sz val="11"/>
        <rFont val="Calibri"/>
        <family val="2"/>
      </rPr>
      <t>PAZ DE ARIPORO</t>
    </r>
  </si>
  <si>
    <r>
      <rPr>
        <sz val="11"/>
        <rFont val="Calibri"/>
        <family val="2"/>
      </rPr>
      <t>CORINTO</t>
    </r>
  </si>
  <si>
    <r>
      <rPr>
        <sz val="11"/>
        <rFont val="Calibri"/>
        <family val="2"/>
      </rPr>
      <t>EL COPEY</t>
    </r>
  </si>
  <si>
    <r>
      <rPr>
        <sz val="11"/>
        <rFont val="Calibri"/>
        <family val="2"/>
      </rPr>
      <t>CÉRTEGUI</t>
    </r>
  </si>
  <si>
    <r>
      <rPr>
        <sz val="11"/>
        <rFont val="Calibri"/>
        <family val="2"/>
      </rPr>
      <t>LA APARTADA</t>
    </r>
  </si>
  <si>
    <r>
      <rPr>
        <sz val="11"/>
        <rFont val="Calibri"/>
        <family val="2"/>
      </rPr>
      <t>BOJACÁ</t>
    </r>
  </si>
  <si>
    <r>
      <rPr>
        <sz val="11"/>
        <rFont val="Calibri"/>
        <family val="2"/>
      </rPr>
      <t>SAN FELIPE</t>
    </r>
  </si>
  <si>
    <r>
      <rPr>
        <sz val="11"/>
        <rFont val="Calibri"/>
        <family val="2"/>
      </rPr>
      <t>ELÍAS</t>
    </r>
  </si>
  <si>
    <r>
      <rPr>
        <sz val="11"/>
        <rFont val="Calibri"/>
        <family val="2"/>
      </rPr>
      <t>MAICAO</t>
    </r>
  </si>
  <si>
    <r>
      <rPr>
        <sz val="11"/>
        <rFont val="Calibri"/>
        <family val="2"/>
      </rPr>
      <t>EL PIÑÓN</t>
    </r>
  </si>
  <si>
    <r>
      <rPr>
        <sz val="11"/>
        <rFont val="Calibri"/>
        <family val="2"/>
      </rPr>
      <t>EL DORADO</t>
    </r>
  </si>
  <si>
    <r>
      <rPr>
        <sz val="11"/>
        <rFont val="Calibri"/>
        <family val="2"/>
      </rPr>
      <t>CONVENCIÓN</t>
    </r>
  </si>
  <si>
    <r>
      <rPr>
        <sz val="11"/>
        <rFont val="Calibri"/>
        <family val="2"/>
      </rPr>
      <t>SAN MIGUEL</t>
    </r>
  </si>
  <si>
    <r>
      <rPr>
        <sz val="11"/>
        <rFont val="Calibri"/>
        <family val="2"/>
      </rPr>
      <t>MONTENEGRO</t>
    </r>
  </si>
  <si>
    <r>
      <rPr>
        <sz val="11"/>
        <rFont val="Calibri"/>
        <family val="2"/>
      </rPr>
      <t>MISTRATÓ</t>
    </r>
  </si>
  <si>
    <r>
      <rPr>
        <sz val="11"/>
        <rFont val="Calibri"/>
        <family val="2"/>
      </rPr>
      <t>BUCARAMANGA</t>
    </r>
  </si>
  <si>
    <r>
      <rPr>
        <sz val="11"/>
        <rFont val="Calibri"/>
        <family val="2"/>
      </rPr>
      <t>GUARANDA</t>
    </r>
  </si>
  <si>
    <r>
      <rPr>
        <sz val="11"/>
        <rFont val="Calibri"/>
        <family val="2"/>
      </rPr>
      <t>CASABIANCA</t>
    </r>
  </si>
  <si>
    <r>
      <rPr>
        <sz val="11"/>
        <rFont val="Calibri"/>
        <family val="2"/>
      </rPr>
      <t>CALI</t>
    </r>
  </si>
  <si>
    <r>
      <rPr>
        <sz val="11"/>
        <rFont val="Calibri"/>
        <family val="2"/>
      </rPr>
      <t>PUERTO SANTANDER</t>
    </r>
  </si>
  <si>
    <r>
      <rPr>
        <sz val="11"/>
        <rFont val="Calibri"/>
        <family val="2"/>
      </rPr>
      <t>ANZÁ</t>
    </r>
  </si>
  <si>
    <r>
      <rPr>
        <sz val="11"/>
        <rFont val="Calibri"/>
        <family val="2"/>
      </rPr>
      <t>PALMAR DE VARELA</t>
    </r>
  </si>
  <si>
    <r>
      <rPr>
        <sz val="11"/>
        <rFont val="Calibri"/>
        <family val="2"/>
      </rPr>
      <t>CICUCO</t>
    </r>
  </si>
  <si>
    <r>
      <rPr>
        <sz val="11"/>
        <rFont val="Calibri"/>
        <family val="2"/>
      </rPr>
      <t>MANZANARES</t>
    </r>
  </si>
  <si>
    <r>
      <rPr>
        <sz val="11"/>
        <rFont val="Calibri"/>
        <family val="2"/>
      </rPr>
      <t>MORELIA</t>
    </r>
  </si>
  <si>
    <r>
      <rPr>
        <sz val="11"/>
        <rFont val="Calibri"/>
        <family val="2"/>
      </rPr>
      <t>PORE</t>
    </r>
  </si>
  <si>
    <r>
      <rPr>
        <sz val="11"/>
        <rFont val="Calibri"/>
        <family val="2"/>
      </rPr>
      <t>EL TAMBO</t>
    </r>
  </si>
  <si>
    <r>
      <rPr>
        <sz val="11"/>
        <rFont val="Calibri"/>
        <family val="2"/>
      </rPr>
      <t>EL PASO</t>
    </r>
  </si>
  <si>
    <r>
      <rPr>
        <sz val="11"/>
        <rFont val="Calibri"/>
        <family val="2"/>
      </rPr>
      <t>CONDOTO</t>
    </r>
  </si>
  <si>
    <r>
      <rPr>
        <sz val="11"/>
        <rFont val="Calibri"/>
        <family val="2"/>
      </rPr>
      <t>LORICA</t>
    </r>
  </si>
  <si>
    <r>
      <rPr>
        <sz val="11"/>
        <rFont val="Calibri"/>
        <family val="2"/>
      </rPr>
      <t>CABRERA</t>
    </r>
  </si>
  <si>
    <r>
      <rPr>
        <sz val="11"/>
        <rFont val="Calibri"/>
        <family val="2"/>
      </rPr>
      <t>GARZÓN</t>
    </r>
  </si>
  <si>
    <r>
      <rPr>
        <sz val="11"/>
        <rFont val="Calibri"/>
        <family val="2"/>
      </rPr>
      <t>MANAURE</t>
    </r>
  </si>
  <si>
    <r>
      <rPr>
        <sz val="11"/>
        <rFont val="Calibri"/>
        <family val="2"/>
      </rPr>
      <t>EL RETÉN</t>
    </r>
  </si>
  <si>
    <r>
      <rPr>
        <sz val="11"/>
        <rFont val="Calibri"/>
        <family val="2"/>
      </rPr>
      <t>FUENTE DE ORO</t>
    </r>
  </si>
  <si>
    <r>
      <rPr>
        <sz val="11"/>
        <rFont val="Calibri"/>
        <family val="2"/>
      </rPr>
      <t>CONSACÁ</t>
    </r>
  </si>
  <si>
    <r>
      <rPr>
        <sz val="11"/>
        <rFont val="Calibri"/>
        <family val="2"/>
      </rPr>
      <t>CÚCUTA</t>
    </r>
  </si>
  <si>
    <r>
      <rPr>
        <sz val="11"/>
        <rFont val="Calibri"/>
        <family val="2"/>
      </rPr>
      <t>SANTIAGO</t>
    </r>
  </si>
  <si>
    <r>
      <rPr>
        <sz val="11"/>
        <rFont val="Calibri"/>
        <family val="2"/>
      </rPr>
      <t>PIJAO</t>
    </r>
  </si>
  <si>
    <r>
      <rPr>
        <sz val="11"/>
        <rFont val="Calibri"/>
        <family val="2"/>
      </rPr>
      <t>PEREIRA</t>
    </r>
  </si>
  <si>
    <r>
      <rPr>
        <sz val="11"/>
        <rFont val="Calibri"/>
        <family val="2"/>
      </rPr>
      <t>LA UNIÓN</t>
    </r>
  </si>
  <si>
    <r>
      <rPr>
        <sz val="11"/>
        <rFont val="Calibri"/>
        <family val="2"/>
      </rPr>
      <t>CHAPARRAL</t>
    </r>
  </si>
  <si>
    <r>
      <rPr>
        <sz val="11"/>
        <rFont val="Calibri"/>
        <family val="2"/>
      </rPr>
      <t>CALIMA</t>
    </r>
  </si>
  <si>
    <r>
      <rPr>
        <sz val="11"/>
        <rFont val="Calibri"/>
        <family val="2"/>
      </rPr>
      <t>TARAPACÁ</t>
    </r>
  </si>
  <si>
    <r>
      <rPr>
        <sz val="11"/>
        <rFont val="Calibri"/>
        <family val="2"/>
      </rPr>
      <t>APARTADÓ</t>
    </r>
  </si>
  <si>
    <r>
      <rPr>
        <sz val="11"/>
        <rFont val="Calibri"/>
        <family val="2"/>
      </rPr>
      <t>PIOJÓ</t>
    </r>
  </si>
  <si>
    <r>
      <rPr>
        <sz val="11"/>
        <rFont val="Calibri"/>
        <family val="2"/>
      </rPr>
      <t>CLEMENCIA</t>
    </r>
  </si>
  <si>
    <r>
      <rPr>
        <sz val="11"/>
        <rFont val="Calibri"/>
        <family val="2"/>
      </rPr>
      <t>BUSBANZÁ</t>
    </r>
  </si>
  <si>
    <r>
      <rPr>
        <sz val="11"/>
        <rFont val="Calibri"/>
        <family val="2"/>
      </rPr>
      <t>MARMATO</t>
    </r>
  </si>
  <si>
    <r>
      <rPr>
        <sz val="11"/>
        <rFont val="Calibri"/>
        <family val="2"/>
      </rPr>
      <t>PUERTO RICO</t>
    </r>
  </si>
  <si>
    <r>
      <rPr>
        <sz val="11"/>
        <rFont val="Calibri"/>
        <family val="2"/>
      </rPr>
      <t>RECETOR</t>
    </r>
  </si>
  <si>
    <r>
      <rPr>
        <sz val="11"/>
        <rFont val="Calibri"/>
        <family val="2"/>
      </rPr>
      <t>GAMARRA</t>
    </r>
  </si>
  <si>
    <r>
      <rPr>
        <sz val="11"/>
        <rFont val="Calibri"/>
        <family val="2"/>
      </rPr>
      <t>EL CANTÓN DEL SAN PABLO</t>
    </r>
  </si>
  <si>
    <r>
      <rPr>
        <sz val="11"/>
        <rFont val="Calibri"/>
        <family val="2"/>
      </rPr>
      <t>LOS CÓRDOBAS</t>
    </r>
  </si>
  <si>
    <r>
      <rPr>
        <sz val="11"/>
        <rFont val="Calibri"/>
        <family val="2"/>
      </rPr>
      <t>CACHIPAY</t>
    </r>
  </si>
  <si>
    <r>
      <rPr>
        <sz val="11"/>
        <rFont val="Calibri"/>
        <family val="2"/>
      </rPr>
      <t>GIGANTE</t>
    </r>
  </si>
  <si>
    <r>
      <rPr>
        <sz val="11"/>
        <rFont val="Calibri"/>
        <family val="2"/>
      </rPr>
      <t>RIOHACHA</t>
    </r>
  </si>
  <si>
    <r>
      <rPr>
        <sz val="11"/>
        <rFont val="Calibri"/>
        <family val="2"/>
      </rPr>
      <t>FUNDACIÓN</t>
    </r>
  </si>
  <si>
    <r>
      <rPr>
        <sz val="11"/>
        <rFont val="Calibri"/>
        <family val="2"/>
      </rPr>
      <t>GRANADA</t>
    </r>
  </si>
  <si>
    <r>
      <rPr>
        <sz val="11"/>
        <rFont val="Calibri"/>
        <family val="2"/>
      </rPr>
      <t>CONTADERO</t>
    </r>
  </si>
  <si>
    <r>
      <rPr>
        <sz val="11"/>
        <rFont val="Calibri"/>
        <family val="2"/>
      </rPr>
      <t>CUCUTILLA</t>
    </r>
  </si>
  <si>
    <r>
      <rPr>
        <sz val="11"/>
        <rFont val="Calibri"/>
        <family val="2"/>
      </rPr>
      <t>SIBUNDOY</t>
    </r>
  </si>
  <si>
    <r>
      <rPr>
        <sz val="11"/>
        <rFont val="Calibri"/>
        <family val="2"/>
      </rPr>
      <t>QUIMBAYA</t>
    </r>
  </si>
  <si>
    <r>
      <rPr>
        <sz val="11"/>
        <rFont val="Calibri"/>
        <family val="2"/>
      </rPr>
      <t>PUEBLO RICO</t>
    </r>
  </si>
  <si>
    <r>
      <rPr>
        <sz val="11"/>
        <rFont val="Calibri"/>
        <family val="2"/>
      </rPr>
      <t>CALIFORNIA</t>
    </r>
  </si>
  <si>
    <r>
      <rPr>
        <sz val="11"/>
        <rFont val="Calibri"/>
        <family val="2"/>
      </rPr>
      <t>LOS PALMITOS</t>
    </r>
  </si>
  <si>
    <r>
      <rPr>
        <sz val="11"/>
        <rFont val="Calibri"/>
        <family val="2"/>
      </rPr>
      <t>COELLO</t>
    </r>
  </si>
  <si>
    <r>
      <rPr>
        <sz val="11"/>
        <rFont val="Calibri"/>
        <family val="2"/>
      </rPr>
      <t>ARBOLETES</t>
    </r>
  </si>
  <si>
    <r>
      <rPr>
        <sz val="11"/>
        <rFont val="Calibri"/>
        <family val="2"/>
      </rPr>
      <t>POLONUEVO</t>
    </r>
  </si>
  <si>
    <r>
      <rPr>
        <sz val="11"/>
        <rFont val="Calibri"/>
        <family val="2"/>
      </rPr>
      <t>CALDAS</t>
    </r>
  </si>
  <si>
    <r>
      <rPr>
        <sz val="11"/>
        <rFont val="Calibri"/>
        <family val="2"/>
      </rPr>
      <t>MARQUETALIA</t>
    </r>
  </si>
  <si>
    <r>
      <rPr>
        <sz val="11"/>
        <rFont val="Calibri"/>
        <family val="2"/>
      </rPr>
      <t>SAN JOSÉ DEL FRAGUA</t>
    </r>
  </si>
  <si>
    <r>
      <rPr>
        <sz val="11"/>
        <rFont val="Calibri"/>
        <family val="2"/>
      </rPr>
      <t>SABANALARGA</t>
    </r>
  </si>
  <si>
    <r>
      <rPr>
        <sz val="11"/>
        <rFont val="Calibri"/>
        <family val="2"/>
      </rPr>
      <t>GUACHENÉ</t>
    </r>
  </si>
  <si>
    <r>
      <rPr>
        <sz val="11"/>
        <rFont val="Calibri"/>
        <family val="2"/>
      </rPr>
      <t>GONZÁLEZ</t>
    </r>
  </si>
  <si>
    <r>
      <rPr>
        <sz val="11"/>
        <rFont val="Calibri"/>
        <family val="2"/>
      </rPr>
      <t>EL CARMEN DE ATRATO</t>
    </r>
  </si>
  <si>
    <r>
      <rPr>
        <sz val="11"/>
        <rFont val="Calibri"/>
        <family val="2"/>
      </rPr>
      <t>MOMIL</t>
    </r>
  </si>
  <si>
    <r>
      <rPr>
        <sz val="11"/>
        <rFont val="Calibri"/>
        <family val="2"/>
      </rPr>
      <t>CAJICÁ</t>
    </r>
  </si>
  <si>
    <r>
      <rPr>
        <sz val="11"/>
        <rFont val="Calibri"/>
        <family val="2"/>
      </rPr>
      <t>GUADALUPE</t>
    </r>
  </si>
  <si>
    <r>
      <rPr>
        <sz val="11"/>
        <rFont val="Calibri"/>
        <family val="2"/>
      </rPr>
      <t>SAN JUAN DEL CESAR</t>
    </r>
  </si>
  <si>
    <r>
      <rPr>
        <sz val="11"/>
        <rFont val="Calibri"/>
        <family val="2"/>
      </rPr>
      <t>GUAMAL</t>
    </r>
  </si>
  <si>
    <r>
      <rPr>
        <sz val="11"/>
        <rFont val="Calibri"/>
        <family val="2"/>
      </rPr>
      <t>DURANIA</t>
    </r>
  </si>
  <si>
    <r>
      <rPr>
        <sz val="11"/>
        <rFont val="Calibri"/>
        <family val="2"/>
      </rPr>
      <t>VALLE DEL GUAMUEZ</t>
    </r>
  </si>
  <si>
    <r>
      <rPr>
        <sz val="11"/>
        <rFont val="Calibri"/>
        <family val="2"/>
      </rPr>
      <t>SALENTO</t>
    </r>
  </si>
  <si>
    <r>
      <rPr>
        <sz val="11"/>
        <rFont val="Calibri"/>
        <family val="2"/>
      </rPr>
      <t>QUINCHÍA</t>
    </r>
  </si>
  <si>
    <r>
      <rPr>
        <sz val="11"/>
        <rFont val="Calibri"/>
        <family val="2"/>
      </rPr>
      <t>CAPITANEJO</t>
    </r>
  </si>
  <si>
    <r>
      <rPr>
        <sz val="11"/>
        <rFont val="Calibri"/>
        <family val="2"/>
      </rPr>
      <t>MAJAGUAL</t>
    </r>
  </si>
  <si>
    <r>
      <rPr>
        <sz val="11"/>
        <rFont val="Calibri"/>
        <family val="2"/>
      </rPr>
      <t>COYAIMA</t>
    </r>
  </si>
  <si>
    <r>
      <rPr>
        <sz val="11"/>
        <rFont val="Calibri"/>
        <family val="2"/>
      </rPr>
      <t>CARTAGO</t>
    </r>
  </si>
  <si>
    <r>
      <rPr>
        <sz val="11"/>
        <rFont val="Calibri"/>
        <family val="2"/>
      </rPr>
      <t>PONEDERA</t>
    </r>
  </si>
  <si>
    <r>
      <rPr>
        <sz val="11"/>
        <rFont val="Calibri"/>
        <family val="2"/>
      </rPr>
      <t>EL CARMEN DE BOLÍVAR</t>
    </r>
  </si>
  <si>
    <r>
      <rPr>
        <sz val="11"/>
        <rFont val="Calibri"/>
        <family val="2"/>
      </rPr>
      <t>CAMPOHERMOSO</t>
    </r>
  </si>
  <si>
    <r>
      <rPr>
        <sz val="11"/>
        <rFont val="Calibri"/>
        <family val="2"/>
      </rPr>
      <t>MARULANDA</t>
    </r>
  </si>
  <si>
    <r>
      <rPr>
        <sz val="11"/>
        <rFont val="Calibri"/>
        <family val="2"/>
      </rPr>
      <t>SAN VICENTE DEL CAGUÁN</t>
    </r>
  </si>
  <si>
    <r>
      <rPr>
        <sz val="11"/>
        <rFont val="Calibri"/>
        <family val="2"/>
      </rPr>
      <t>SÁCAMA</t>
    </r>
  </si>
  <si>
    <r>
      <rPr>
        <sz val="11"/>
        <rFont val="Calibri"/>
        <family val="2"/>
      </rPr>
      <t>GUAPÍ</t>
    </r>
  </si>
  <si>
    <r>
      <rPr>
        <sz val="11"/>
        <rFont val="Calibri"/>
        <family val="2"/>
      </rPr>
      <t>LA GLORIA</t>
    </r>
  </si>
  <si>
    <r>
      <rPr>
        <sz val="11"/>
        <rFont val="Calibri"/>
        <family val="2"/>
      </rPr>
      <t>EL LITORAL DEL SAN JUAN</t>
    </r>
  </si>
  <si>
    <r>
      <rPr>
        <sz val="11"/>
        <rFont val="Calibri"/>
        <family val="2"/>
      </rPr>
      <t>MONTELÍBANO</t>
    </r>
  </si>
  <si>
    <r>
      <rPr>
        <sz val="11"/>
        <rFont val="Calibri"/>
        <family val="2"/>
      </rPr>
      <t>CAPARRAPÍ</t>
    </r>
  </si>
  <si>
    <r>
      <rPr>
        <sz val="11"/>
        <rFont val="Calibri"/>
        <family val="2"/>
      </rPr>
      <t>HOBO</t>
    </r>
  </si>
  <si>
    <r>
      <rPr>
        <sz val="11"/>
        <rFont val="Calibri"/>
        <family val="2"/>
      </rPr>
      <t>URIBIA</t>
    </r>
  </si>
  <si>
    <r>
      <rPr>
        <sz val="11"/>
        <rFont val="Calibri"/>
        <family val="2"/>
      </rPr>
      <t>NUEVA GRANADA</t>
    </r>
  </si>
  <si>
    <r>
      <rPr>
        <sz val="11"/>
        <rFont val="Calibri"/>
        <family val="2"/>
      </rPr>
      <t>LA MACARENA</t>
    </r>
  </si>
  <si>
    <r>
      <rPr>
        <sz val="11"/>
        <rFont val="Calibri"/>
        <family val="2"/>
      </rPr>
      <t>CUASPÚD</t>
    </r>
  </si>
  <si>
    <r>
      <rPr>
        <sz val="11"/>
        <rFont val="Calibri"/>
        <family val="2"/>
      </rPr>
      <t>EL CARMEN</t>
    </r>
  </si>
  <si>
    <r>
      <rPr>
        <sz val="11"/>
        <rFont val="Calibri"/>
        <family val="2"/>
      </rPr>
      <t>VILLAGARZÓN</t>
    </r>
  </si>
  <si>
    <r>
      <rPr>
        <sz val="11"/>
        <rFont val="Calibri"/>
        <family val="2"/>
      </rPr>
      <t>SANTA ROSA DE CABAL</t>
    </r>
  </si>
  <si>
    <r>
      <rPr>
        <sz val="11"/>
        <rFont val="Calibri"/>
        <family val="2"/>
      </rPr>
      <t>CARCASÍ</t>
    </r>
  </si>
  <si>
    <r>
      <rPr>
        <sz val="11"/>
        <rFont val="Calibri"/>
        <family val="2"/>
      </rPr>
      <t>MORROA</t>
    </r>
  </si>
  <si>
    <r>
      <rPr>
        <sz val="11"/>
        <rFont val="Calibri"/>
        <family val="2"/>
      </rPr>
      <t>CUNDAY</t>
    </r>
  </si>
  <si>
    <r>
      <rPr>
        <sz val="11"/>
        <rFont val="Calibri"/>
        <family val="2"/>
      </rPr>
      <t>DAGUA</t>
    </r>
  </si>
  <si>
    <r>
      <rPr>
        <sz val="11"/>
        <rFont val="Calibri"/>
        <family val="2"/>
      </rPr>
      <t>EL GUAMO</t>
    </r>
  </si>
  <si>
    <r>
      <rPr>
        <sz val="11"/>
        <rFont val="Calibri"/>
        <family val="2"/>
      </rPr>
      <t>CERINZA</t>
    </r>
  </si>
  <si>
    <r>
      <rPr>
        <sz val="11"/>
        <rFont val="Calibri"/>
        <family val="2"/>
      </rPr>
      <t>NEIRA</t>
    </r>
  </si>
  <si>
    <r>
      <rPr>
        <sz val="11"/>
        <rFont val="Calibri"/>
        <family val="2"/>
      </rPr>
      <t>SOLANO</t>
    </r>
  </si>
  <si>
    <r>
      <rPr>
        <sz val="11"/>
        <rFont val="Calibri"/>
        <family val="2"/>
      </rPr>
      <t>SAN LUIS DE PALENQUE</t>
    </r>
  </si>
  <si>
    <r>
      <rPr>
        <sz val="11"/>
        <rFont val="Calibri"/>
        <family val="2"/>
      </rPr>
      <t>INZÁ</t>
    </r>
  </si>
  <si>
    <r>
      <rPr>
        <sz val="11"/>
        <rFont val="Calibri"/>
        <family val="2"/>
      </rPr>
      <t>LA JAGUA DE IBIRICO</t>
    </r>
  </si>
  <si>
    <r>
      <rPr>
        <sz val="11"/>
        <rFont val="Calibri"/>
        <family val="2"/>
      </rPr>
      <t>ISTMINA</t>
    </r>
  </si>
  <si>
    <r>
      <rPr>
        <sz val="11"/>
        <rFont val="Calibri"/>
        <family val="2"/>
      </rPr>
      <t>MONTERÍA</t>
    </r>
  </si>
  <si>
    <r>
      <rPr>
        <sz val="11"/>
        <rFont val="Calibri"/>
        <family val="2"/>
      </rPr>
      <t>CÁQUEZA</t>
    </r>
  </si>
  <si>
    <r>
      <rPr>
        <sz val="11"/>
        <rFont val="Calibri"/>
        <family val="2"/>
      </rPr>
      <t>ÍQUIRA</t>
    </r>
  </si>
  <si>
    <r>
      <rPr>
        <sz val="11"/>
        <rFont val="Calibri"/>
        <family val="2"/>
      </rPr>
      <t>URUMITA</t>
    </r>
  </si>
  <si>
    <r>
      <rPr>
        <sz val="11"/>
        <rFont val="Calibri"/>
        <family val="2"/>
      </rPr>
      <t>PEDRAZA</t>
    </r>
  </si>
  <si>
    <r>
      <rPr>
        <sz val="11"/>
        <rFont val="Calibri"/>
        <family val="2"/>
      </rPr>
      <t>LEJANÍAS</t>
    </r>
  </si>
  <si>
    <r>
      <rPr>
        <sz val="11"/>
        <rFont val="Calibri"/>
        <family val="2"/>
      </rPr>
      <t>CUMBAL</t>
    </r>
  </si>
  <si>
    <r>
      <rPr>
        <sz val="11"/>
        <rFont val="Calibri"/>
        <family val="2"/>
      </rPr>
      <t>EL TARRA</t>
    </r>
  </si>
  <si>
    <r>
      <rPr>
        <sz val="11"/>
        <rFont val="Calibri"/>
        <family val="2"/>
      </rPr>
      <t>SANTUARIO</t>
    </r>
  </si>
  <si>
    <r>
      <rPr>
        <sz val="11"/>
        <rFont val="Calibri"/>
        <family val="2"/>
      </rPr>
      <t>CEPITÁ</t>
    </r>
  </si>
  <si>
    <r>
      <rPr>
        <sz val="11"/>
        <rFont val="Calibri"/>
        <family val="2"/>
      </rPr>
      <t>OVEJAS</t>
    </r>
  </si>
  <si>
    <r>
      <rPr>
        <sz val="11"/>
        <rFont val="Calibri"/>
        <family val="2"/>
      </rPr>
      <t>DOLORES</t>
    </r>
  </si>
  <si>
    <r>
      <rPr>
        <sz val="11"/>
        <rFont val="Calibri"/>
        <family val="2"/>
      </rPr>
      <t>EL ÁGUILA</t>
    </r>
  </si>
  <si>
    <r>
      <rPr>
        <sz val="11"/>
        <rFont val="Calibri"/>
        <family val="2"/>
      </rPr>
      <t>REPELÓN</t>
    </r>
  </si>
  <si>
    <r>
      <rPr>
        <sz val="11"/>
        <rFont val="Calibri"/>
        <family val="2"/>
      </rPr>
      <t>EL PEÑÓN</t>
    </r>
  </si>
  <si>
    <r>
      <rPr>
        <sz val="11"/>
        <rFont val="Calibri"/>
        <family val="2"/>
      </rPr>
      <t>CHINAVITA</t>
    </r>
  </si>
  <si>
    <r>
      <rPr>
        <sz val="11"/>
        <rFont val="Calibri"/>
        <family val="2"/>
      </rPr>
      <t>NORCASIA</t>
    </r>
  </si>
  <si>
    <r>
      <rPr>
        <sz val="11"/>
        <rFont val="Calibri"/>
        <family val="2"/>
      </rPr>
      <t>SOLITA</t>
    </r>
  </si>
  <si>
    <r>
      <rPr>
        <sz val="11"/>
        <rFont val="Calibri"/>
        <family val="2"/>
      </rPr>
      <t>TÁMARA</t>
    </r>
  </si>
  <si>
    <r>
      <rPr>
        <sz val="11"/>
        <rFont val="Calibri"/>
        <family val="2"/>
      </rPr>
      <t>JAMBALÓ</t>
    </r>
  </si>
  <si>
    <r>
      <rPr>
        <sz val="11"/>
        <rFont val="Calibri"/>
        <family val="2"/>
      </rPr>
      <t>LA PAZ</t>
    </r>
  </si>
  <si>
    <r>
      <rPr>
        <sz val="11"/>
        <rFont val="Calibri"/>
        <family val="2"/>
      </rPr>
      <t>JURADÓ</t>
    </r>
  </si>
  <si>
    <r>
      <rPr>
        <sz val="11"/>
        <rFont val="Calibri"/>
        <family val="2"/>
      </rPr>
      <t>MOÑITOS</t>
    </r>
  </si>
  <si>
    <r>
      <rPr>
        <sz val="11"/>
        <rFont val="Calibri"/>
        <family val="2"/>
      </rPr>
      <t>CARMEN DE CARUPA</t>
    </r>
  </si>
  <si>
    <r>
      <rPr>
        <sz val="11"/>
        <rFont val="Calibri"/>
        <family val="2"/>
      </rPr>
      <t>ISNOS</t>
    </r>
  </si>
  <si>
    <r>
      <rPr>
        <sz val="11"/>
        <rFont val="Calibri"/>
        <family val="2"/>
      </rPr>
      <t>VILLANUEVA</t>
    </r>
  </si>
  <si>
    <r>
      <rPr>
        <sz val="11"/>
        <rFont val="Calibri"/>
        <family val="2"/>
      </rPr>
      <t>PIJIÑO DEL CARMEN</t>
    </r>
  </si>
  <si>
    <r>
      <rPr>
        <sz val="11"/>
        <rFont val="Calibri"/>
        <family val="2"/>
      </rPr>
      <t>MAPIRIPÁN</t>
    </r>
  </si>
  <si>
    <r>
      <rPr>
        <sz val="11"/>
        <rFont val="Calibri"/>
        <family val="2"/>
      </rPr>
      <t>CUMBITARA</t>
    </r>
  </si>
  <si>
    <r>
      <rPr>
        <sz val="11"/>
        <rFont val="Calibri"/>
        <family val="2"/>
      </rPr>
      <t>EL ZULIA</t>
    </r>
  </si>
  <si>
    <r>
      <rPr>
        <sz val="11"/>
        <rFont val="Calibri"/>
        <family val="2"/>
      </rPr>
      <t>CERRITO</t>
    </r>
  </si>
  <si>
    <r>
      <rPr>
        <sz val="11"/>
        <rFont val="Calibri"/>
        <family val="2"/>
      </rPr>
      <t>PALMITO</t>
    </r>
  </si>
  <si>
    <r>
      <rPr>
        <sz val="11"/>
        <rFont val="Calibri"/>
        <family val="2"/>
      </rPr>
      <t>ESPINAL</t>
    </r>
  </si>
  <si>
    <r>
      <rPr>
        <sz val="11"/>
        <rFont val="Calibri"/>
        <family val="2"/>
      </rPr>
      <t>EL CAIRO</t>
    </r>
  </si>
  <si>
    <r>
      <rPr>
        <sz val="11"/>
        <rFont val="Calibri"/>
        <family val="2"/>
      </rPr>
      <t>BELLO</t>
    </r>
  </si>
  <si>
    <r>
      <rPr>
        <sz val="11"/>
        <rFont val="Calibri"/>
        <family val="2"/>
      </rPr>
      <t>SABANAGRANDE</t>
    </r>
  </si>
  <si>
    <r>
      <rPr>
        <sz val="11"/>
        <rFont val="Calibri"/>
        <family val="2"/>
      </rPr>
      <t>HATILLO DE LOBA</t>
    </r>
  </si>
  <si>
    <r>
      <rPr>
        <sz val="11"/>
        <rFont val="Calibri"/>
        <family val="2"/>
      </rPr>
      <t>CHIQUINQUIRÁ</t>
    </r>
  </si>
  <si>
    <r>
      <rPr>
        <sz val="11"/>
        <rFont val="Calibri"/>
        <family val="2"/>
      </rPr>
      <t>PÁCORA</t>
    </r>
  </si>
  <si>
    <r>
      <rPr>
        <sz val="11"/>
        <rFont val="Calibri"/>
        <family val="2"/>
      </rPr>
      <t>VALPARAÍSO</t>
    </r>
  </si>
  <si>
    <r>
      <rPr>
        <sz val="11"/>
        <rFont val="Calibri"/>
        <family val="2"/>
      </rPr>
      <t>TAURAMENA</t>
    </r>
  </si>
  <si>
    <r>
      <rPr>
        <sz val="11"/>
        <rFont val="Calibri"/>
        <family val="2"/>
      </rPr>
      <t>LA SIERRA</t>
    </r>
  </si>
  <si>
    <r>
      <rPr>
        <sz val="11"/>
        <rFont val="Calibri"/>
        <family val="2"/>
      </rPr>
      <t>MANAURE BALCÓN DEL CESAR</t>
    </r>
  </si>
  <si>
    <r>
      <rPr>
        <sz val="11"/>
        <rFont val="Calibri"/>
        <family val="2"/>
      </rPr>
      <t>LLORÓ</t>
    </r>
  </si>
  <si>
    <r>
      <rPr>
        <sz val="11"/>
        <rFont val="Calibri"/>
        <family val="2"/>
      </rPr>
      <t>PLANETA RICA</t>
    </r>
  </si>
  <si>
    <r>
      <rPr>
        <sz val="11"/>
        <rFont val="Calibri"/>
        <family val="2"/>
      </rPr>
      <t>CHAGUANÍ</t>
    </r>
  </si>
  <si>
    <r>
      <rPr>
        <sz val="11"/>
        <rFont val="Calibri"/>
        <family val="2"/>
      </rPr>
      <t>LA ARGENTINA</t>
    </r>
  </si>
  <si>
    <r>
      <rPr>
        <sz val="11"/>
        <rFont val="Calibri"/>
        <family val="2"/>
      </rPr>
      <t>PIVIJAY</t>
    </r>
  </si>
  <si>
    <r>
      <rPr>
        <sz val="11"/>
        <rFont val="Calibri"/>
        <family val="2"/>
      </rPr>
      <t>MESETAS</t>
    </r>
  </si>
  <si>
    <r>
      <rPr>
        <sz val="11"/>
        <rFont val="Calibri"/>
        <family val="2"/>
      </rPr>
      <t>EL CHARCO</t>
    </r>
  </si>
  <si>
    <r>
      <rPr>
        <sz val="11"/>
        <rFont val="Calibri"/>
        <family val="2"/>
      </rPr>
      <t>GRAMALOTE</t>
    </r>
  </si>
  <si>
    <r>
      <rPr>
        <sz val="11"/>
        <rFont val="Calibri"/>
        <family val="2"/>
      </rPr>
      <t>CHARALÁ</t>
    </r>
  </si>
  <si>
    <r>
      <rPr>
        <sz val="11"/>
        <rFont val="Calibri"/>
        <family val="2"/>
      </rPr>
      <t>SAMPUÉS</t>
    </r>
  </si>
  <si>
    <r>
      <rPr>
        <sz val="11"/>
        <rFont val="Calibri"/>
        <family val="2"/>
      </rPr>
      <t>FALAN</t>
    </r>
  </si>
  <si>
    <r>
      <rPr>
        <sz val="11"/>
        <rFont val="Calibri"/>
        <family val="2"/>
      </rPr>
      <t>EL CERRITO</t>
    </r>
  </si>
  <si>
    <r>
      <rPr>
        <sz val="11"/>
        <rFont val="Calibri"/>
        <family val="2"/>
      </rPr>
      <t>BELMIRA</t>
    </r>
  </si>
  <si>
    <r>
      <rPr>
        <sz val="11"/>
        <rFont val="Calibri"/>
        <family val="2"/>
      </rPr>
      <t>MAGANGUÉ</t>
    </r>
  </si>
  <si>
    <r>
      <rPr>
        <sz val="11"/>
        <rFont val="Calibri"/>
        <family val="2"/>
      </rPr>
      <t>CHÍQUIZA</t>
    </r>
  </si>
  <si>
    <r>
      <rPr>
        <sz val="11"/>
        <rFont val="Calibri"/>
        <family val="2"/>
      </rPr>
      <t>PALESTINA</t>
    </r>
  </si>
  <si>
    <r>
      <rPr>
        <sz val="11"/>
        <rFont val="Calibri"/>
        <family val="2"/>
      </rPr>
      <t>TRINIDAD</t>
    </r>
  </si>
  <si>
    <r>
      <rPr>
        <sz val="11"/>
        <rFont val="Calibri"/>
        <family val="2"/>
      </rPr>
      <t>LA VEGA</t>
    </r>
  </si>
  <si>
    <r>
      <rPr>
        <sz val="11"/>
        <rFont val="Calibri"/>
        <family val="2"/>
      </rPr>
      <t>PAILITAS</t>
    </r>
  </si>
  <si>
    <r>
      <rPr>
        <sz val="11"/>
        <rFont val="Calibri"/>
        <family val="2"/>
      </rPr>
      <t>MEDIO ATRATO</t>
    </r>
  </si>
  <si>
    <r>
      <rPr>
        <sz val="11"/>
        <rFont val="Calibri"/>
        <family val="2"/>
      </rPr>
      <t>PUEBLO NUEVO</t>
    </r>
  </si>
  <si>
    <r>
      <rPr>
        <sz val="11"/>
        <rFont val="Calibri"/>
        <family val="2"/>
      </rPr>
      <t>CHÍA</t>
    </r>
  </si>
  <si>
    <r>
      <rPr>
        <sz val="11"/>
        <rFont val="Calibri"/>
        <family val="2"/>
      </rPr>
      <t>LA PLATA</t>
    </r>
  </si>
  <si>
    <r>
      <rPr>
        <sz val="11"/>
        <rFont val="Calibri"/>
        <family val="2"/>
      </rPr>
      <t>PLATO</t>
    </r>
  </si>
  <si>
    <r>
      <rPr>
        <sz val="11"/>
        <rFont val="Calibri"/>
        <family val="2"/>
      </rPr>
      <t>PUERTO CONCORDIA</t>
    </r>
  </si>
  <si>
    <r>
      <rPr>
        <sz val="11"/>
        <rFont val="Calibri"/>
        <family val="2"/>
      </rPr>
      <t>EL PEÑOL</t>
    </r>
  </si>
  <si>
    <r>
      <rPr>
        <sz val="11"/>
        <rFont val="Calibri"/>
        <family val="2"/>
      </rPr>
      <t>HACARÍ</t>
    </r>
  </si>
  <si>
    <r>
      <rPr>
        <sz val="11"/>
        <rFont val="Calibri"/>
        <family val="2"/>
      </rPr>
      <t>CHARTA</t>
    </r>
  </si>
  <si>
    <r>
      <rPr>
        <sz val="11"/>
        <rFont val="Calibri"/>
        <family val="2"/>
      </rPr>
      <t>SAN BENITO ABAD</t>
    </r>
  </si>
  <si>
    <r>
      <rPr>
        <sz val="11"/>
        <rFont val="Calibri"/>
        <family val="2"/>
      </rPr>
      <t>FLANDES</t>
    </r>
  </si>
  <si>
    <r>
      <rPr>
        <sz val="11"/>
        <rFont val="Calibri"/>
        <family val="2"/>
      </rPr>
      <t>EL DOVIO</t>
    </r>
  </si>
  <si>
    <r>
      <rPr>
        <sz val="11"/>
        <rFont val="Calibri"/>
        <family val="2"/>
      </rPr>
      <t>BETANIA</t>
    </r>
  </si>
  <si>
    <r>
      <rPr>
        <sz val="11"/>
        <rFont val="Calibri"/>
        <family val="2"/>
      </rPr>
      <t>SANTA LUCÍA</t>
    </r>
  </si>
  <si>
    <r>
      <rPr>
        <sz val="11"/>
        <rFont val="Calibri"/>
        <family val="2"/>
      </rPr>
      <t>MAHATES</t>
    </r>
  </si>
  <si>
    <r>
      <rPr>
        <sz val="11"/>
        <rFont val="Calibri"/>
        <family val="2"/>
      </rPr>
      <t>CHISCAS</t>
    </r>
  </si>
  <si>
    <r>
      <rPr>
        <sz val="11"/>
        <rFont val="Calibri"/>
        <family val="2"/>
      </rPr>
      <t>PENSILVANIA</t>
    </r>
  </si>
  <si>
    <r>
      <rPr>
        <sz val="11"/>
        <rFont val="Calibri"/>
        <family val="2"/>
      </rPr>
      <t>LÓPEZ DE MICAY</t>
    </r>
  </si>
  <si>
    <r>
      <rPr>
        <sz val="11"/>
        <rFont val="Calibri"/>
        <family val="2"/>
      </rPr>
      <t>PELAYA</t>
    </r>
  </si>
  <si>
    <r>
      <rPr>
        <sz val="11"/>
        <rFont val="Calibri"/>
        <family val="2"/>
      </rPr>
      <t>MEDIO BAUDÓ</t>
    </r>
  </si>
  <si>
    <r>
      <rPr>
        <sz val="11"/>
        <rFont val="Calibri"/>
        <family val="2"/>
      </rPr>
      <t>PUERTO ESCONDIDO</t>
    </r>
  </si>
  <si>
    <r>
      <rPr>
        <sz val="11"/>
        <rFont val="Calibri"/>
        <family val="2"/>
      </rPr>
      <t>CHIPAQUE</t>
    </r>
  </si>
  <si>
    <r>
      <rPr>
        <sz val="11"/>
        <rFont val="Calibri"/>
        <family val="2"/>
      </rPr>
      <t>NÁTAGA</t>
    </r>
  </si>
  <si>
    <r>
      <rPr>
        <sz val="11"/>
        <rFont val="Calibri"/>
        <family val="2"/>
      </rPr>
      <t>PUEBLOVIEJO</t>
    </r>
  </si>
  <si>
    <r>
      <rPr>
        <sz val="11"/>
        <rFont val="Calibri"/>
        <family val="2"/>
      </rPr>
      <t>PUERTO GAITÁN</t>
    </r>
  </si>
  <si>
    <r>
      <rPr>
        <sz val="11"/>
        <rFont val="Calibri"/>
        <family val="2"/>
      </rPr>
      <t>EL ROSARIO</t>
    </r>
  </si>
  <si>
    <r>
      <rPr>
        <sz val="11"/>
        <rFont val="Calibri"/>
        <family val="2"/>
      </rPr>
      <t>HERRÁN</t>
    </r>
  </si>
  <si>
    <r>
      <rPr>
        <sz val="11"/>
        <rFont val="Calibri"/>
        <family val="2"/>
      </rPr>
      <t>CHIMA</t>
    </r>
  </si>
  <si>
    <r>
      <rPr>
        <sz val="11"/>
        <rFont val="Calibri"/>
        <family val="2"/>
      </rPr>
      <t>SAN JUAN DE BETULIA</t>
    </r>
  </si>
  <si>
    <r>
      <rPr>
        <sz val="11"/>
        <rFont val="Calibri"/>
        <family val="2"/>
      </rPr>
      <t>FRESNO</t>
    </r>
  </si>
  <si>
    <r>
      <rPr>
        <sz val="11"/>
        <rFont val="Calibri"/>
        <family val="2"/>
      </rPr>
      <t>FLORIDA</t>
    </r>
  </si>
  <si>
    <r>
      <rPr>
        <sz val="11"/>
        <rFont val="Calibri"/>
        <family val="2"/>
      </rPr>
      <t>SANTO TOMÁS</t>
    </r>
  </si>
  <si>
    <r>
      <rPr>
        <sz val="11"/>
        <rFont val="Calibri"/>
        <family val="2"/>
      </rPr>
      <t>MARGARITA</t>
    </r>
  </si>
  <si>
    <r>
      <rPr>
        <sz val="11"/>
        <rFont val="Calibri"/>
        <family val="2"/>
      </rPr>
      <t>CHITA</t>
    </r>
  </si>
  <si>
    <r>
      <rPr>
        <sz val="11"/>
        <rFont val="Calibri"/>
        <family val="2"/>
      </rPr>
      <t>RIOSUCIO</t>
    </r>
  </si>
  <si>
    <r>
      <rPr>
        <sz val="11"/>
        <rFont val="Calibri"/>
        <family val="2"/>
      </rPr>
      <t>YOPAL</t>
    </r>
  </si>
  <si>
    <r>
      <rPr>
        <sz val="11"/>
        <rFont val="Calibri"/>
        <family val="2"/>
      </rPr>
      <t>MERCADERES</t>
    </r>
  </si>
  <si>
    <r>
      <rPr>
        <sz val="11"/>
        <rFont val="Calibri"/>
        <family val="2"/>
      </rPr>
      <t>PUEBLO BELLO</t>
    </r>
  </si>
  <si>
    <r>
      <rPr>
        <sz val="11"/>
        <rFont val="Calibri"/>
        <family val="2"/>
      </rPr>
      <t>MEDIO SAN JUAN</t>
    </r>
  </si>
  <si>
    <r>
      <rPr>
        <sz val="11"/>
        <rFont val="Calibri"/>
        <family val="2"/>
      </rPr>
      <t>PUERTO LIBERTADOR</t>
    </r>
  </si>
  <si>
    <r>
      <rPr>
        <sz val="11"/>
        <rFont val="Calibri"/>
        <family val="2"/>
      </rPr>
      <t>CHOACHÍ</t>
    </r>
  </si>
  <si>
    <r>
      <rPr>
        <sz val="11"/>
        <rFont val="Calibri"/>
        <family val="2"/>
      </rPr>
      <t>NEIVA</t>
    </r>
  </si>
  <si>
    <r>
      <rPr>
        <sz val="11"/>
        <rFont val="Calibri"/>
        <family val="2"/>
      </rPr>
      <t>REMOLINO</t>
    </r>
  </si>
  <si>
    <r>
      <rPr>
        <sz val="11"/>
        <rFont val="Calibri"/>
        <family val="2"/>
      </rPr>
      <t>PUERTO LLERAS</t>
    </r>
  </si>
  <si>
    <r>
      <rPr>
        <sz val="11"/>
        <rFont val="Calibri"/>
        <family val="2"/>
      </rPr>
      <t>EL TABLÓN DE GÓMEZ</t>
    </r>
  </si>
  <si>
    <r>
      <rPr>
        <sz val="11"/>
        <rFont val="Calibri"/>
        <family val="2"/>
      </rPr>
      <t>LA ESPERANZA</t>
    </r>
  </si>
  <si>
    <r>
      <rPr>
        <sz val="11"/>
        <rFont val="Calibri"/>
        <family val="2"/>
      </rPr>
      <t>CHIPATÁ</t>
    </r>
  </si>
  <si>
    <r>
      <rPr>
        <sz val="11"/>
        <rFont val="Calibri"/>
        <family val="2"/>
      </rPr>
      <t>SAN LUIS DE SINCÉ</t>
    </r>
  </si>
  <si>
    <r>
      <rPr>
        <sz val="11"/>
        <rFont val="Calibri"/>
        <family val="2"/>
      </rPr>
      <t>GUAMO</t>
    </r>
  </si>
  <si>
    <r>
      <rPr>
        <sz val="11"/>
        <rFont val="Calibri"/>
        <family val="2"/>
      </rPr>
      <t>GINEBRA</t>
    </r>
  </si>
  <si>
    <r>
      <rPr>
        <sz val="11"/>
        <rFont val="Calibri"/>
        <family val="2"/>
      </rPr>
      <t>SOLEDAD</t>
    </r>
  </si>
  <si>
    <r>
      <rPr>
        <sz val="11"/>
        <rFont val="Calibri"/>
        <family val="2"/>
      </rPr>
      <t>MARÍA LA BAJA</t>
    </r>
  </si>
  <si>
    <r>
      <rPr>
        <sz val="11"/>
        <rFont val="Calibri"/>
        <family val="2"/>
      </rPr>
      <t>CHITARAQUE</t>
    </r>
  </si>
  <si>
    <r>
      <rPr>
        <sz val="11"/>
        <rFont val="Calibri"/>
        <family val="2"/>
      </rPr>
      <t>RISARALDA</t>
    </r>
  </si>
  <si>
    <r>
      <rPr>
        <sz val="11"/>
        <rFont val="Calibri"/>
        <family val="2"/>
      </rPr>
      <t>MIRANDA</t>
    </r>
  </si>
  <si>
    <r>
      <rPr>
        <sz val="11"/>
        <rFont val="Calibri"/>
        <family val="2"/>
      </rPr>
      <t>RÍO DE ORO</t>
    </r>
  </si>
  <si>
    <r>
      <rPr>
        <sz val="11"/>
        <rFont val="Calibri"/>
        <family val="2"/>
      </rPr>
      <t>NÓVITA</t>
    </r>
  </si>
  <si>
    <r>
      <rPr>
        <sz val="11"/>
        <rFont val="Calibri"/>
        <family val="2"/>
      </rPr>
      <t>PURÍSIMA DE LA CONCEPCIÓN</t>
    </r>
  </si>
  <si>
    <r>
      <rPr>
        <sz val="11"/>
        <rFont val="Calibri"/>
        <family val="2"/>
      </rPr>
      <t>CHOCONTÁ</t>
    </r>
  </si>
  <si>
    <r>
      <rPr>
        <sz val="11"/>
        <rFont val="Calibri"/>
        <family val="2"/>
      </rPr>
      <t>OPORAPA</t>
    </r>
  </si>
  <si>
    <r>
      <rPr>
        <sz val="11"/>
        <rFont val="Calibri"/>
        <family val="2"/>
      </rPr>
      <t>SABANAS DE SAN ÁNGEL</t>
    </r>
  </si>
  <si>
    <r>
      <rPr>
        <sz val="11"/>
        <rFont val="Calibri"/>
        <family val="2"/>
      </rPr>
      <t>PUERTO LÓPEZ</t>
    </r>
  </si>
  <si>
    <r>
      <rPr>
        <sz val="11"/>
        <rFont val="Calibri"/>
        <family val="2"/>
      </rPr>
      <t>LA PLAYA</t>
    </r>
  </si>
  <si>
    <r>
      <rPr>
        <sz val="11"/>
        <rFont val="Calibri"/>
        <family val="2"/>
      </rPr>
      <t>CIMITARRA</t>
    </r>
  </si>
  <si>
    <r>
      <rPr>
        <sz val="11"/>
        <rFont val="Calibri"/>
        <family val="2"/>
      </rPr>
      <t>SAN MARCOS</t>
    </r>
  </si>
  <si>
    <r>
      <rPr>
        <sz val="11"/>
        <rFont val="Calibri"/>
        <family val="2"/>
      </rPr>
      <t>HERVEO</t>
    </r>
  </si>
  <si>
    <r>
      <rPr>
        <sz val="11"/>
        <rFont val="Calibri"/>
        <family val="2"/>
      </rPr>
      <t>GUACARÍ</t>
    </r>
  </si>
  <si>
    <r>
      <rPr>
        <sz val="11"/>
        <rFont val="Calibri"/>
        <family val="2"/>
      </rPr>
      <t>BURITICÁ</t>
    </r>
  </si>
  <si>
    <r>
      <rPr>
        <sz val="11"/>
        <rFont val="Calibri"/>
        <family val="2"/>
      </rPr>
      <t>SUAN</t>
    </r>
  </si>
  <si>
    <r>
      <rPr>
        <sz val="11"/>
        <rFont val="Calibri"/>
        <family val="2"/>
      </rPr>
      <t>MOMPÓS</t>
    </r>
  </si>
  <si>
    <r>
      <rPr>
        <sz val="11"/>
        <rFont val="Calibri"/>
        <family val="2"/>
      </rPr>
      <t>CHIVATÁ</t>
    </r>
  </si>
  <si>
    <r>
      <rPr>
        <sz val="11"/>
        <rFont val="Calibri"/>
        <family val="2"/>
      </rPr>
      <t>SALAMINA</t>
    </r>
  </si>
  <si>
    <r>
      <rPr>
        <sz val="11"/>
        <rFont val="Calibri"/>
        <family val="2"/>
      </rPr>
      <t>MORALES</t>
    </r>
  </si>
  <si>
    <r>
      <rPr>
        <sz val="11"/>
        <rFont val="Calibri"/>
        <family val="2"/>
      </rPr>
      <t>SAN ALBERTO</t>
    </r>
  </si>
  <si>
    <r>
      <rPr>
        <sz val="11"/>
        <rFont val="Calibri"/>
        <family val="2"/>
      </rPr>
      <t>NUQUÍ</t>
    </r>
  </si>
  <si>
    <r>
      <rPr>
        <sz val="11"/>
        <rFont val="Calibri"/>
        <family val="2"/>
      </rPr>
      <t>SAHAGÚN</t>
    </r>
  </si>
  <si>
    <r>
      <rPr>
        <sz val="11"/>
        <rFont val="Calibri"/>
        <family val="2"/>
      </rPr>
      <t>COGUA</t>
    </r>
  </si>
  <si>
    <r>
      <rPr>
        <sz val="11"/>
        <rFont val="Calibri"/>
        <family val="2"/>
      </rPr>
      <t>PAICOL</t>
    </r>
  </si>
  <si>
    <r>
      <rPr>
        <sz val="11"/>
        <rFont val="Calibri"/>
        <family val="2"/>
      </rPr>
      <t>FRANCISCO PIZARRO</t>
    </r>
  </si>
  <si>
    <r>
      <rPr>
        <sz val="11"/>
        <rFont val="Calibri"/>
        <family val="2"/>
      </rPr>
      <t>LABATECA</t>
    </r>
  </si>
  <si>
    <r>
      <rPr>
        <sz val="11"/>
        <rFont val="Calibri"/>
        <family val="2"/>
      </rPr>
      <t>CONCEPCIÓN</t>
    </r>
  </si>
  <si>
    <r>
      <rPr>
        <sz val="11"/>
        <rFont val="Calibri"/>
        <family val="2"/>
      </rPr>
      <t>SAN ONOFRE</t>
    </r>
  </si>
  <si>
    <r>
      <rPr>
        <sz val="11"/>
        <rFont val="Calibri"/>
        <family val="2"/>
      </rPr>
      <t>HONDA</t>
    </r>
  </si>
  <si>
    <r>
      <rPr>
        <sz val="11"/>
        <rFont val="Calibri"/>
        <family val="2"/>
      </rPr>
      <t>GUADALAJARA DE BUGA</t>
    </r>
  </si>
  <si>
    <r>
      <rPr>
        <sz val="11"/>
        <rFont val="Calibri"/>
        <family val="2"/>
      </rPr>
      <t>CÁCERES</t>
    </r>
  </si>
  <si>
    <r>
      <rPr>
        <sz val="11"/>
        <rFont val="Calibri"/>
        <family val="2"/>
      </rPr>
      <t>TUBARÁ</t>
    </r>
  </si>
  <si>
    <r>
      <rPr>
        <sz val="11"/>
        <rFont val="Calibri"/>
        <family val="2"/>
      </rPr>
      <t>MONTECRISTO</t>
    </r>
  </si>
  <si>
    <r>
      <rPr>
        <sz val="11"/>
        <rFont val="Calibri"/>
        <family val="2"/>
      </rPr>
      <t>CHIVOR</t>
    </r>
  </si>
  <si>
    <r>
      <rPr>
        <sz val="11"/>
        <rFont val="Calibri"/>
        <family val="2"/>
      </rPr>
      <t>SAMANÁ</t>
    </r>
  </si>
  <si>
    <r>
      <rPr>
        <sz val="11"/>
        <rFont val="Calibri"/>
        <family val="2"/>
      </rPr>
      <t>PADILLA</t>
    </r>
  </si>
  <si>
    <r>
      <rPr>
        <sz val="11"/>
        <rFont val="Calibri"/>
        <family val="2"/>
      </rPr>
      <t>SAN DIEGO</t>
    </r>
  </si>
  <si>
    <r>
      <rPr>
        <sz val="11"/>
        <rFont val="Calibri"/>
        <family val="2"/>
      </rPr>
      <t>QUIBDÓ</t>
    </r>
  </si>
  <si>
    <r>
      <rPr>
        <sz val="11"/>
        <rFont val="Calibri"/>
        <family val="2"/>
      </rPr>
      <t>SAN ANDRÉS DE SOTAVENTO</t>
    </r>
  </si>
  <si>
    <r>
      <rPr>
        <sz val="11"/>
        <rFont val="Calibri"/>
        <family val="2"/>
      </rPr>
      <t>COTA</t>
    </r>
  </si>
  <si>
    <r>
      <rPr>
        <sz val="11"/>
        <rFont val="Calibri"/>
        <family val="2"/>
      </rPr>
      <t>PALERMO</t>
    </r>
  </si>
  <si>
    <r>
      <rPr>
        <sz val="11"/>
        <rFont val="Calibri"/>
        <family val="2"/>
      </rPr>
      <t>SAN SEBASTIÁN DE BUENAVISTA</t>
    </r>
  </si>
  <si>
    <r>
      <rPr>
        <sz val="11"/>
        <rFont val="Calibri"/>
        <family val="2"/>
      </rPr>
      <t>RESTREPO</t>
    </r>
  </si>
  <si>
    <r>
      <rPr>
        <sz val="11"/>
        <rFont val="Calibri"/>
        <family val="2"/>
      </rPr>
      <t>FUNES</t>
    </r>
  </si>
  <si>
    <r>
      <rPr>
        <sz val="11"/>
        <rFont val="Calibri"/>
        <family val="2"/>
      </rPr>
      <t>LOS PATIOS</t>
    </r>
  </si>
  <si>
    <r>
      <rPr>
        <sz val="11"/>
        <rFont val="Calibri"/>
        <family val="2"/>
      </rPr>
      <t>CONFINES</t>
    </r>
  </si>
  <si>
    <r>
      <rPr>
        <sz val="11"/>
        <rFont val="Calibri"/>
        <family val="2"/>
      </rPr>
      <t>SAN PEDRO</t>
    </r>
  </si>
  <si>
    <r>
      <rPr>
        <sz val="11"/>
        <rFont val="Calibri"/>
        <family val="2"/>
      </rPr>
      <t>IBAGUÉ</t>
    </r>
  </si>
  <si>
    <r>
      <rPr>
        <sz val="11"/>
        <rFont val="Calibri"/>
        <family val="2"/>
      </rPr>
      <t>JAMUNDÍ</t>
    </r>
  </si>
  <si>
    <r>
      <rPr>
        <sz val="11"/>
        <rFont val="Calibri"/>
        <family val="2"/>
      </rPr>
      <t>CAICEDO</t>
    </r>
  </si>
  <si>
    <r>
      <rPr>
        <sz val="11"/>
        <rFont val="Calibri"/>
        <family val="2"/>
      </rPr>
      <t>USIACURÍ</t>
    </r>
  </si>
  <si>
    <r>
      <rPr>
        <sz val="11"/>
        <rFont val="Calibri"/>
        <family val="2"/>
      </rPr>
      <t>CIÉNEGA</t>
    </r>
  </si>
  <si>
    <r>
      <rPr>
        <sz val="11"/>
        <rFont val="Calibri"/>
        <family val="2"/>
      </rPr>
      <t>SAN JOSÉ</t>
    </r>
  </si>
  <si>
    <r>
      <rPr>
        <sz val="11"/>
        <rFont val="Calibri"/>
        <family val="2"/>
      </rPr>
      <t>PÁEZ</t>
    </r>
  </si>
  <si>
    <r>
      <rPr>
        <sz val="11"/>
        <rFont val="Calibri"/>
        <family val="2"/>
      </rPr>
      <t>SAN MARTÍN</t>
    </r>
  </si>
  <si>
    <r>
      <rPr>
        <sz val="11"/>
        <rFont val="Calibri"/>
        <family val="2"/>
      </rPr>
      <t>RÍO IRÓ</t>
    </r>
  </si>
  <si>
    <r>
      <rPr>
        <sz val="11"/>
        <rFont val="Calibri"/>
        <family val="2"/>
      </rPr>
      <t>SAN ANTERO</t>
    </r>
  </si>
  <si>
    <r>
      <rPr>
        <sz val="11"/>
        <rFont val="Calibri"/>
        <family val="2"/>
      </rPr>
      <t>CUCUNUBÁ</t>
    </r>
  </si>
  <si>
    <r>
      <rPr>
        <sz val="11"/>
        <rFont val="Calibri"/>
        <family val="2"/>
      </rPr>
      <t>SAN ZENÓN</t>
    </r>
  </si>
  <si>
    <r>
      <rPr>
        <sz val="11"/>
        <rFont val="Calibri"/>
        <family val="2"/>
      </rPr>
      <t>SAN CARLOS DE GUAROA</t>
    </r>
  </si>
  <si>
    <r>
      <rPr>
        <sz val="11"/>
        <rFont val="Calibri"/>
        <family val="2"/>
      </rPr>
      <t>GUACHUCAL</t>
    </r>
  </si>
  <si>
    <r>
      <rPr>
        <sz val="11"/>
        <rFont val="Calibri"/>
        <family val="2"/>
      </rPr>
      <t>LOURDES</t>
    </r>
  </si>
  <si>
    <r>
      <rPr>
        <sz val="11"/>
        <rFont val="Calibri"/>
        <family val="2"/>
      </rPr>
      <t>CONTRATACIÓN</t>
    </r>
  </si>
  <si>
    <r>
      <rPr>
        <sz val="11"/>
        <rFont val="Calibri"/>
        <family val="2"/>
      </rPr>
      <t>SANTIAGO DE TOLÚ</t>
    </r>
  </si>
  <si>
    <r>
      <rPr>
        <sz val="11"/>
        <rFont val="Calibri"/>
        <family val="2"/>
      </rPr>
      <t>ICONONZO</t>
    </r>
  </si>
  <si>
    <r>
      <rPr>
        <sz val="11"/>
        <rFont val="Calibri"/>
        <family val="2"/>
      </rPr>
      <t>LA CUMBRE</t>
    </r>
  </si>
  <si>
    <r>
      <rPr>
        <sz val="11"/>
        <rFont val="Calibri"/>
        <family val="2"/>
      </rPr>
      <t>NOROSÍ</t>
    </r>
  </si>
  <si>
    <r>
      <rPr>
        <sz val="11"/>
        <rFont val="Calibri"/>
        <family val="2"/>
      </rPr>
      <t>CÓMBITA</t>
    </r>
  </si>
  <si>
    <r>
      <rPr>
        <sz val="11"/>
        <rFont val="Calibri"/>
        <family val="2"/>
      </rPr>
      <t>SUPÍA</t>
    </r>
  </si>
  <si>
    <r>
      <rPr>
        <sz val="11"/>
        <rFont val="Calibri"/>
        <family val="2"/>
      </rPr>
      <t>PATÍA</t>
    </r>
  </si>
  <si>
    <r>
      <rPr>
        <sz val="11"/>
        <rFont val="Calibri"/>
        <family val="2"/>
      </rPr>
      <t>TAMALAMEQUE</t>
    </r>
  </si>
  <si>
    <r>
      <rPr>
        <sz val="11"/>
        <rFont val="Calibri"/>
        <family val="2"/>
      </rPr>
      <t>RÍO QUITO</t>
    </r>
  </si>
  <si>
    <r>
      <rPr>
        <sz val="11"/>
        <rFont val="Calibri"/>
        <family val="2"/>
      </rPr>
      <t>SAN BERNARDO DEL VIENTO</t>
    </r>
  </si>
  <si>
    <r>
      <rPr>
        <sz val="11"/>
        <rFont val="Calibri"/>
        <family val="2"/>
      </rPr>
      <t>EL COLEGIO</t>
    </r>
  </si>
  <si>
    <r>
      <rPr>
        <sz val="11"/>
        <rFont val="Calibri"/>
        <family val="2"/>
      </rPr>
      <t>PITAL</t>
    </r>
  </si>
  <si>
    <r>
      <rPr>
        <sz val="11"/>
        <rFont val="Calibri"/>
        <family val="2"/>
      </rPr>
      <t>SANTA ANA</t>
    </r>
  </si>
  <si>
    <r>
      <rPr>
        <sz val="11"/>
        <rFont val="Calibri"/>
        <family val="2"/>
      </rPr>
      <t>SAN JUAN DE ARAMA</t>
    </r>
  </si>
  <si>
    <r>
      <rPr>
        <sz val="11"/>
        <rFont val="Calibri"/>
        <family val="2"/>
      </rPr>
      <t>GUAITARILLA</t>
    </r>
  </si>
  <si>
    <r>
      <rPr>
        <sz val="11"/>
        <rFont val="Calibri"/>
        <family val="2"/>
      </rPr>
      <t>MUTISCUA</t>
    </r>
  </si>
  <si>
    <r>
      <rPr>
        <sz val="11"/>
        <rFont val="Calibri"/>
        <family val="2"/>
      </rPr>
      <t>COROMORO</t>
    </r>
  </si>
  <si>
    <r>
      <rPr>
        <sz val="11"/>
        <rFont val="Calibri"/>
        <family val="2"/>
      </rPr>
      <t>SINCELEJO</t>
    </r>
  </si>
  <si>
    <r>
      <rPr>
        <sz val="11"/>
        <rFont val="Calibri"/>
        <family val="2"/>
      </rPr>
      <t>LÉRIDA</t>
    </r>
  </si>
  <si>
    <r>
      <rPr>
        <sz val="11"/>
        <rFont val="Calibri"/>
        <family val="2"/>
      </rPr>
      <t>CAMPAMENTO</t>
    </r>
  </si>
  <si>
    <r>
      <rPr>
        <sz val="11"/>
        <rFont val="Calibri"/>
        <family val="2"/>
      </rPr>
      <t>PINILLOS</t>
    </r>
  </si>
  <si>
    <r>
      <rPr>
        <sz val="11"/>
        <rFont val="Calibri"/>
        <family val="2"/>
      </rPr>
      <t>COPER</t>
    </r>
  </si>
  <si>
    <r>
      <rPr>
        <sz val="11"/>
        <rFont val="Calibri"/>
        <family val="2"/>
      </rPr>
      <t>VICTORIA</t>
    </r>
  </si>
  <si>
    <r>
      <rPr>
        <sz val="11"/>
        <rFont val="Calibri"/>
        <family val="2"/>
      </rPr>
      <t>PIAMONTE</t>
    </r>
  </si>
  <si>
    <r>
      <rPr>
        <sz val="11"/>
        <rFont val="Calibri"/>
        <family val="2"/>
      </rPr>
      <t>VALLEDUPAR</t>
    </r>
  </si>
  <si>
    <r>
      <rPr>
        <sz val="11"/>
        <rFont val="Calibri"/>
        <family val="2"/>
      </rPr>
      <t>SAN CARLOS</t>
    </r>
  </si>
  <si>
    <r>
      <rPr>
        <sz val="11"/>
        <rFont val="Calibri"/>
        <family val="2"/>
      </rPr>
      <t>PITALITO</t>
    </r>
  </si>
  <si>
    <r>
      <rPr>
        <sz val="11"/>
        <rFont val="Calibri"/>
        <family val="2"/>
      </rPr>
      <t>SANTA BÁRBARA DE PINTO</t>
    </r>
  </si>
  <si>
    <r>
      <rPr>
        <sz val="11"/>
        <rFont val="Calibri"/>
        <family val="2"/>
      </rPr>
      <t>SAN JUANITO</t>
    </r>
  </si>
  <si>
    <r>
      <rPr>
        <sz val="11"/>
        <rFont val="Calibri"/>
        <family val="2"/>
      </rPr>
      <t>GUALMATÁN</t>
    </r>
  </si>
  <si>
    <r>
      <rPr>
        <sz val="11"/>
        <rFont val="Calibri"/>
        <family val="2"/>
      </rPr>
      <t>OCAÑA</t>
    </r>
  </si>
  <si>
    <r>
      <rPr>
        <sz val="11"/>
        <rFont val="Calibri"/>
        <family val="2"/>
      </rPr>
      <t>CURITÍ</t>
    </r>
  </si>
  <si>
    <r>
      <rPr>
        <sz val="11"/>
        <rFont val="Calibri"/>
        <family val="2"/>
      </rPr>
      <t>SUCRE</t>
    </r>
  </si>
  <si>
    <r>
      <rPr>
        <sz val="11"/>
        <rFont val="Calibri"/>
        <family val="2"/>
      </rPr>
      <t>LÍBANO</t>
    </r>
  </si>
  <si>
    <r>
      <rPr>
        <sz val="11"/>
        <rFont val="Calibri"/>
        <family val="2"/>
      </rPr>
      <t>CAÑASGORDAS</t>
    </r>
  </si>
  <si>
    <r>
      <rPr>
        <sz val="11"/>
        <rFont val="Calibri"/>
        <family val="2"/>
      </rPr>
      <t>REGIDOR</t>
    </r>
  </si>
  <si>
    <r>
      <rPr>
        <sz val="11"/>
        <rFont val="Calibri"/>
        <family val="2"/>
      </rPr>
      <t>CORRALES</t>
    </r>
  </si>
  <si>
    <r>
      <rPr>
        <sz val="11"/>
        <rFont val="Calibri"/>
        <family val="2"/>
      </rPr>
      <t>VILLAMARÍA</t>
    </r>
  </si>
  <si>
    <r>
      <rPr>
        <sz val="11"/>
        <rFont val="Calibri"/>
        <family val="2"/>
      </rPr>
      <t>PIENDAMÓ</t>
    </r>
  </si>
  <si>
    <r>
      <rPr>
        <sz val="11"/>
        <rFont val="Calibri"/>
        <family val="2"/>
      </rPr>
      <t>SAN JOSÉ DEL PALMAR</t>
    </r>
  </si>
  <si>
    <r>
      <rPr>
        <sz val="11"/>
        <rFont val="Calibri"/>
        <family val="2"/>
      </rPr>
      <t>SAN JOSÉ DE URÉ</t>
    </r>
  </si>
  <si>
    <r>
      <rPr>
        <sz val="11"/>
        <rFont val="Calibri"/>
        <family val="2"/>
      </rPr>
      <t>EL ROSAL</t>
    </r>
  </si>
  <si>
    <r>
      <rPr>
        <sz val="11"/>
        <rFont val="Calibri"/>
        <family val="2"/>
      </rPr>
      <t>RIVERA</t>
    </r>
  </si>
  <si>
    <r>
      <rPr>
        <sz val="11"/>
        <rFont val="Calibri"/>
        <family val="2"/>
      </rPr>
      <t>SANTA MARTA</t>
    </r>
  </si>
  <si>
    <r>
      <rPr>
        <sz val="11"/>
        <rFont val="Calibri"/>
        <family val="2"/>
      </rPr>
      <t>ILES</t>
    </r>
  </si>
  <si>
    <r>
      <rPr>
        <sz val="11"/>
        <rFont val="Calibri"/>
        <family val="2"/>
      </rPr>
      <t>PAMPLONA</t>
    </r>
  </si>
  <si>
    <r>
      <rPr>
        <sz val="11"/>
        <rFont val="Calibri"/>
        <family val="2"/>
      </rPr>
      <t>EL CARMEN DE CHUCURÍ</t>
    </r>
  </si>
  <si>
    <r>
      <rPr>
        <sz val="11"/>
        <rFont val="Calibri"/>
        <family val="2"/>
      </rPr>
      <t>TOLÚ VIEJO</t>
    </r>
  </si>
  <si>
    <r>
      <rPr>
        <sz val="11"/>
        <rFont val="Calibri"/>
        <family val="2"/>
      </rPr>
      <t>MELGAR</t>
    </r>
  </si>
  <si>
    <r>
      <rPr>
        <sz val="11"/>
        <rFont val="Calibri"/>
        <family val="2"/>
      </rPr>
      <t>OBANDO</t>
    </r>
  </si>
  <si>
    <r>
      <rPr>
        <sz val="11"/>
        <rFont val="Calibri"/>
        <family val="2"/>
      </rPr>
      <t>CARACOLÍ</t>
    </r>
  </si>
  <si>
    <r>
      <rPr>
        <sz val="11"/>
        <rFont val="Calibri"/>
        <family val="2"/>
      </rPr>
      <t>RÍO VIEJO</t>
    </r>
  </si>
  <si>
    <r>
      <rPr>
        <sz val="11"/>
        <rFont val="Calibri"/>
        <family val="2"/>
      </rPr>
      <t>COVARACHÍA</t>
    </r>
  </si>
  <si>
    <r>
      <rPr>
        <sz val="11"/>
        <rFont val="Calibri"/>
        <family val="2"/>
      </rPr>
      <t>VITERBO</t>
    </r>
  </si>
  <si>
    <r>
      <rPr>
        <sz val="11"/>
        <rFont val="Calibri"/>
        <family val="2"/>
      </rPr>
      <t>POPAYÁN</t>
    </r>
  </si>
  <si>
    <r>
      <rPr>
        <sz val="11"/>
        <rFont val="Calibri"/>
        <family val="2"/>
      </rPr>
      <t>SIPÍ</t>
    </r>
  </si>
  <si>
    <r>
      <rPr>
        <sz val="11"/>
        <rFont val="Calibri"/>
        <family val="2"/>
      </rPr>
      <t>SAN PELAYO</t>
    </r>
  </si>
  <si>
    <r>
      <rPr>
        <sz val="11"/>
        <rFont val="Calibri"/>
        <family val="2"/>
      </rPr>
      <t>FACATATIVÁ</t>
    </r>
  </si>
  <si>
    <r>
      <rPr>
        <sz val="11"/>
        <rFont val="Calibri"/>
        <family val="2"/>
      </rPr>
      <t>SALADOBLANCO</t>
    </r>
  </si>
  <si>
    <r>
      <rPr>
        <sz val="11"/>
        <rFont val="Calibri"/>
        <family val="2"/>
      </rPr>
      <t>SITIONUEVO</t>
    </r>
  </si>
  <si>
    <r>
      <rPr>
        <sz val="11"/>
        <rFont val="Calibri"/>
        <family val="2"/>
      </rPr>
      <t>URIBE</t>
    </r>
  </si>
  <si>
    <r>
      <rPr>
        <sz val="11"/>
        <rFont val="Calibri"/>
        <family val="2"/>
      </rPr>
      <t>IMUÉS</t>
    </r>
  </si>
  <si>
    <r>
      <rPr>
        <sz val="11"/>
        <rFont val="Calibri"/>
        <family val="2"/>
      </rPr>
      <t>PAMPLONITA</t>
    </r>
  </si>
  <si>
    <r>
      <rPr>
        <sz val="11"/>
        <rFont val="Calibri"/>
        <family val="2"/>
      </rPr>
      <t>EL GUACAMAYO</t>
    </r>
  </si>
  <si>
    <r>
      <rPr>
        <sz val="11"/>
        <rFont val="Calibri"/>
        <family val="2"/>
      </rPr>
      <t>MURILLO</t>
    </r>
  </si>
  <si>
    <r>
      <rPr>
        <sz val="11"/>
        <rFont val="Calibri"/>
        <family val="2"/>
      </rPr>
      <t>PALMIRA</t>
    </r>
  </si>
  <si>
    <r>
      <rPr>
        <sz val="11"/>
        <rFont val="Calibri"/>
        <family val="2"/>
      </rPr>
      <t>CARAMANTA</t>
    </r>
  </si>
  <si>
    <r>
      <rPr>
        <sz val="11"/>
        <rFont val="Calibri"/>
        <family val="2"/>
      </rPr>
      <t>SAN CRISTÓBAL</t>
    </r>
  </si>
  <si>
    <r>
      <rPr>
        <sz val="11"/>
        <rFont val="Calibri"/>
        <family val="2"/>
      </rPr>
      <t>CUBARÁ</t>
    </r>
  </si>
  <si>
    <r>
      <rPr>
        <sz val="11"/>
        <rFont val="Calibri"/>
        <family val="2"/>
      </rPr>
      <t>PUERTO TEJADA</t>
    </r>
  </si>
  <si>
    <r>
      <rPr>
        <sz val="11"/>
        <rFont val="Calibri"/>
        <family val="2"/>
      </rPr>
      <t>TADÓ</t>
    </r>
  </si>
  <si>
    <r>
      <rPr>
        <sz val="11"/>
        <rFont val="Calibri"/>
        <family val="2"/>
      </rPr>
      <t>TIERRALTA</t>
    </r>
  </si>
  <si>
    <r>
      <rPr>
        <sz val="11"/>
        <rFont val="Calibri"/>
        <family val="2"/>
      </rPr>
      <t>FÓMEQUE</t>
    </r>
  </si>
  <si>
    <r>
      <rPr>
        <sz val="11"/>
        <rFont val="Calibri"/>
        <family val="2"/>
      </rPr>
      <t>SAN AGUSTÍN</t>
    </r>
  </si>
  <si>
    <r>
      <rPr>
        <sz val="11"/>
        <rFont val="Calibri"/>
        <family val="2"/>
      </rPr>
      <t>TENERIFE</t>
    </r>
  </si>
  <si>
    <r>
      <rPr>
        <sz val="11"/>
        <rFont val="Calibri"/>
        <family val="2"/>
      </rPr>
      <t>VILLAVICENCIO</t>
    </r>
  </si>
  <si>
    <r>
      <rPr>
        <sz val="11"/>
        <rFont val="Calibri"/>
        <family val="2"/>
      </rPr>
      <t>IPIALES</t>
    </r>
  </si>
  <si>
    <r>
      <rPr>
        <sz val="11"/>
        <rFont val="Calibri"/>
        <family val="2"/>
      </rPr>
      <t>NATAGAIMA</t>
    </r>
  </si>
  <si>
    <r>
      <rPr>
        <sz val="11"/>
        <rFont val="Calibri"/>
        <family val="2"/>
      </rPr>
      <t>PRADERA</t>
    </r>
  </si>
  <si>
    <r>
      <rPr>
        <sz val="11"/>
        <rFont val="Calibri"/>
        <family val="2"/>
      </rPr>
      <t>CAREPA</t>
    </r>
  </si>
  <si>
    <r>
      <rPr>
        <sz val="11"/>
        <rFont val="Calibri"/>
        <family val="2"/>
      </rPr>
      <t>SAN ESTANISLAO</t>
    </r>
  </si>
  <si>
    <r>
      <rPr>
        <sz val="11"/>
        <rFont val="Calibri"/>
        <family val="2"/>
      </rPr>
      <t>CUCAITA</t>
    </r>
  </si>
  <si>
    <r>
      <rPr>
        <sz val="11"/>
        <rFont val="Calibri"/>
        <family val="2"/>
      </rPr>
      <t>PURACÉ</t>
    </r>
  </si>
  <si>
    <r>
      <rPr>
        <sz val="11"/>
        <rFont val="Calibri"/>
        <family val="2"/>
      </rPr>
      <t>UNGUÍA</t>
    </r>
  </si>
  <si>
    <r>
      <rPr>
        <sz val="11"/>
        <rFont val="Calibri"/>
        <family val="2"/>
      </rPr>
      <t>TUCHÍN</t>
    </r>
  </si>
  <si>
    <r>
      <rPr>
        <sz val="11"/>
        <rFont val="Calibri"/>
        <family val="2"/>
      </rPr>
      <t>FOSCA</t>
    </r>
  </si>
  <si>
    <r>
      <rPr>
        <sz val="11"/>
        <rFont val="Calibri"/>
        <family val="2"/>
      </rPr>
      <t>SANTA MARÍA</t>
    </r>
  </si>
  <si>
    <r>
      <rPr>
        <sz val="11"/>
        <rFont val="Calibri"/>
        <family val="2"/>
      </rPr>
      <t>ZAPAYÁN</t>
    </r>
  </si>
  <si>
    <r>
      <rPr>
        <sz val="11"/>
        <rFont val="Calibri"/>
        <family val="2"/>
      </rPr>
      <t>VISTAHERMOSA</t>
    </r>
  </si>
  <si>
    <r>
      <rPr>
        <sz val="11"/>
        <rFont val="Calibri"/>
        <family val="2"/>
      </rPr>
      <t>LA CRUZ</t>
    </r>
  </si>
  <si>
    <r>
      <rPr>
        <sz val="11"/>
        <rFont val="Calibri"/>
        <family val="2"/>
      </rPr>
      <t>RAGONVALIA</t>
    </r>
  </si>
  <si>
    <r>
      <rPr>
        <sz val="11"/>
        <rFont val="Calibri"/>
        <family val="2"/>
      </rPr>
      <t>EL PLAYÓN</t>
    </r>
  </si>
  <si>
    <r>
      <rPr>
        <sz val="11"/>
        <rFont val="Calibri"/>
        <family val="2"/>
      </rPr>
      <t>ORTEGA</t>
    </r>
  </si>
  <si>
    <r>
      <rPr>
        <sz val="11"/>
        <rFont val="Calibri"/>
        <family val="2"/>
      </rPr>
      <t>CAROLINA</t>
    </r>
  </si>
  <si>
    <r>
      <rPr>
        <sz val="11"/>
        <rFont val="Calibri"/>
        <family val="2"/>
      </rPr>
      <t>SAN FERNANDO</t>
    </r>
  </si>
  <si>
    <r>
      <rPr>
        <sz val="11"/>
        <rFont val="Calibri"/>
        <family val="2"/>
      </rPr>
      <t>CUÍTIVA</t>
    </r>
  </si>
  <si>
    <r>
      <rPr>
        <sz val="11"/>
        <rFont val="Calibri"/>
        <family val="2"/>
      </rPr>
      <t>ROSAS</t>
    </r>
  </si>
  <si>
    <r>
      <rPr>
        <sz val="11"/>
        <rFont val="Calibri"/>
        <family val="2"/>
      </rPr>
      <t>UNIÓN PANAMERICANA</t>
    </r>
  </si>
  <si>
    <r>
      <rPr>
        <sz val="11"/>
        <rFont val="Calibri"/>
        <family val="2"/>
      </rPr>
      <t>VALENCIA</t>
    </r>
  </si>
  <si>
    <r>
      <rPr>
        <sz val="11"/>
        <rFont val="Calibri"/>
        <family val="2"/>
      </rPr>
      <t>FUNZA</t>
    </r>
  </si>
  <si>
    <r>
      <rPr>
        <sz val="11"/>
        <rFont val="Calibri"/>
        <family val="2"/>
      </rPr>
      <t>SUAZA</t>
    </r>
  </si>
  <si>
    <r>
      <rPr>
        <sz val="11"/>
        <rFont val="Calibri"/>
        <family val="2"/>
      </rPr>
      <t>ZONA BANANERA</t>
    </r>
  </si>
  <si>
    <r>
      <rPr>
        <sz val="11"/>
        <rFont val="Calibri"/>
        <family val="2"/>
      </rPr>
      <t>LA FLORIDA</t>
    </r>
  </si>
  <si>
    <r>
      <rPr>
        <sz val="11"/>
        <rFont val="Calibri"/>
        <family val="2"/>
      </rPr>
      <t>SALAZAR</t>
    </r>
  </si>
  <si>
    <r>
      <rPr>
        <sz val="11"/>
        <rFont val="Calibri"/>
        <family val="2"/>
      </rPr>
      <t>ENCINO</t>
    </r>
  </si>
  <si>
    <r>
      <rPr>
        <sz val="11"/>
        <rFont val="Calibri"/>
        <family val="2"/>
      </rPr>
      <t>PALOCABILDO</t>
    </r>
  </si>
  <si>
    <r>
      <rPr>
        <sz val="11"/>
        <rFont val="Calibri"/>
        <family val="2"/>
      </rPr>
      <t>RIOFRÍO</t>
    </r>
  </si>
  <si>
    <r>
      <rPr>
        <sz val="11"/>
        <rFont val="Calibri"/>
        <family val="2"/>
      </rPr>
      <t>CAUCASIA</t>
    </r>
  </si>
  <si>
    <r>
      <rPr>
        <sz val="11"/>
        <rFont val="Calibri"/>
        <family val="2"/>
      </rPr>
      <t>SAN JACINTO</t>
    </r>
  </si>
  <si>
    <r>
      <rPr>
        <sz val="11"/>
        <rFont val="Calibri"/>
        <family val="2"/>
      </rPr>
      <t>DUITAMA</t>
    </r>
  </si>
  <si>
    <r>
      <rPr>
        <sz val="11"/>
        <rFont val="Calibri"/>
        <family val="2"/>
      </rPr>
      <t>SAN SEBASTIÁN</t>
    </r>
  </si>
  <si>
    <r>
      <rPr>
        <sz val="11"/>
        <rFont val="Calibri"/>
        <family val="2"/>
      </rPr>
      <t>FÚQUENE</t>
    </r>
  </si>
  <si>
    <r>
      <rPr>
        <sz val="11"/>
        <rFont val="Calibri"/>
        <family val="2"/>
      </rPr>
      <t>TARQUI</t>
    </r>
  </si>
  <si>
    <r>
      <rPr>
        <sz val="11"/>
        <rFont val="Calibri"/>
        <family val="2"/>
      </rPr>
      <t>LA LLANADA</t>
    </r>
  </si>
  <si>
    <r>
      <rPr>
        <sz val="11"/>
        <rFont val="Calibri"/>
        <family val="2"/>
      </rPr>
      <t>SAN CALIXTO</t>
    </r>
  </si>
  <si>
    <r>
      <rPr>
        <sz val="11"/>
        <rFont val="Calibri"/>
        <family val="2"/>
      </rPr>
      <t>ENCISO</t>
    </r>
  </si>
  <si>
    <r>
      <rPr>
        <sz val="11"/>
        <rFont val="Calibri"/>
        <family val="2"/>
      </rPr>
      <t>PIEDRAS</t>
    </r>
  </si>
  <si>
    <r>
      <rPr>
        <sz val="11"/>
        <rFont val="Calibri"/>
        <family val="2"/>
      </rPr>
      <t>ROLDANILLO</t>
    </r>
  </si>
  <si>
    <r>
      <rPr>
        <sz val="11"/>
        <rFont val="Calibri"/>
        <family val="2"/>
      </rPr>
      <t>CHIGORODÓ</t>
    </r>
  </si>
  <si>
    <r>
      <rPr>
        <sz val="11"/>
        <rFont val="Calibri"/>
        <family val="2"/>
      </rPr>
      <t>SAN JACINTO DEL CAUCA</t>
    </r>
  </si>
  <si>
    <r>
      <rPr>
        <sz val="11"/>
        <rFont val="Calibri"/>
        <family val="2"/>
      </rPr>
      <t>EL COCUY</t>
    </r>
  </si>
  <si>
    <r>
      <rPr>
        <sz val="11"/>
        <rFont val="Calibri"/>
        <family val="2"/>
      </rPr>
      <t>SANTA ROSA</t>
    </r>
  </si>
  <si>
    <r>
      <rPr>
        <sz val="11"/>
        <rFont val="Calibri"/>
        <family val="2"/>
      </rPr>
      <t>FUSAGASUGÁ</t>
    </r>
  </si>
  <si>
    <r>
      <rPr>
        <sz val="11"/>
        <rFont val="Calibri"/>
        <family val="2"/>
      </rPr>
      <t>TELLO</t>
    </r>
  </si>
  <si>
    <r>
      <rPr>
        <sz val="11"/>
        <rFont val="Calibri"/>
        <family val="2"/>
      </rPr>
      <t>LA TOLA</t>
    </r>
  </si>
  <si>
    <r>
      <rPr>
        <sz val="11"/>
        <rFont val="Calibri"/>
        <family val="2"/>
      </rPr>
      <t>SAN CAYETANO</t>
    </r>
  </si>
  <si>
    <r>
      <rPr>
        <sz val="11"/>
        <rFont val="Calibri"/>
        <family val="2"/>
      </rPr>
      <t>FLORIÁN</t>
    </r>
  </si>
  <si>
    <r>
      <rPr>
        <sz val="11"/>
        <rFont val="Calibri"/>
        <family val="2"/>
      </rPr>
      <t>PLANADAS</t>
    </r>
  </si>
  <si>
    <r>
      <rPr>
        <sz val="11"/>
        <rFont val="Calibri"/>
        <family val="2"/>
      </rPr>
      <t>CISNEROS</t>
    </r>
  </si>
  <si>
    <r>
      <rPr>
        <sz val="11"/>
        <rFont val="Calibri"/>
        <family val="2"/>
      </rPr>
      <t>SAN JUAN NEPOMUCENO</t>
    </r>
  </si>
  <si>
    <r>
      <rPr>
        <sz val="11"/>
        <rFont val="Calibri"/>
        <family val="2"/>
      </rPr>
      <t>EL ESPINO</t>
    </r>
  </si>
  <si>
    <r>
      <rPr>
        <sz val="11"/>
        <rFont val="Calibri"/>
        <family val="2"/>
      </rPr>
      <t>SANTANDER DE QUILICHAO</t>
    </r>
  </si>
  <si>
    <r>
      <rPr>
        <sz val="11"/>
        <rFont val="Calibri"/>
        <family val="2"/>
      </rPr>
      <t>GACHALÁ</t>
    </r>
  </si>
  <si>
    <r>
      <rPr>
        <sz val="11"/>
        <rFont val="Calibri"/>
        <family val="2"/>
      </rPr>
      <t>TERUEL</t>
    </r>
  </si>
  <si>
    <r>
      <rPr>
        <sz val="11"/>
        <rFont val="Calibri"/>
        <family val="2"/>
      </rPr>
      <t>FLORIDABLANCA</t>
    </r>
  </si>
  <si>
    <r>
      <rPr>
        <sz val="11"/>
        <rFont val="Calibri"/>
        <family val="2"/>
      </rPr>
      <t>PRADO</t>
    </r>
  </si>
  <si>
    <r>
      <rPr>
        <sz val="11"/>
        <rFont val="Calibri"/>
        <family val="2"/>
      </rPr>
      <t>SEVILLA</t>
    </r>
  </si>
  <si>
    <r>
      <rPr>
        <sz val="11"/>
        <rFont val="Calibri"/>
        <family val="2"/>
      </rPr>
      <t>CIUDAD BOLÍVAR</t>
    </r>
  </si>
  <si>
    <r>
      <rPr>
        <sz val="11"/>
        <rFont val="Calibri"/>
        <family val="2"/>
      </rPr>
      <t>SAN MARTÍN DE LOBA</t>
    </r>
  </si>
  <si>
    <r>
      <rPr>
        <sz val="11"/>
        <rFont val="Calibri"/>
        <family val="2"/>
      </rPr>
      <t>FIRAVITOBA</t>
    </r>
  </si>
  <si>
    <r>
      <rPr>
        <sz val="11"/>
        <rFont val="Calibri"/>
        <family val="2"/>
      </rPr>
      <t>SILVIA</t>
    </r>
  </si>
  <si>
    <r>
      <rPr>
        <sz val="11"/>
        <rFont val="Calibri"/>
        <family val="2"/>
      </rPr>
      <t>GACHANCIPÁ</t>
    </r>
  </si>
  <si>
    <r>
      <rPr>
        <sz val="11"/>
        <rFont val="Calibri"/>
        <family val="2"/>
      </rPr>
      <t>TESALIA</t>
    </r>
  </si>
  <si>
    <r>
      <rPr>
        <sz val="11"/>
        <rFont val="Calibri"/>
        <family val="2"/>
      </rPr>
      <t>LEIVA</t>
    </r>
  </si>
  <si>
    <r>
      <rPr>
        <sz val="11"/>
        <rFont val="Calibri"/>
        <family val="2"/>
      </rPr>
      <t>SARDINATA</t>
    </r>
  </si>
  <si>
    <r>
      <rPr>
        <sz val="11"/>
        <rFont val="Calibri"/>
        <family val="2"/>
      </rPr>
      <t>GALÁN</t>
    </r>
  </si>
  <si>
    <r>
      <rPr>
        <sz val="11"/>
        <rFont val="Calibri"/>
        <family val="2"/>
      </rPr>
      <t>PURIFICACIÓN</t>
    </r>
  </si>
  <si>
    <r>
      <rPr>
        <sz val="11"/>
        <rFont val="Calibri"/>
        <family val="2"/>
      </rPr>
      <t>TORO</t>
    </r>
  </si>
  <si>
    <r>
      <rPr>
        <sz val="11"/>
        <rFont val="Calibri"/>
        <family val="2"/>
      </rPr>
      <t>COCORNÁ</t>
    </r>
  </si>
  <si>
    <r>
      <rPr>
        <sz val="11"/>
        <rFont val="Calibri"/>
        <family val="2"/>
      </rPr>
      <t>SAN PABLO</t>
    </r>
  </si>
  <si>
    <r>
      <rPr>
        <sz val="11"/>
        <rFont val="Calibri"/>
        <family val="2"/>
      </rPr>
      <t>FLORESTA</t>
    </r>
  </si>
  <si>
    <r>
      <rPr>
        <sz val="11"/>
        <rFont val="Calibri"/>
        <family val="2"/>
      </rPr>
      <t>SOTARA</t>
    </r>
  </si>
  <si>
    <r>
      <rPr>
        <sz val="11"/>
        <rFont val="Calibri"/>
        <family val="2"/>
      </rPr>
      <t>GACHETÁ</t>
    </r>
  </si>
  <si>
    <r>
      <rPr>
        <sz val="11"/>
        <rFont val="Calibri"/>
        <family val="2"/>
      </rPr>
      <t>TIMANÁ</t>
    </r>
  </si>
  <si>
    <r>
      <rPr>
        <sz val="11"/>
        <rFont val="Calibri"/>
        <family val="2"/>
      </rPr>
      <t>LINARES</t>
    </r>
  </si>
  <si>
    <r>
      <rPr>
        <sz val="11"/>
        <rFont val="Calibri"/>
        <family val="2"/>
      </rPr>
      <t>SILOS</t>
    </r>
  </si>
  <si>
    <r>
      <rPr>
        <sz val="11"/>
        <rFont val="Calibri"/>
        <family val="2"/>
      </rPr>
      <t>GÁMBITA</t>
    </r>
  </si>
  <si>
    <r>
      <rPr>
        <sz val="11"/>
        <rFont val="Calibri"/>
        <family val="2"/>
      </rPr>
      <t>RIOBLANCO</t>
    </r>
  </si>
  <si>
    <r>
      <rPr>
        <sz val="11"/>
        <rFont val="Calibri"/>
        <family val="2"/>
      </rPr>
      <t>TRUJILLO</t>
    </r>
  </si>
  <si>
    <r>
      <rPr>
        <sz val="11"/>
        <rFont val="Calibri"/>
        <family val="2"/>
      </rPr>
      <t>SANTA CATALINA</t>
    </r>
  </si>
  <si>
    <r>
      <rPr>
        <sz val="11"/>
        <rFont val="Calibri"/>
        <family val="2"/>
      </rPr>
      <t>GACHANTIVÁ</t>
    </r>
  </si>
  <si>
    <r>
      <rPr>
        <sz val="11"/>
        <rFont val="Calibri"/>
        <family val="2"/>
      </rPr>
      <t>SUÁREZ</t>
    </r>
  </si>
  <si>
    <r>
      <rPr>
        <sz val="11"/>
        <rFont val="Calibri"/>
        <family val="2"/>
      </rPr>
      <t>GAMA</t>
    </r>
  </si>
  <si>
    <r>
      <rPr>
        <sz val="11"/>
        <rFont val="Calibri"/>
        <family val="2"/>
      </rPr>
      <t>VILLAVIEJA</t>
    </r>
  </si>
  <si>
    <r>
      <rPr>
        <sz val="11"/>
        <rFont val="Calibri"/>
        <family val="2"/>
      </rPr>
      <t>LOS ANDES</t>
    </r>
  </si>
  <si>
    <r>
      <rPr>
        <sz val="11"/>
        <rFont val="Calibri"/>
        <family val="2"/>
      </rPr>
      <t>TEORAMA</t>
    </r>
  </si>
  <si>
    <r>
      <rPr>
        <sz val="11"/>
        <rFont val="Calibri"/>
        <family val="2"/>
      </rPr>
      <t>GIRÓN</t>
    </r>
  </si>
  <si>
    <r>
      <rPr>
        <sz val="11"/>
        <rFont val="Calibri"/>
        <family val="2"/>
      </rPr>
      <t>RONCESVALLES</t>
    </r>
  </si>
  <si>
    <r>
      <rPr>
        <sz val="11"/>
        <rFont val="Calibri"/>
        <family val="2"/>
      </rPr>
      <t>TULUÁ</t>
    </r>
  </si>
  <si>
    <r>
      <rPr>
        <sz val="11"/>
        <rFont val="Calibri"/>
        <family val="2"/>
      </rPr>
      <t>GÁMEZA</t>
    </r>
  </si>
  <si>
    <r>
      <rPr>
        <sz val="11"/>
        <rFont val="Calibri"/>
        <family val="2"/>
      </rPr>
      <t>GIRARDOT</t>
    </r>
  </si>
  <si>
    <r>
      <rPr>
        <sz val="11"/>
        <rFont val="Calibri"/>
        <family val="2"/>
      </rPr>
      <t>YAGUARÁ</t>
    </r>
  </si>
  <si>
    <r>
      <rPr>
        <sz val="11"/>
        <rFont val="Calibri"/>
        <family val="2"/>
      </rPr>
      <t>MAGÜÍ</t>
    </r>
  </si>
  <si>
    <r>
      <rPr>
        <sz val="11"/>
        <rFont val="Calibri"/>
        <family val="2"/>
      </rPr>
      <t>TIBÚ</t>
    </r>
  </si>
  <si>
    <r>
      <rPr>
        <sz val="11"/>
        <rFont val="Calibri"/>
        <family val="2"/>
      </rPr>
      <t>GUACA</t>
    </r>
  </si>
  <si>
    <r>
      <rPr>
        <sz val="11"/>
        <rFont val="Calibri"/>
        <family val="2"/>
      </rPr>
      <t>ROVIRA</t>
    </r>
  </si>
  <si>
    <r>
      <rPr>
        <sz val="11"/>
        <rFont val="Calibri"/>
        <family val="2"/>
      </rPr>
      <t>ULLOA</t>
    </r>
  </si>
  <si>
    <r>
      <rPr>
        <sz val="11"/>
        <rFont val="Calibri"/>
        <family val="2"/>
      </rPr>
      <t>COPACABANA</t>
    </r>
  </si>
  <si>
    <r>
      <rPr>
        <sz val="11"/>
        <rFont val="Calibri"/>
        <family val="2"/>
      </rPr>
      <t>SANTA ROSA DEL SUR</t>
    </r>
  </si>
  <si>
    <r>
      <rPr>
        <sz val="11"/>
        <rFont val="Calibri"/>
        <family val="2"/>
      </rPr>
      <t>GARAGOA</t>
    </r>
  </si>
  <si>
    <r>
      <rPr>
        <sz val="11"/>
        <rFont val="Calibri"/>
        <family val="2"/>
      </rPr>
      <t>TIMBÍO</t>
    </r>
  </si>
  <si>
    <r>
      <rPr>
        <sz val="11"/>
        <rFont val="Calibri"/>
        <family val="2"/>
      </rPr>
      <t>MALLAMA</t>
    </r>
  </si>
  <si>
    <r>
      <rPr>
        <sz val="11"/>
        <rFont val="Calibri"/>
        <family val="2"/>
      </rPr>
      <t>TOLEDO</t>
    </r>
  </si>
  <si>
    <r>
      <rPr>
        <sz val="11"/>
        <rFont val="Calibri"/>
        <family val="2"/>
      </rPr>
      <t>SALDAÑA</t>
    </r>
  </si>
  <si>
    <r>
      <rPr>
        <sz val="11"/>
        <rFont val="Calibri"/>
        <family val="2"/>
      </rPr>
      <t>VERSALLES</t>
    </r>
  </si>
  <si>
    <r>
      <rPr>
        <sz val="11"/>
        <rFont val="Calibri"/>
        <family val="2"/>
      </rPr>
      <t>DABEIBA</t>
    </r>
  </si>
  <si>
    <r>
      <rPr>
        <sz val="11"/>
        <rFont val="Calibri"/>
        <family val="2"/>
      </rPr>
      <t>SIMITÍ</t>
    </r>
  </si>
  <si>
    <r>
      <rPr>
        <sz val="11"/>
        <rFont val="Calibri"/>
        <family val="2"/>
      </rPr>
      <t>GUACAMAYAS</t>
    </r>
  </si>
  <si>
    <r>
      <rPr>
        <sz val="11"/>
        <rFont val="Calibri"/>
        <family val="2"/>
      </rPr>
      <t>TIMBIQUÍ</t>
    </r>
  </si>
  <si>
    <r>
      <rPr>
        <sz val="11"/>
        <rFont val="Calibri"/>
        <family val="2"/>
      </rPr>
      <t>GUACHETÁ</t>
    </r>
  </si>
  <si>
    <r>
      <rPr>
        <sz val="11"/>
        <rFont val="Calibri"/>
        <family val="2"/>
      </rPr>
      <t>MOSQUERA</t>
    </r>
  </si>
  <si>
    <r>
      <rPr>
        <sz val="11"/>
        <rFont val="Calibri"/>
        <family val="2"/>
      </rPr>
      <t>VILLA CARO</t>
    </r>
  </si>
  <si>
    <r>
      <rPr>
        <sz val="11"/>
        <rFont val="Calibri"/>
        <family val="2"/>
      </rPr>
      <t>GUAPOTÁ</t>
    </r>
  </si>
  <si>
    <r>
      <rPr>
        <sz val="11"/>
        <rFont val="Calibri"/>
        <family val="2"/>
      </rPr>
      <t>SAN ANTONIO</t>
    </r>
  </si>
  <si>
    <r>
      <rPr>
        <sz val="11"/>
        <rFont val="Calibri"/>
        <family val="2"/>
      </rPr>
      <t>VIJES</t>
    </r>
  </si>
  <si>
    <r>
      <rPr>
        <sz val="11"/>
        <rFont val="Calibri"/>
        <family val="2"/>
      </rPr>
      <t>DONMATÍAS</t>
    </r>
  </si>
  <si>
    <r>
      <rPr>
        <sz val="11"/>
        <rFont val="Calibri"/>
        <family val="2"/>
      </rPr>
      <t>SOPLAVIENTO</t>
    </r>
  </si>
  <si>
    <r>
      <rPr>
        <sz val="11"/>
        <rFont val="Calibri"/>
        <family val="2"/>
      </rPr>
      <t>GUATEQUE</t>
    </r>
  </si>
  <si>
    <r>
      <rPr>
        <sz val="11"/>
        <rFont val="Calibri"/>
        <family val="2"/>
      </rPr>
      <t>TORIBÍO</t>
    </r>
  </si>
  <si>
    <r>
      <rPr>
        <sz val="11"/>
        <rFont val="Calibri"/>
        <family val="2"/>
      </rPr>
      <t>GUADUAS</t>
    </r>
  </si>
  <si>
    <r>
      <rPr>
        <sz val="11"/>
        <rFont val="Calibri"/>
        <family val="2"/>
      </rPr>
      <t>NARIÑO</t>
    </r>
  </si>
  <si>
    <r>
      <rPr>
        <sz val="11"/>
        <rFont val="Calibri"/>
        <family val="2"/>
      </rPr>
      <t>VILLA DEL ROSARIO</t>
    </r>
  </si>
  <si>
    <r>
      <rPr>
        <sz val="11"/>
        <rFont val="Calibri"/>
        <family val="2"/>
      </rPr>
      <t>GUAVATÁ</t>
    </r>
  </si>
  <si>
    <r>
      <rPr>
        <sz val="11"/>
        <rFont val="Calibri"/>
        <family val="2"/>
      </rPr>
      <t>SAN LUIS</t>
    </r>
  </si>
  <si>
    <r>
      <rPr>
        <sz val="11"/>
        <rFont val="Calibri"/>
        <family val="2"/>
      </rPr>
      <t>YOTOCO</t>
    </r>
  </si>
  <si>
    <r>
      <rPr>
        <sz val="11"/>
        <rFont val="Calibri"/>
        <family val="2"/>
      </rPr>
      <t>EBÉJICO</t>
    </r>
  </si>
  <si>
    <r>
      <rPr>
        <sz val="11"/>
        <rFont val="Calibri"/>
        <family val="2"/>
      </rPr>
      <t>TALAIGUA NUEVO</t>
    </r>
  </si>
  <si>
    <r>
      <rPr>
        <sz val="11"/>
        <rFont val="Calibri"/>
        <family val="2"/>
      </rPr>
      <t>GUAYATÁ</t>
    </r>
  </si>
  <si>
    <r>
      <rPr>
        <sz val="11"/>
        <rFont val="Calibri"/>
        <family val="2"/>
      </rPr>
      <t>TOTORÓ</t>
    </r>
  </si>
  <si>
    <r>
      <rPr>
        <sz val="11"/>
        <rFont val="Calibri"/>
        <family val="2"/>
      </rPr>
      <t>GUASCA</t>
    </r>
  </si>
  <si>
    <r>
      <rPr>
        <sz val="11"/>
        <rFont val="Calibri"/>
        <family val="2"/>
      </rPr>
      <t>OLAYA HERRERA</t>
    </r>
  </si>
  <si>
    <r>
      <rPr>
        <sz val="11"/>
        <rFont val="Calibri"/>
        <family val="2"/>
      </rPr>
      <t>GÜEPSA</t>
    </r>
  </si>
  <si>
    <r>
      <rPr>
        <sz val="11"/>
        <rFont val="Calibri"/>
        <family val="2"/>
      </rPr>
      <t>SAN SEBASTIÁN DE MARIQUITA</t>
    </r>
  </si>
  <si>
    <r>
      <rPr>
        <sz val="11"/>
        <rFont val="Calibri"/>
        <family val="2"/>
      </rPr>
      <t>YUMBO</t>
    </r>
  </si>
  <si>
    <r>
      <rPr>
        <sz val="11"/>
        <rFont val="Calibri"/>
        <family val="2"/>
      </rPr>
      <t>EL BAGRE</t>
    </r>
  </si>
  <si>
    <r>
      <rPr>
        <sz val="11"/>
        <rFont val="Calibri"/>
        <family val="2"/>
      </rPr>
      <t>TIQUISIO</t>
    </r>
  </si>
  <si>
    <r>
      <rPr>
        <sz val="11"/>
        <rFont val="Calibri"/>
        <family val="2"/>
      </rPr>
      <t>GÜICÁN DE LA SIERRA</t>
    </r>
  </si>
  <si>
    <r>
      <rPr>
        <sz val="11"/>
        <rFont val="Calibri"/>
        <family val="2"/>
      </rPr>
      <t>VILLA RICA</t>
    </r>
  </si>
  <si>
    <r>
      <rPr>
        <sz val="11"/>
        <rFont val="Calibri"/>
        <family val="2"/>
      </rPr>
      <t>GUATAQUÍ</t>
    </r>
  </si>
  <si>
    <r>
      <rPr>
        <sz val="11"/>
        <rFont val="Calibri"/>
        <family val="2"/>
      </rPr>
      <t>OSPINA</t>
    </r>
  </si>
  <si>
    <r>
      <rPr>
        <sz val="11"/>
        <rFont val="Calibri"/>
        <family val="2"/>
      </rPr>
      <t>HATO</t>
    </r>
  </si>
  <si>
    <r>
      <rPr>
        <sz val="11"/>
        <rFont val="Calibri"/>
        <family val="2"/>
      </rPr>
      <t>SANTA ISABEL</t>
    </r>
  </si>
  <si>
    <r>
      <rPr>
        <sz val="11"/>
        <rFont val="Calibri"/>
        <family val="2"/>
      </rPr>
      <t>ZARZAL</t>
    </r>
  </si>
  <si>
    <r>
      <rPr>
        <sz val="11"/>
        <rFont val="Calibri"/>
        <family val="2"/>
      </rPr>
      <t>EL CARMEN DE VIBORAL</t>
    </r>
  </si>
  <si>
    <r>
      <rPr>
        <sz val="11"/>
        <rFont val="Calibri"/>
        <family val="2"/>
      </rPr>
      <t>TURBACO</t>
    </r>
  </si>
  <si>
    <r>
      <rPr>
        <sz val="11"/>
        <rFont val="Calibri"/>
        <family val="2"/>
      </rPr>
      <t>IZA</t>
    </r>
  </si>
  <si>
    <r>
      <rPr>
        <sz val="11"/>
        <rFont val="Calibri"/>
        <family val="2"/>
      </rPr>
      <t>GUATAVITA</t>
    </r>
  </si>
  <si>
    <r>
      <rPr>
        <sz val="11"/>
        <rFont val="Calibri"/>
        <family val="2"/>
      </rPr>
      <t>PASTO</t>
    </r>
  </si>
  <si>
    <r>
      <rPr>
        <sz val="11"/>
        <rFont val="Calibri"/>
        <family val="2"/>
      </rPr>
      <t>JESÚS MARÍA</t>
    </r>
  </si>
  <si>
    <r>
      <rPr>
        <sz val="11"/>
        <rFont val="Calibri"/>
        <family val="2"/>
      </rPr>
      <t>EL SANTUARIO</t>
    </r>
  </si>
  <si>
    <r>
      <rPr>
        <sz val="11"/>
        <rFont val="Calibri"/>
        <family val="2"/>
      </rPr>
      <t>TURBANÁ</t>
    </r>
  </si>
  <si>
    <r>
      <rPr>
        <sz val="11"/>
        <rFont val="Calibri"/>
        <family val="2"/>
      </rPr>
      <t>JENESANO</t>
    </r>
  </si>
  <si>
    <r>
      <rPr>
        <sz val="11"/>
        <rFont val="Calibri"/>
        <family val="2"/>
      </rPr>
      <t>GUAYABAL DE SÍQUIMA</t>
    </r>
  </si>
  <si>
    <r>
      <rPr>
        <sz val="11"/>
        <rFont val="Calibri"/>
        <family val="2"/>
      </rPr>
      <t>POLICARPA</t>
    </r>
  </si>
  <si>
    <r>
      <rPr>
        <sz val="11"/>
        <rFont val="Calibri"/>
        <family val="2"/>
      </rPr>
      <t>JORDÁN</t>
    </r>
  </si>
  <si>
    <r>
      <rPr>
        <sz val="11"/>
        <rFont val="Calibri"/>
        <family val="2"/>
      </rPr>
      <t>VALLE DE SAN JUAN</t>
    </r>
  </si>
  <si>
    <r>
      <rPr>
        <sz val="11"/>
        <rFont val="Calibri"/>
        <family val="2"/>
      </rPr>
      <t>ENTRERRÍOS</t>
    </r>
  </si>
  <si>
    <r>
      <rPr>
        <sz val="11"/>
        <rFont val="Calibri"/>
        <family val="2"/>
      </rPr>
      <t>JERICÓ</t>
    </r>
  </si>
  <si>
    <r>
      <rPr>
        <sz val="11"/>
        <rFont val="Calibri"/>
        <family val="2"/>
      </rPr>
      <t>GUAYABETAL</t>
    </r>
  </si>
  <si>
    <r>
      <rPr>
        <sz val="11"/>
        <rFont val="Calibri"/>
        <family val="2"/>
      </rPr>
      <t>POTOSÍ</t>
    </r>
  </si>
  <si>
    <r>
      <rPr>
        <sz val="11"/>
        <rFont val="Calibri"/>
        <family val="2"/>
      </rPr>
      <t>LA BELLEZA</t>
    </r>
  </si>
  <si>
    <r>
      <rPr>
        <sz val="11"/>
        <rFont val="Calibri"/>
        <family val="2"/>
      </rPr>
      <t>VENADILLO</t>
    </r>
  </si>
  <si>
    <r>
      <rPr>
        <sz val="11"/>
        <rFont val="Calibri"/>
        <family val="2"/>
      </rPr>
      <t>ENVIGADO</t>
    </r>
  </si>
  <si>
    <r>
      <rPr>
        <sz val="11"/>
        <rFont val="Calibri"/>
        <family val="2"/>
      </rPr>
      <t>ZAMBRANO</t>
    </r>
  </si>
  <si>
    <r>
      <rPr>
        <sz val="11"/>
        <rFont val="Calibri"/>
        <family val="2"/>
      </rPr>
      <t>LA CAPILLA</t>
    </r>
  </si>
  <si>
    <r>
      <rPr>
        <sz val="11"/>
        <rFont val="Calibri"/>
        <family val="2"/>
      </rPr>
      <t>GUTIÉRREZ</t>
    </r>
  </si>
  <si>
    <r>
      <rPr>
        <sz val="11"/>
        <rFont val="Calibri"/>
        <family val="2"/>
      </rPr>
      <t>VILLAHERMOSA</t>
    </r>
  </si>
  <si>
    <r>
      <rPr>
        <sz val="11"/>
        <rFont val="Calibri"/>
        <family val="2"/>
      </rPr>
      <t>FREDONIA</t>
    </r>
  </si>
  <si>
    <r>
      <rPr>
        <sz val="11"/>
        <rFont val="Calibri"/>
        <family val="2"/>
      </rPr>
      <t>LA UVITA</t>
    </r>
  </si>
  <si>
    <r>
      <rPr>
        <sz val="11"/>
        <rFont val="Calibri"/>
        <family val="2"/>
      </rPr>
      <t>JERUSALÉN</t>
    </r>
  </si>
  <si>
    <r>
      <rPr>
        <sz val="11"/>
        <rFont val="Calibri"/>
        <family val="2"/>
      </rPr>
      <t>PUERRES</t>
    </r>
  </si>
  <si>
    <r>
      <rPr>
        <sz val="11"/>
        <rFont val="Calibri"/>
        <family val="2"/>
      </rPr>
      <t>LANDÁZURI</t>
    </r>
  </si>
  <si>
    <r>
      <rPr>
        <sz val="11"/>
        <rFont val="Calibri"/>
        <family val="2"/>
      </rPr>
      <t>VILLARRICA</t>
    </r>
  </si>
  <si>
    <r>
      <rPr>
        <sz val="11"/>
        <rFont val="Calibri"/>
        <family val="2"/>
      </rPr>
      <t>FRONTINO</t>
    </r>
  </si>
  <si>
    <r>
      <rPr>
        <sz val="11"/>
        <rFont val="Calibri"/>
        <family val="2"/>
      </rPr>
      <t>JUNÍN</t>
    </r>
  </si>
  <si>
    <r>
      <rPr>
        <sz val="11"/>
        <rFont val="Calibri"/>
        <family val="2"/>
      </rPr>
      <t>PUPIALES</t>
    </r>
  </si>
  <si>
    <r>
      <rPr>
        <sz val="11"/>
        <rFont val="Calibri"/>
        <family val="2"/>
      </rPr>
      <t>LEBRIJA</t>
    </r>
  </si>
  <si>
    <r>
      <rPr>
        <sz val="11"/>
        <rFont val="Calibri"/>
        <family val="2"/>
      </rPr>
      <t>GIRALDO</t>
    </r>
  </si>
  <si>
    <r>
      <rPr>
        <sz val="11"/>
        <rFont val="Calibri"/>
        <family val="2"/>
      </rPr>
      <t>LABRANZAGRANDE</t>
    </r>
  </si>
  <si>
    <r>
      <rPr>
        <sz val="11"/>
        <rFont val="Calibri"/>
        <family val="2"/>
      </rPr>
      <t>LA CALERA</t>
    </r>
  </si>
  <si>
    <r>
      <rPr>
        <sz val="11"/>
        <rFont val="Calibri"/>
        <family val="2"/>
      </rPr>
      <t>RICAURTE</t>
    </r>
  </si>
  <si>
    <r>
      <rPr>
        <sz val="11"/>
        <rFont val="Calibri"/>
        <family val="2"/>
      </rPr>
      <t>LOS SANTOS</t>
    </r>
  </si>
  <si>
    <r>
      <rPr>
        <sz val="11"/>
        <rFont val="Calibri"/>
        <family val="2"/>
      </rPr>
      <t>GIRARDOTA</t>
    </r>
  </si>
  <si>
    <r>
      <rPr>
        <sz val="11"/>
        <rFont val="Calibri"/>
        <family val="2"/>
      </rPr>
      <t>MACANAL</t>
    </r>
  </si>
  <si>
    <r>
      <rPr>
        <sz val="11"/>
        <rFont val="Calibri"/>
        <family val="2"/>
      </rPr>
      <t>LA MESA</t>
    </r>
  </si>
  <si>
    <r>
      <rPr>
        <sz val="11"/>
        <rFont val="Calibri"/>
        <family val="2"/>
      </rPr>
      <t>ROBERTO PAYÁN</t>
    </r>
  </si>
  <si>
    <r>
      <rPr>
        <sz val="11"/>
        <rFont val="Calibri"/>
        <family val="2"/>
      </rPr>
      <t>MACARAVITA</t>
    </r>
  </si>
  <si>
    <r>
      <rPr>
        <sz val="11"/>
        <rFont val="Calibri"/>
        <family val="2"/>
      </rPr>
      <t>GÓMEZ PLATA</t>
    </r>
  </si>
  <si>
    <r>
      <rPr>
        <sz val="11"/>
        <rFont val="Calibri"/>
        <family val="2"/>
      </rPr>
      <t>MARIPÍ</t>
    </r>
  </si>
  <si>
    <r>
      <rPr>
        <sz val="11"/>
        <rFont val="Calibri"/>
        <family val="2"/>
      </rPr>
      <t>LA PALMA</t>
    </r>
  </si>
  <si>
    <r>
      <rPr>
        <sz val="11"/>
        <rFont val="Calibri"/>
        <family val="2"/>
      </rPr>
      <t>SAMANIEGO</t>
    </r>
  </si>
  <si>
    <r>
      <rPr>
        <sz val="11"/>
        <rFont val="Calibri"/>
        <family val="2"/>
      </rPr>
      <t>MÁLAGA</t>
    </r>
  </si>
  <si>
    <r>
      <rPr>
        <sz val="11"/>
        <rFont val="Calibri"/>
        <family val="2"/>
      </rPr>
      <t>LA PEÑA</t>
    </r>
  </si>
  <si>
    <r>
      <rPr>
        <sz val="11"/>
        <rFont val="Calibri"/>
        <family val="2"/>
      </rPr>
      <t>SAN ANDRÉS DE TUMACO</t>
    </r>
  </si>
  <si>
    <r>
      <rPr>
        <sz val="11"/>
        <rFont val="Calibri"/>
        <family val="2"/>
      </rPr>
      <t>MATANZA</t>
    </r>
  </si>
  <si>
    <r>
      <rPr>
        <sz val="11"/>
        <rFont val="Calibri"/>
        <family val="2"/>
      </rPr>
      <t>MONGUA</t>
    </r>
  </si>
  <si>
    <r>
      <rPr>
        <sz val="11"/>
        <rFont val="Calibri"/>
        <family val="2"/>
      </rPr>
      <t>SAN BERNARDO</t>
    </r>
  </si>
  <si>
    <r>
      <rPr>
        <sz val="11"/>
        <rFont val="Calibri"/>
        <family val="2"/>
      </rPr>
      <t>MOGOTES</t>
    </r>
  </si>
  <si>
    <r>
      <rPr>
        <sz val="11"/>
        <rFont val="Calibri"/>
        <family val="2"/>
      </rPr>
      <t>GUARNE</t>
    </r>
  </si>
  <si>
    <r>
      <rPr>
        <sz val="11"/>
        <rFont val="Calibri"/>
        <family val="2"/>
      </rPr>
      <t>MONGUÍ</t>
    </r>
  </si>
  <si>
    <r>
      <rPr>
        <sz val="11"/>
        <rFont val="Calibri"/>
        <family val="2"/>
      </rPr>
      <t>LENGUAZAQUE</t>
    </r>
  </si>
  <si>
    <r>
      <rPr>
        <sz val="11"/>
        <rFont val="Calibri"/>
        <family val="2"/>
      </rPr>
      <t>SAN LORENZO</t>
    </r>
  </si>
  <si>
    <r>
      <rPr>
        <sz val="11"/>
        <rFont val="Calibri"/>
        <family val="2"/>
      </rPr>
      <t>MOLAGAVITA</t>
    </r>
  </si>
  <si>
    <r>
      <rPr>
        <sz val="11"/>
        <rFont val="Calibri"/>
        <family val="2"/>
      </rPr>
      <t>GUATAPÉ</t>
    </r>
  </si>
  <si>
    <r>
      <rPr>
        <sz val="11"/>
        <rFont val="Calibri"/>
        <family val="2"/>
      </rPr>
      <t>MONIQUIRÁ</t>
    </r>
  </si>
  <si>
    <r>
      <rPr>
        <sz val="11"/>
        <rFont val="Calibri"/>
        <family val="2"/>
      </rPr>
      <t>MACHETÁ</t>
    </r>
  </si>
  <si>
    <r>
      <rPr>
        <sz val="11"/>
        <rFont val="Calibri"/>
        <family val="2"/>
      </rPr>
      <t>OCAMONTE</t>
    </r>
  </si>
  <si>
    <r>
      <rPr>
        <sz val="11"/>
        <rFont val="Calibri"/>
        <family val="2"/>
      </rPr>
      <t>HELICONIA</t>
    </r>
  </si>
  <si>
    <r>
      <rPr>
        <sz val="11"/>
        <rFont val="Calibri"/>
        <family val="2"/>
      </rPr>
      <t>MOTAVITA</t>
    </r>
  </si>
  <si>
    <r>
      <rPr>
        <sz val="11"/>
        <rFont val="Calibri"/>
        <family val="2"/>
      </rPr>
      <t>MADRID</t>
    </r>
  </si>
  <si>
    <r>
      <rPr>
        <sz val="11"/>
        <rFont val="Calibri"/>
        <family val="2"/>
      </rPr>
      <t>SAN PEDRO DE CARTAGO</t>
    </r>
  </si>
  <si>
    <r>
      <rPr>
        <sz val="11"/>
        <rFont val="Calibri"/>
        <family val="2"/>
      </rPr>
      <t>OIBA</t>
    </r>
  </si>
  <si>
    <r>
      <rPr>
        <sz val="11"/>
        <rFont val="Calibri"/>
        <family val="2"/>
      </rPr>
      <t>HISPANIA</t>
    </r>
  </si>
  <si>
    <r>
      <rPr>
        <sz val="11"/>
        <rFont val="Calibri"/>
        <family val="2"/>
      </rPr>
      <t>MUZO</t>
    </r>
  </si>
  <si>
    <r>
      <rPr>
        <sz val="11"/>
        <rFont val="Calibri"/>
        <family val="2"/>
      </rPr>
      <t>MANTA</t>
    </r>
  </si>
  <si>
    <r>
      <rPr>
        <sz val="11"/>
        <rFont val="Calibri"/>
        <family val="2"/>
      </rPr>
      <t>SANDONÁ</t>
    </r>
  </si>
  <si>
    <r>
      <rPr>
        <sz val="11"/>
        <rFont val="Calibri"/>
        <family val="2"/>
      </rPr>
      <t>ONZAGA</t>
    </r>
  </si>
  <si>
    <r>
      <rPr>
        <sz val="11"/>
        <rFont val="Calibri"/>
        <family val="2"/>
      </rPr>
      <t>ITAGÜÍ</t>
    </r>
  </si>
  <si>
    <r>
      <rPr>
        <sz val="11"/>
        <rFont val="Calibri"/>
        <family val="2"/>
      </rPr>
      <t>NOBSA</t>
    </r>
  </si>
  <si>
    <r>
      <rPr>
        <sz val="11"/>
        <rFont val="Calibri"/>
        <family val="2"/>
      </rPr>
      <t>MEDINA</t>
    </r>
  </si>
  <si>
    <r>
      <rPr>
        <sz val="11"/>
        <rFont val="Calibri"/>
        <family val="2"/>
      </rPr>
      <t>SANTA BÁRBARA</t>
    </r>
  </si>
  <si>
    <r>
      <rPr>
        <sz val="11"/>
        <rFont val="Calibri"/>
        <family val="2"/>
      </rPr>
      <t>PALMAR</t>
    </r>
  </si>
  <si>
    <r>
      <rPr>
        <sz val="11"/>
        <rFont val="Calibri"/>
        <family val="2"/>
      </rPr>
      <t>ITUANGO</t>
    </r>
  </si>
  <si>
    <r>
      <rPr>
        <sz val="11"/>
        <rFont val="Calibri"/>
        <family val="2"/>
      </rPr>
      <t>NUEVO COLÓN</t>
    </r>
  </si>
  <si>
    <r>
      <rPr>
        <sz val="11"/>
        <rFont val="Calibri"/>
        <family val="2"/>
      </rPr>
      <t>SANTACRUZ</t>
    </r>
  </si>
  <si>
    <r>
      <rPr>
        <sz val="11"/>
        <rFont val="Calibri"/>
        <family val="2"/>
      </rPr>
      <t>PALMAS DEL SOCORRO</t>
    </r>
  </si>
  <si>
    <r>
      <rPr>
        <sz val="11"/>
        <rFont val="Calibri"/>
        <family val="2"/>
      </rPr>
      <t>JARDÍN</t>
    </r>
  </si>
  <si>
    <r>
      <rPr>
        <sz val="11"/>
        <rFont val="Calibri"/>
        <family val="2"/>
      </rPr>
      <t>OICATÁ</t>
    </r>
  </si>
  <si>
    <r>
      <rPr>
        <sz val="11"/>
        <rFont val="Calibri"/>
        <family val="2"/>
      </rPr>
      <t>SAPUYES</t>
    </r>
  </si>
  <si>
    <r>
      <rPr>
        <sz val="11"/>
        <rFont val="Calibri"/>
        <family val="2"/>
      </rPr>
      <t>PÁRAMO</t>
    </r>
  </si>
  <si>
    <r>
      <rPr>
        <sz val="11"/>
        <rFont val="Calibri"/>
        <family val="2"/>
      </rPr>
      <t>OTANCHE</t>
    </r>
  </si>
  <si>
    <r>
      <rPr>
        <sz val="11"/>
        <rFont val="Calibri"/>
        <family val="2"/>
      </rPr>
      <t>NEMOCÓN</t>
    </r>
  </si>
  <si>
    <r>
      <rPr>
        <sz val="11"/>
        <rFont val="Calibri"/>
        <family val="2"/>
      </rPr>
      <t>TAMINANGO</t>
    </r>
  </si>
  <si>
    <r>
      <rPr>
        <sz val="11"/>
        <rFont val="Calibri"/>
        <family val="2"/>
      </rPr>
      <t>PIEDECUESTA</t>
    </r>
  </si>
  <si>
    <r>
      <rPr>
        <sz val="11"/>
        <rFont val="Calibri"/>
        <family val="2"/>
      </rPr>
      <t>LA CEJA</t>
    </r>
  </si>
  <si>
    <r>
      <rPr>
        <sz val="11"/>
        <rFont val="Calibri"/>
        <family val="2"/>
      </rPr>
      <t>PACHAVITA</t>
    </r>
  </si>
  <si>
    <r>
      <rPr>
        <sz val="11"/>
        <rFont val="Calibri"/>
        <family val="2"/>
      </rPr>
      <t>NILO</t>
    </r>
  </si>
  <si>
    <r>
      <rPr>
        <sz val="11"/>
        <rFont val="Calibri"/>
        <family val="2"/>
      </rPr>
      <t>TANGUA</t>
    </r>
  </si>
  <si>
    <r>
      <rPr>
        <sz val="11"/>
        <rFont val="Calibri"/>
        <family val="2"/>
      </rPr>
      <t>PINCHOTE</t>
    </r>
  </si>
  <si>
    <r>
      <rPr>
        <sz val="11"/>
        <rFont val="Calibri"/>
        <family val="2"/>
      </rPr>
      <t>LA ESTRELLA</t>
    </r>
  </si>
  <si>
    <r>
      <rPr>
        <sz val="11"/>
        <rFont val="Calibri"/>
        <family val="2"/>
      </rPr>
      <t>NIMAIMA</t>
    </r>
  </si>
  <si>
    <r>
      <rPr>
        <sz val="11"/>
        <rFont val="Calibri"/>
        <family val="2"/>
      </rPr>
      <t>TÚQUERRES</t>
    </r>
  </si>
  <si>
    <r>
      <rPr>
        <sz val="11"/>
        <rFont val="Calibri"/>
        <family val="2"/>
      </rPr>
      <t>PUENTE NACIONAL</t>
    </r>
  </si>
  <si>
    <r>
      <rPr>
        <sz val="11"/>
        <rFont val="Calibri"/>
        <family val="2"/>
      </rPr>
      <t>LA PINTADA</t>
    </r>
  </si>
  <si>
    <r>
      <rPr>
        <sz val="11"/>
        <rFont val="Calibri"/>
        <family val="2"/>
      </rPr>
      <t>PAIPA</t>
    </r>
  </si>
  <si>
    <r>
      <rPr>
        <sz val="11"/>
        <rFont val="Calibri"/>
        <family val="2"/>
      </rPr>
      <t>NOCAIMA</t>
    </r>
  </si>
  <si>
    <r>
      <rPr>
        <sz val="11"/>
        <rFont val="Calibri"/>
        <family val="2"/>
      </rPr>
      <t>YACUANQUER</t>
    </r>
  </si>
  <si>
    <r>
      <rPr>
        <sz val="11"/>
        <rFont val="Calibri"/>
        <family val="2"/>
      </rPr>
      <t>PUERTO PARRA</t>
    </r>
  </si>
  <si>
    <r>
      <rPr>
        <sz val="11"/>
        <rFont val="Calibri"/>
        <family val="2"/>
      </rPr>
      <t>PAJARITO</t>
    </r>
  </si>
  <si>
    <r>
      <rPr>
        <sz val="11"/>
        <rFont val="Calibri"/>
        <family val="2"/>
      </rPr>
      <t>PACHO</t>
    </r>
  </si>
  <si>
    <r>
      <rPr>
        <sz val="11"/>
        <rFont val="Calibri"/>
        <family val="2"/>
      </rPr>
      <t>PUERTO WILCHES</t>
    </r>
  </si>
  <si>
    <r>
      <rPr>
        <sz val="11"/>
        <rFont val="Calibri"/>
        <family val="2"/>
      </rPr>
      <t>LIBORINA</t>
    </r>
  </si>
  <si>
    <r>
      <rPr>
        <sz val="11"/>
        <rFont val="Calibri"/>
        <family val="2"/>
      </rPr>
      <t>PANQUEBA</t>
    </r>
  </si>
  <si>
    <r>
      <rPr>
        <sz val="11"/>
        <rFont val="Calibri"/>
        <family val="2"/>
      </rPr>
      <t>PAIME</t>
    </r>
  </si>
  <si>
    <r>
      <rPr>
        <sz val="11"/>
        <rFont val="Calibri"/>
        <family val="2"/>
      </rPr>
      <t>RIONEGRO</t>
    </r>
  </si>
  <si>
    <r>
      <rPr>
        <sz val="11"/>
        <rFont val="Calibri"/>
        <family val="2"/>
      </rPr>
      <t>MACEO</t>
    </r>
  </si>
  <si>
    <r>
      <rPr>
        <sz val="11"/>
        <rFont val="Calibri"/>
        <family val="2"/>
      </rPr>
      <t>PAUNA</t>
    </r>
  </si>
  <si>
    <r>
      <rPr>
        <sz val="11"/>
        <rFont val="Calibri"/>
        <family val="2"/>
      </rPr>
      <t>PANDI</t>
    </r>
  </si>
  <si>
    <r>
      <rPr>
        <sz val="11"/>
        <rFont val="Calibri"/>
        <family val="2"/>
      </rPr>
      <t>SABANA DE TORRES</t>
    </r>
  </si>
  <si>
    <r>
      <rPr>
        <sz val="11"/>
        <rFont val="Calibri"/>
        <family val="2"/>
      </rPr>
      <t>MARINILLA</t>
    </r>
  </si>
  <si>
    <r>
      <rPr>
        <sz val="11"/>
        <rFont val="Calibri"/>
        <family val="2"/>
      </rPr>
      <t>PAYA</t>
    </r>
  </si>
  <si>
    <r>
      <rPr>
        <sz val="11"/>
        <rFont val="Calibri"/>
        <family val="2"/>
      </rPr>
      <t>PARATEBUENO</t>
    </r>
  </si>
  <si>
    <r>
      <rPr>
        <sz val="11"/>
        <rFont val="Calibri"/>
        <family val="2"/>
      </rPr>
      <t>MEDELLÍN</t>
    </r>
  </si>
  <si>
    <r>
      <rPr>
        <sz val="11"/>
        <rFont val="Calibri"/>
        <family val="2"/>
      </rPr>
      <t>PAZ DE RÍO</t>
    </r>
  </si>
  <si>
    <r>
      <rPr>
        <sz val="11"/>
        <rFont val="Calibri"/>
        <family val="2"/>
      </rPr>
      <t>PASCA</t>
    </r>
  </si>
  <si>
    <r>
      <rPr>
        <sz val="11"/>
        <rFont val="Calibri"/>
        <family val="2"/>
      </rPr>
      <t>SAN BENITO</t>
    </r>
  </si>
  <si>
    <r>
      <rPr>
        <sz val="11"/>
        <rFont val="Calibri"/>
        <family val="2"/>
      </rPr>
      <t>MONTEBELLO</t>
    </r>
  </si>
  <si>
    <r>
      <rPr>
        <sz val="11"/>
        <rFont val="Calibri"/>
        <family val="2"/>
      </rPr>
      <t>PESCA</t>
    </r>
  </si>
  <si>
    <r>
      <rPr>
        <sz val="11"/>
        <rFont val="Calibri"/>
        <family val="2"/>
      </rPr>
      <t>PUERTO SALGAR</t>
    </r>
  </si>
  <si>
    <r>
      <rPr>
        <sz val="11"/>
        <rFont val="Calibri"/>
        <family val="2"/>
      </rPr>
      <t>SAN GIL</t>
    </r>
  </si>
  <si>
    <r>
      <rPr>
        <sz val="11"/>
        <rFont val="Calibri"/>
        <family val="2"/>
      </rPr>
      <t>MURINDÓ</t>
    </r>
  </si>
  <si>
    <r>
      <rPr>
        <sz val="11"/>
        <rFont val="Calibri"/>
        <family val="2"/>
      </rPr>
      <t>PISBA</t>
    </r>
  </si>
  <si>
    <r>
      <rPr>
        <sz val="11"/>
        <rFont val="Calibri"/>
        <family val="2"/>
      </rPr>
      <t>PULÍ</t>
    </r>
  </si>
  <si>
    <r>
      <rPr>
        <sz val="11"/>
        <rFont val="Calibri"/>
        <family val="2"/>
      </rPr>
      <t>SAN JOAQUÍN</t>
    </r>
  </si>
  <si>
    <r>
      <rPr>
        <sz val="11"/>
        <rFont val="Calibri"/>
        <family val="2"/>
      </rPr>
      <t>MUTATÁ</t>
    </r>
  </si>
  <si>
    <r>
      <rPr>
        <sz val="11"/>
        <rFont val="Calibri"/>
        <family val="2"/>
      </rPr>
      <t>PUERTO BOYACÁ</t>
    </r>
  </si>
  <si>
    <r>
      <rPr>
        <sz val="11"/>
        <rFont val="Calibri"/>
        <family val="2"/>
      </rPr>
      <t>QUEBRADANEGRA</t>
    </r>
  </si>
  <si>
    <r>
      <rPr>
        <sz val="11"/>
        <rFont val="Calibri"/>
        <family val="2"/>
      </rPr>
      <t>SAN JOSÉ DE MIRANDA</t>
    </r>
  </si>
  <si>
    <r>
      <rPr>
        <sz val="11"/>
        <rFont val="Calibri"/>
        <family val="2"/>
      </rPr>
      <t>QUÍPAMA</t>
    </r>
  </si>
  <si>
    <r>
      <rPr>
        <sz val="11"/>
        <rFont val="Calibri"/>
        <family val="2"/>
      </rPr>
      <t>QUETAME</t>
    </r>
  </si>
  <si>
    <r>
      <rPr>
        <sz val="11"/>
        <rFont val="Calibri"/>
        <family val="2"/>
      </rPr>
      <t>NECHÍ</t>
    </r>
  </si>
  <si>
    <r>
      <rPr>
        <sz val="11"/>
        <rFont val="Calibri"/>
        <family val="2"/>
      </rPr>
      <t>RAMIRIQUÍ</t>
    </r>
  </si>
  <si>
    <r>
      <rPr>
        <sz val="11"/>
        <rFont val="Calibri"/>
        <family val="2"/>
      </rPr>
      <t>QUIPILE</t>
    </r>
  </si>
  <si>
    <r>
      <rPr>
        <sz val="11"/>
        <rFont val="Calibri"/>
        <family val="2"/>
      </rPr>
      <t>SAN VICENTE DE CHUCURÍ</t>
    </r>
  </si>
  <si>
    <r>
      <rPr>
        <sz val="11"/>
        <rFont val="Calibri"/>
        <family val="2"/>
      </rPr>
      <t>NECOCLÍ</t>
    </r>
  </si>
  <si>
    <r>
      <rPr>
        <sz val="11"/>
        <rFont val="Calibri"/>
        <family val="2"/>
      </rPr>
      <t>RÁQUIRA</t>
    </r>
  </si>
  <si>
    <r>
      <rPr>
        <sz val="11"/>
        <rFont val="Calibri"/>
        <family val="2"/>
      </rPr>
      <t>OLAYA</t>
    </r>
  </si>
  <si>
    <r>
      <rPr>
        <sz val="11"/>
        <rFont val="Calibri"/>
        <family val="2"/>
      </rPr>
      <t>RONDÓN</t>
    </r>
  </si>
  <si>
    <r>
      <rPr>
        <sz val="11"/>
        <rFont val="Calibri"/>
        <family val="2"/>
      </rPr>
      <t>SAN ANTONIO DEL TEQUENDAMA</t>
    </r>
  </si>
  <si>
    <r>
      <rPr>
        <sz val="11"/>
        <rFont val="Calibri"/>
        <family val="2"/>
      </rPr>
      <t>SANTA HELENA DEL OPÓN</t>
    </r>
  </si>
  <si>
    <r>
      <rPr>
        <sz val="11"/>
        <rFont val="Calibri"/>
        <family val="2"/>
      </rPr>
      <t>PEÑOL</t>
    </r>
  </si>
  <si>
    <r>
      <rPr>
        <sz val="11"/>
        <rFont val="Calibri"/>
        <family val="2"/>
      </rPr>
      <t>SABOYÁ</t>
    </r>
  </si>
  <si>
    <r>
      <rPr>
        <sz val="11"/>
        <rFont val="Calibri"/>
        <family val="2"/>
      </rPr>
      <t>SIMACOTA</t>
    </r>
  </si>
  <si>
    <r>
      <rPr>
        <sz val="11"/>
        <rFont val="Calibri"/>
        <family val="2"/>
      </rPr>
      <t>PEQUE</t>
    </r>
  </si>
  <si>
    <r>
      <rPr>
        <sz val="11"/>
        <rFont val="Calibri"/>
        <family val="2"/>
      </rPr>
      <t>SÁCHICA</t>
    </r>
  </si>
  <si>
    <r>
      <rPr>
        <sz val="11"/>
        <rFont val="Calibri"/>
        <family val="2"/>
      </rPr>
      <t>SOCORRO</t>
    </r>
  </si>
  <si>
    <r>
      <rPr>
        <sz val="11"/>
        <rFont val="Calibri"/>
        <family val="2"/>
      </rPr>
      <t>PUEBLORRICO</t>
    </r>
  </si>
  <si>
    <r>
      <rPr>
        <sz val="11"/>
        <rFont val="Calibri"/>
        <family val="2"/>
      </rPr>
      <t>SAMACÁ</t>
    </r>
  </si>
  <si>
    <r>
      <rPr>
        <sz val="11"/>
        <rFont val="Calibri"/>
        <family val="2"/>
      </rPr>
      <t>SUAITA</t>
    </r>
  </si>
  <si>
    <r>
      <rPr>
        <sz val="11"/>
        <rFont val="Calibri"/>
        <family val="2"/>
      </rPr>
      <t>PUERTO BERRÍO</t>
    </r>
  </si>
  <si>
    <r>
      <rPr>
        <sz val="11"/>
        <rFont val="Calibri"/>
        <family val="2"/>
      </rPr>
      <t>SAN EDUARDO</t>
    </r>
  </si>
  <si>
    <r>
      <rPr>
        <sz val="11"/>
        <rFont val="Calibri"/>
        <family val="2"/>
      </rPr>
      <t>SAN JUAN DE RIOSECO</t>
    </r>
  </si>
  <si>
    <r>
      <rPr>
        <sz val="11"/>
        <rFont val="Calibri"/>
        <family val="2"/>
      </rPr>
      <t>PUERTO NARE</t>
    </r>
  </si>
  <si>
    <r>
      <rPr>
        <sz val="11"/>
        <rFont val="Calibri"/>
        <family val="2"/>
      </rPr>
      <t>SAN JOSÉ DE PARE</t>
    </r>
  </si>
  <si>
    <r>
      <rPr>
        <sz val="11"/>
        <rFont val="Calibri"/>
        <family val="2"/>
      </rPr>
      <t>SASAIMA</t>
    </r>
  </si>
  <si>
    <r>
      <rPr>
        <sz val="11"/>
        <rFont val="Calibri"/>
        <family val="2"/>
      </rPr>
      <t>SURATÁ</t>
    </r>
  </si>
  <si>
    <r>
      <rPr>
        <sz val="11"/>
        <rFont val="Calibri"/>
        <family val="2"/>
      </rPr>
      <t>PUERTO TRIUNFO</t>
    </r>
  </si>
  <si>
    <r>
      <rPr>
        <sz val="11"/>
        <rFont val="Calibri"/>
        <family val="2"/>
      </rPr>
      <t>SAN LUIS DE GACENO</t>
    </r>
  </si>
  <si>
    <r>
      <rPr>
        <sz val="11"/>
        <rFont val="Calibri"/>
        <family val="2"/>
      </rPr>
      <t>SESQUILÉ</t>
    </r>
  </si>
  <si>
    <r>
      <rPr>
        <sz val="11"/>
        <rFont val="Calibri"/>
        <family val="2"/>
      </rPr>
      <t>TONA</t>
    </r>
  </si>
  <si>
    <r>
      <rPr>
        <sz val="11"/>
        <rFont val="Calibri"/>
        <family val="2"/>
      </rPr>
      <t>REMEDIOS</t>
    </r>
  </si>
  <si>
    <r>
      <rPr>
        <sz val="11"/>
        <rFont val="Calibri"/>
        <family val="2"/>
      </rPr>
      <t>SAN MATEO</t>
    </r>
  </si>
  <si>
    <r>
      <rPr>
        <sz val="11"/>
        <rFont val="Calibri"/>
        <family val="2"/>
      </rPr>
      <t>SIBATÉ</t>
    </r>
  </si>
  <si>
    <r>
      <rPr>
        <sz val="11"/>
        <rFont val="Calibri"/>
        <family val="2"/>
      </rPr>
      <t>VALLE DE SAN JOSÉ</t>
    </r>
  </si>
  <si>
    <r>
      <rPr>
        <sz val="11"/>
        <rFont val="Calibri"/>
        <family val="2"/>
      </rPr>
      <t>RETIRO</t>
    </r>
  </si>
  <si>
    <r>
      <rPr>
        <sz val="11"/>
        <rFont val="Calibri"/>
        <family val="2"/>
      </rPr>
      <t>SAN MIGUEL DE SEMA</t>
    </r>
  </si>
  <si>
    <r>
      <rPr>
        <sz val="11"/>
        <rFont val="Calibri"/>
        <family val="2"/>
      </rPr>
      <t>SILVANIA</t>
    </r>
  </si>
  <si>
    <r>
      <rPr>
        <sz val="11"/>
        <rFont val="Calibri"/>
        <family val="2"/>
      </rPr>
      <t>VÉLEZ</t>
    </r>
  </si>
  <si>
    <r>
      <rPr>
        <sz val="11"/>
        <rFont val="Calibri"/>
        <family val="2"/>
      </rPr>
      <t>SAN PABLO DE BORBUR</t>
    </r>
  </si>
  <si>
    <r>
      <rPr>
        <sz val="11"/>
        <rFont val="Calibri"/>
        <family val="2"/>
      </rPr>
      <t>SIMIJACA</t>
    </r>
  </si>
  <si>
    <r>
      <rPr>
        <sz val="11"/>
        <rFont val="Calibri"/>
        <family val="2"/>
      </rPr>
      <t>VETAS</t>
    </r>
  </si>
  <si>
    <r>
      <rPr>
        <sz val="11"/>
        <rFont val="Calibri"/>
        <family val="2"/>
      </rPr>
      <t>SOACHA</t>
    </r>
  </si>
  <si>
    <r>
      <rPr>
        <sz val="11"/>
        <rFont val="Calibri"/>
        <family val="2"/>
      </rPr>
      <t>SABANETA</t>
    </r>
  </si>
  <si>
    <r>
      <rPr>
        <sz val="11"/>
        <rFont val="Calibri"/>
        <family val="2"/>
      </rPr>
      <t>SANTA ROSA DE VITERBO</t>
    </r>
  </si>
  <si>
    <r>
      <rPr>
        <sz val="11"/>
        <rFont val="Calibri"/>
        <family val="2"/>
      </rPr>
      <t>SOPÓ</t>
    </r>
  </si>
  <si>
    <r>
      <rPr>
        <sz val="11"/>
        <rFont val="Calibri"/>
        <family val="2"/>
      </rPr>
      <t>ZAPATOCA</t>
    </r>
  </si>
  <si>
    <r>
      <rPr>
        <sz val="11"/>
        <rFont val="Calibri"/>
        <family val="2"/>
      </rPr>
      <t>SALGAR</t>
    </r>
  </si>
  <si>
    <r>
      <rPr>
        <sz val="11"/>
        <rFont val="Calibri"/>
        <family val="2"/>
      </rPr>
      <t>SANTA SOFÍA</t>
    </r>
  </si>
  <si>
    <r>
      <rPr>
        <sz val="11"/>
        <rFont val="Calibri"/>
        <family val="2"/>
      </rPr>
      <t>SUBACHOQUE</t>
    </r>
  </si>
  <si>
    <r>
      <rPr>
        <sz val="11"/>
        <rFont val="Calibri"/>
        <family val="2"/>
      </rPr>
      <t>SAN ANDRÉS DE CUERQUÍA</t>
    </r>
  </si>
  <si>
    <r>
      <rPr>
        <sz val="11"/>
        <rFont val="Calibri"/>
        <family val="2"/>
      </rPr>
      <t>SANTANA</t>
    </r>
  </si>
  <si>
    <r>
      <rPr>
        <sz val="11"/>
        <rFont val="Calibri"/>
        <family val="2"/>
      </rPr>
      <t>SUESCA</t>
    </r>
  </si>
  <si>
    <r>
      <rPr>
        <sz val="11"/>
        <rFont val="Calibri"/>
        <family val="2"/>
      </rPr>
      <t>SATIVANORTE</t>
    </r>
  </si>
  <si>
    <r>
      <rPr>
        <sz val="11"/>
        <rFont val="Calibri"/>
        <family val="2"/>
      </rPr>
      <t>SUPATÁ</t>
    </r>
  </si>
  <si>
    <r>
      <rPr>
        <sz val="11"/>
        <rFont val="Calibri"/>
        <family val="2"/>
      </rPr>
      <t>SATIVASUR</t>
    </r>
  </si>
  <si>
    <r>
      <rPr>
        <sz val="11"/>
        <rFont val="Calibri"/>
        <family val="2"/>
      </rPr>
      <t>SUSA</t>
    </r>
  </si>
  <si>
    <r>
      <rPr>
        <sz val="11"/>
        <rFont val="Calibri"/>
        <family val="2"/>
      </rPr>
      <t>SAN JERÓNIMO</t>
    </r>
  </si>
  <si>
    <r>
      <rPr>
        <sz val="11"/>
        <rFont val="Calibri"/>
        <family val="2"/>
      </rPr>
      <t>SIACHOQUE</t>
    </r>
  </si>
  <si>
    <r>
      <rPr>
        <sz val="11"/>
        <rFont val="Calibri"/>
        <family val="2"/>
      </rPr>
      <t>SUTATAUSA</t>
    </r>
  </si>
  <si>
    <r>
      <rPr>
        <sz val="11"/>
        <rFont val="Calibri"/>
        <family val="2"/>
      </rPr>
      <t>SAN JOSÉ DE LA MONTAÑA</t>
    </r>
  </si>
  <si>
    <r>
      <rPr>
        <sz val="11"/>
        <rFont val="Calibri"/>
        <family val="2"/>
      </rPr>
      <t>SOATÁ</t>
    </r>
  </si>
  <si>
    <r>
      <rPr>
        <sz val="11"/>
        <rFont val="Calibri"/>
        <family val="2"/>
      </rPr>
      <t>TABIO</t>
    </r>
  </si>
  <si>
    <r>
      <rPr>
        <sz val="11"/>
        <rFont val="Calibri"/>
        <family val="2"/>
      </rPr>
      <t>SAN JUAN DE URABÁ</t>
    </r>
  </si>
  <si>
    <r>
      <rPr>
        <sz val="11"/>
        <rFont val="Calibri"/>
        <family val="2"/>
      </rPr>
      <t>SOCHA</t>
    </r>
  </si>
  <si>
    <r>
      <rPr>
        <sz val="11"/>
        <rFont val="Calibri"/>
        <family val="2"/>
      </rPr>
      <t>TAUSA</t>
    </r>
  </si>
  <si>
    <r>
      <rPr>
        <sz val="11"/>
        <rFont val="Calibri"/>
        <family val="2"/>
      </rPr>
      <t>SOCOTÁ</t>
    </r>
  </si>
  <si>
    <r>
      <rPr>
        <sz val="11"/>
        <rFont val="Calibri"/>
        <family val="2"/>
      </rPr>
      <t>TENA</t>
    </r>
  </si>
  <si>
    <r>
      <rPr>
        <sz val="11"/>
        <rFont val="Calibri"/>
        <family val="2"/>
      </rPr>
      <t>SAN PEDRO DE LOS MILAGROS</t>
    </r>
  </si>
  <si>
    <r>
      <rPr>
        <sz val="11"/>
        <rFont val="Calibri"/>
        <family val="2"/>
      </rPr>
      <t>SOGAMOSO</t>
    </r>
  </si>
  <si>
    <r>
      <rPr>
        <sz val="11"/>
        <rFont val="Calibri"/>
        <family val="2"/>
      </rPr>
      <t>TENJO</t>
    </r>
  </si>
  <si>
    <r>
      <rPr>
        <sz val="11"/>
        <rFont val="Calibri"/>
        <family val="2"/>
      </rPr>
      <t>SAN PEDRO DE URABÁ</t>
    </r>
  </si>
  <si>
    <r>
      <rPr>
        <sz val="11"/>
        <rFont val="Calibri"/>
        <family val="2"/>
      </rPr>
      <t>SOMONDOCO</t>
    </r>
  </si>
  <si>
    <r>
      <rPr>
        <sz val="11"/>
        <rFont val="Calibri"/>
        <family val="2"/>
      </rPr>
      <t>TIBACUY</t>
    </r>
  </si>
  <si>
    <r>
      <rPr>
        <sz val="11"/>
        <rFont val="Calibri"/>
        <family val="2"/>
      </rPr>
      <t>SAN RAFAEL</t>
    </r>
  </si>
  <si>
    <r>
      <rPr>
        <sz val="11"/>
        <rFont val="Calibri"/>
        <family val="2"/>
      </rPr>
      <t>SORA</t>
    </r>
  </si>
  <si>
    <r>
      <rPr>
        <sz val="11"/>
        <rFont val="Calibri"/>
        <family val="2"/>
      </rPr>
      <t>TIBIRITA</t>
    </r>
  </si>
  <si>
    <r>
      <rPr>
        <sz val="11"/>
        <rFont val="Calibri"/>
        <family val="2"/>
      </rPr>
      <t>SAN ROQUE</t>
    </r>
  </si>
  <si>
    <r>
      <rPr>
        <sz val="11"/>
        <rFont val="Calibri"/>
        <family val="2"/>
      </rPr>
      <t>SORACÁ</t>
    </r>
  </si>
  <si>
    <r>
      <rPr>
        <sz val="11"/>
        <rFont val="Calibri"/>
        <family val="2"/>
      </rPr>
      <t>TOCAIMA</t>
    </r>
  </si>
  <si>
    <r>
      <rPr>
        <sz val="11"/>
        <rFont val="Calibri"/>
        <family val="2"/>
      </rPr>
      <t>SAN VICENTE FERRER</t>
    </r>
  </si>
  <si>
    <r>
      <rPr>
        <sz val="11"/>
        <rFont val="Calibri"/>
        <family val="2"/>
      </rPr>
      <t>SOTAQUIRÁ</t>
    </r>
  </si>
  <si>
    <r>
      <rPr>
        <sz val="11"/>
        <rFont val="Calibri"/>
        <family val="2"/>
      </rPr>
      <t>TOCANCIPÁ</t>
    </r>
  </si>
  <si>
    <r>
      <rPr>
        <sz val="11"/>
        <rFont val="Calibri"/>
        <family val="2"/>
      </rPr>
      <t>SUSACÓN</t>
    </r>
  </si>
  <si>
    <r>
      <rPr>
        <sz val="11"/>
        <rFont val="Calibri"/>
        <family val="2"/>
      </rPr>
      <t>TOPAIPÍ</t>
    </r>
  </si>
  <si>
    <r>
      <rPr>
        <sz val="11"/>
        <rFont val="Calibri"/>
        <family val="2"/>
      </rPr>
      <t>SANTA FÉ DE ANTIOQUIA</t>
    </r>
  </si>
  <si>
    <r>
      <rPr>
        <sz val="11"/>
        <rFont val="Calibri"/>
        <family val="2"/>
      </rPr>
      <t>SUTAMARCHÁN</t>
    </r>
  </si>
  <si>
    <r>
      <rPr>
        <sz val="11"/>
        <rFont val="Calibri"/>
        <family val="2"/>
      </rPr>
      <t>UBALÁ</t>
    </r>
  </si>
  <si>
    <r>
      <rPr>
        <sz val="11"/>
        <rFont val="Calibri"/>
        <family val="2"/>
      </rPr>
      <t>SANTA ROSA DE OSOS</t>
    </r>
  </si>
  <si>
    <r>
      <rPr>
        <sz val="11"/>
        <rFont val="Calibri"/>
        <family val="2"/>
      </rPr>
      <t>SUTATENZA</t>
    </r>
  </si>
  <si>
    <r>
      <rPr>
        <sz val="11"/>
        <rFont val="Calibri"/>
        <family val="2"/>
      </rPr>
      <t>UBAQUE</t>
    </r>
  </si>
  <si>
    <r>
      <rPr>
        <sz val="11"/>
        <rFont val="Calibri"/>
        <family val="2"/>
      </rPr>
      <t>SANTO DOMINGO</t>
    </r>
  </si>
  <si>
    <r>
      <rPr>
        <sz val="11"/>
        <rFont val="Calibri"/>
        <family val="2"/>
      </rPr>
      <t>TASCO</t>
    </r>
  </si>
  <si>
    <r>
      <rPr>
        <sz val="11"/>
        <rFont val="Calibri"/>
        <family val="2"/>
      </rPr>
      <t>UNE</t>
    </r>
  </si>
  <si>
    <r>
      <rPr>
        <sz val="11"/>
        <rFont val="Calibri"/>
        <family val="2"/>
      </rPr>
      <t>SEGOVIA</t>
    </r>
  </si>
  <si>
    <r>
      <rPr>
        <sz val="11"/>
        <rFont val="Calibri"/>
        <family val="2"/>
      </rPr>
      <t>TENZA</t>
    </r>
  </si>
  <si>
    <r>
      <rPr>
        <sz val="11"/>
        <rFont val="Calibri"/>
        <family val="2"/>
      </rPr>
      <t>ÚTICA</t>
    </r>
  </si>
  <si>
    <r>
      <rPr>
        <sz val="11"/>
        <rFont val="Calibri"/>
        <family val="2"/>
      </rPr>
      <t>SONSÓN</t>
    </r>
  </si>
  <si>
    <r>
      <rPr>
        <sz val="11"/>
        <rFont val="Calibri"/>
        <family val="2"/>
      </rPr>
      <t>TIBANÁ</t>
    </r>
  </si>
  <si>
    <r>
      <rPr>
        <sz val="11"/>
        <rFont val="Calibri"/>
        <family val="2"/>
      </rPr>
      <t>VENECIA</t>
    </r>
  </si>
  <si>
    <r>
      <rPr>
        <sz val="11"/>
        <rFont val="Calibri"/>
        <family val="2"/>
      </rPr>
      <t>SOPETRÁN</t>
    </r>
  </si>
  <si>
    <r>
      <rPr>
        <sz val="11"/>
        <rFont val="Calibri"/>
        <family val="2"/>
      </rPr>
      <t>TIBASOSA</t>
    </r>
  </si>
  <si>
    <r>
      <rPr>
        <sz val="11"/>
        <rFont val="Calibri"/>
        <family val="2"/>
      </rPr>
      <t>VERGARA</t>
    </r>
  </si>
  <si>
    <r>
      <rPr>
        <sz val="11"/>
        <rFont val="Calibri"/>
        <family val="2"/>
      </rPr>
      <t>TÁMESIS</t>
    </r>
  </si>
  <si>
    <r>
      <rPr>
        <sz val="11"/>
        <rFont val="Calibri"/>
        <family val="2"/>
      </rPr>
      <t>TINJACÁ</t>
    </r>
  </si>
  <si>
    <r>
      <rPr>
        <sz val="11"/>
        <rFont val="Calibri"/>
        <family val="2"/>
      </rPr>
      <t>VIANÍ</t>
    </r>
  </si>
  <si>
    <r>
      <rPr>
        <sz val="11"/>
        <rFont val="Calibri"/>
        <family val="2"/>
      </rPr>
      <t>TARAZÁ</t>
    </r>
  </si>
  <si>
    <r>
      <rPr>
        <sz val="11"/>
        <rFont val="Calibri"/>
        <family val="2"/>
      </rPr>
      <t>TIPACOQUE</t>
    </r>
  </si>
  <si>
    <r>
      <rPr>
        <sz val="11"/>
        <rFont val="Calibri"/>
        <family val="2"/>
      </rPr>
      <t>VILLA DE SAN DIEGO DE UBATÉ</t>
    </r>
  </si>
  <si>
    <r>
      <rPr>
        <sz val="11"/>
        <rFont val="Calibri"/>
        <family val="2"/>
      </rPr>
      <t>TARSO</t>
    </r>
  </si>
  <si>
    <r>
      <rPr>
        <sz val="11"/>
        <rFont val="Calibri"/>
        <family val="2"/>
      </rPr>
      <t>TOCA</t>
    </r>
  </si>
  <si>
    <r>
      <rPr>
        <sz val="11"/>
        <rFont val="Calibri"/>
        <family val="2"/>
      </rPr>
      <t>VILLAGÓMEZ</t>
    </r>
  </si>
  <si>
    <r>
      <rPr>
        <sz val="11"/>
        <rFont val="Calibri"/>
        <family val="2"/>
      </rPr>
      <t>TITIRIBÍ</t>
    </r>
  </si>
  <si>
    <r>
      <rPr>
        <sz val="11"/>
        <rFont val="Calibri"/>
        <family val="2"/>
      </rPr>
      <t>TOGÜÍ</t>
    </r>
  </si>
  <si>
    <r>
      <rPr>
        <sz val="11"/>
        <rFont val="Calibri"/>
        <family val="2"/>
      </rPr>
      <t>VILLAPINZÓN</t>
    </r>
  </si>
  <si>
    <r>
      <rPr>
        <sz val="11"/>
        <rFont val="Calibri"/>
        <family val="2"/>
      </rPr>
      <t>TÓPAGA</t>
    </r>
  </si>
  <si>
    <r>
      <rPr>
        <sz val="11"/>
        <rFont val="Calibri"/>
        <family val="2"/>
      </rPr>
      <t>VILLETA</t>
    </r>
  </si>
  <si>
    <r>
      <rPr>
        <sz val="11"/>
        <rFont val="Calibri"/>
        <family val="2"/>
      </rPr>
      <t>TURBO</t>
    </r>
  </si>
  <si>
    <r>
      <rPr>
        <sz val="11"/>
        <rFont val="Calibri"/>
        <family val="2"/>
      </rPr>
      <t>TOTA</t>
    </r>
  </si>
  <si>
    <r>
      <rPr>
        <sz val="11"/>
        <rFont val="Calibri"/>
        <family val="2"/>
      </rPr>
      <t>VIOTÁ</t>
    </r>
  </si>
  <si>
    <r>
      <rPr>
        <sz val="11"/>
        <rFont val="Calibri"/>
        <family val="2"/>
      </rPr>
      <t>URAMITA</t>
    </r>
  </si>
  <si>
    <r>
      <rPr>
        <sz val="11"/>
        <rFont val="Calibri"/>
        <family val="2"/>
      </rPr>
      <t>TUNJA</t>
    </r>
  </si>
  <si>
    <r>
      <rPr>
        <sz val="11"/>
        <rFont val="Calibri"/>
        <family val="2"/>
      </rPr>
      <t>YACOPÍ</t>
    </r>
  </si>
  <si>
    <r>
      <rPr>
        <sz val="11"/>
        <rFont val="Calibri"/>
        <family val="2"/>
      </rPr>
      <t>URRAO</t>
    </r>
  </si>
  <si>
    <r>
      <rPr>
        <sz val="11"/>
        <rFont val="Calibri"/>
        <family val="2"/>
      </rPr>
      <t>TUNUNGUÁ</t>
    </r>
  </si>
  <si>
    <r>
      <rPr>
        <sz val="11"/>
        <rFont val="Calibri"/>
        <family val="2"/>
      </rPr>
      <t>ZIPACÓN</t>
    </r>
  </si>
  <si>
    <r>
      <rPr>
        <sz val="11"/>
        <rFont val="Calibri"/>
        <family val="2"/>
      </rPr>
      <t>VALDIVIA</t>
    </r>
  </si>
  <si>
    <r>
      <rPr>
        <sz val="11"/>
        <rFont val="Calibri"/>
        <family val="2"/>
      </rPr>
      <t>TURMEQUÉ</t>
    </r>
  </si>
  <si>
    <r>
      <rPr>
        <sz val="11"/>
        <rFont val="Calibri"/>
        <family val="2"/>
      </rPr>
      <t>ZIPAQUIRÁ</t>
    </r>
  </si>
  <si>
    <r>
      <rPr>
        <sz val="11"/>
        <rFont val="Calibri"/>
        <family val="2"/>
      </rPr>
      <t>TUTA</t>
    </r>
  </si>
  <si>
    <r>
      <rPr>
        <sz val="11"/>
        <rFont val="Calibri"/>
        <family val="2"/>
      </rPr>
      <t>VEGACHÍ</t>
    </r>
  </si>
  <si>
    <r>
      <rPr>
        <sz val="11"/>
        <rFont val="Calibri"/>
        <family val="2"/>
      </rPr>
      <t>TUTAZÁ</t>
    </r>
  </si>
  <si>
    <r>
      <rPr>
        <sz val="11"/>
        <rFont val="Calibri"/>
        <family val="2"/>
      </rPr>
      <t>ÚMBITA</t>
    </r>
  </si>
  <si>
    <r>
      <rPr>
        <sz val="11"/>
        <rFont val="Calibri"/>
        <family val="2"/>
      </rPr>
      <t>VIGÍA DEL FUERTE</t>
    </r>
  </si>
  <si>
    <r>
      <rPr>
        <sz val="11"/>
        <rFont val="Calibri"/>
        <family val="2"/>
      </rPr>
      <t>VENTAQUEMADA</t>
    </r>
  </si>
  <si>
    <r>
      <rPr>
        <sz val="11"/>
        <rFont val="Calibri"/>
        <family val="2"/>
      </rPr>
      <t>YALÍ</t>
    </r>
  </si>
  <si>
    <r>
      <rPr>
        <sz val="11"/>
        <rFont val="Calibri"/>
        <family val="2"/>
      </rPr>
      <t>VILLA DE LEYVA</t>
    </r>
  </si>
  <si>
    <r>
      <rPr>
        <sz val="11"/>
        <rFont val="Calibri"/>
        <family val="2"/>
      </rPr>
      <t>YARUMAL</t>
    </r>
  </si>
  <si>
    <r>
      <rPr>
        <sz val="11"/>
        <rFont val="Calibri"/>
        <family val="2"/>
      </rPr>
      <t>VIRACACHÁ</t>
    </r>
  </si>
  <si>
    <r>
      <rPr>
        <sz val="11"/>
        <rFont val="Calibri"/>
        <family val="2"/>
      </rPr>
      <t>YOLOMBÓ</t>
    </r>
  </si>
  <si>
    <r>
      <rPr>
        <sz val="11"/>
        <rFont val="Calibri"/>
        <family val="2"/>
      </rPr>
      <t>ZETAQUIRA</t>
    </r>
  </si>
  <si>
    <r>
      <rPr>
        <sz val="11"/>
        <rFont val="Calibri"/>
        <family val="2"/>
      </rPr>
      <t>YONDÓ</t>
    </r>
  </si>
  <si>
    <r>
      <rPr>
        <sz val="11"/>
        <rFont val="Calibri"/>
        <family val="2"/>
      </rPr>
      <t>ZARAGOZA</t>
    </r>
  </si>
  <si>
    <t>Tipo vivienda</t>
  </si>
  <si>
    <t>Nombre Plan de Negocio o Unidad Productiva:</t>
  </si>
  <si>
    <t>Celular</t>
  </si>
  <si>
    <t>_ATLÁNTICO</t>
  </si>
  <si>
    <t>CAMPO DE LA CRUZ</t>
  </si>
  <si>
    <t>PERSONALES</t>
  </si>
  <si>
    <t>1.  DATOS DEL EMPRENDEDOR</t>
  </si>
  <si>
    <t xml:space="preserve">Se encuentra reportado en mora en alguna central de riesgo: </t>
  </si>
  <si>
    <t>SI / NO</t>
  </si>
  <si>
    <t>Si</t>
  </si>
  <si>
    <t>No</t>
  </si>
  <si>
    <t>Si Otra, ¿cuál?</t>
  </si>
  <si>
    <t>(dd/mm/aaaa)</t>
  </si>
  <si>
    <t>Nro.</t>
  </si>
  <si>
    <t>Ingreso Mensual</t>
  </si>
  <si>
    <t>F. Nacimiento</t>
  </si>
  <si>
    <t>Departamento (Nacim.)</t>
  </si>
  <si>
    <t>REFERENCIAS PERSONALES</t>
  </si>
  <si>
    <t>Ocupación</t>
  </si>
  <si>
    <t>Dirección Referidor 2</t>
  </si>
  <si>
    <t>Dirección (Refer. 1)</t>
  </si>
  <si>
    <t xml:space="preserve"> Ciudad / Municipio</t>
  </si>
  <si>
    <t>Dirección (Refer. 2)</t>
  </si>
  <si>
    <t>Dirección (Residencia)</t>
  </si>
  <si>
    <t>Departamento (Resid.)</t>
  </si>
  <si>
    <t>LURUACO</t>
  </si>
  <si>
    <t>PALMAR DE VARELA</t>
  </si>
  <si>
    <t>Título obtenido</t>
  </si>
  <si>
    <t>Grado de escolaridad</t>
  </si>
  <si>
    <t>Ninguna</t>
  </si>
  <si>
    <t>Primaria</t>
  </si>
  <si>
    <t>Bachillerato</t>
  </si>
  <si>
    <t>Técnico</t>
  </si>
  <si>
    <t>Tecnólogo</t>
  </si>
  <si>
    <t>Postgrado</t>
  </si>
  <si>
    <t>Género</t>
  </si>
  <si>
    <t>Barrio (Residencia)</t>
  </si>
  <si>
    <t>Departamento (Laboral)</t>
  </si>
  <si>
    <t>PUERTO COLOMBIA</t>
  </si>
  <si>
    <t>E-mail (personal)</t>
  </si>
  <si>
    <t>Direccion (Laboral)</t>
  </si>
  <si>
    <t>Telefono (Laboral)</t>
  </si>
  <si>
    <t>Telefono (Resid.)</t>
  </si>
  <si>
    <t>Nombre (Refer. 1)</t>
  </si>
  <si>
    <t>Nombre (Refer. 2)</t>
  </si>
  <si>
    <t>Celular (Ref. 1)</t>
  </si>
  <si>
    <t>Departamento (Ref. 1)</t>
  </si>
  <si>
    <t>Celular (Ref. 2)</t>
  </si>
  <si>
    <t>Departamento (Ref. 2)</t>
  </si>
  <si>
    <t>DATOS ECONOMICOS</t>
  </si>
  <si>
    <t>DATOS PERSONALES</t>
  </si>
  <si>
    <t>Nombre referencia codeudor</t>
  </si>
  <si>
    <t>REFERENCIA</t>
  </si>
  <si>
    <t>SABANAGRANDE</t>
  </si>
  <si>
    <t>Departamento (UP o PN)</t>
  </si>
  <si>
    <t>Posible Dirección (UP o PN)</t>
  </si>
  <si>
    <t>Posible Barrio (UP o PN)</t>
  </si>
  <si>
    <t>Código CIIU</t>
  </si>
  <si>
    <t>Fecha inicio asesoría</t>
  </si>
  <si>
    <t>Regional</t>
  </si>
  <si>
    <t>Centro</t>
  </si>
  <si>
    <t>Nombre del Líder Regional</t>
  </si>
  <si>
    <t>Teléfono del Centro</t>
  </si>
  <si>
    <t>Nombre del Gestor</t>
  </si>
  <si>
    <t>Celular del Gestor</t>
  </si>
  <si>
    <t>Teléf. del líder Regional</t>
  </si>
  <si>
    <t>UNIDAD PRODUCTIVA O PLAN DE NEGOCIO</t>
  </si>
  <si>
    <t>Emprendedor:</t>
  </si>
  <si>
    <t>2  CODEUDOR (Si va a solicitar crédito)</t>
  </si>
  <si>
    <t>PRESUPUESTO DE VENTAS</t>
  </si>
  <si>
    <t>Nombre plan de Negocio o Unidad Productiva:</t>
  </si>
  <si>
    <t>UNIDADES A VENDER</t>
  </si>
  <si>
    <t>PRECIO DE VTA UNIT.</t>
  </si>
  <si>
    <t>VENTAS TOTALES $ AÑO 1</t>
  </si>
  <si>
    <t>De acuerdo a la estacionalidad de su portafolio califique los meses según la tabla anterior</t>
  </si>
  <si>
    <t>Año 1 Unidades</t>
  </si>
  <si>
    <t>Año 1 Ventas $</t>
  </si>
  <si>
    <t>INCREMENTO EN % DEL PRECIO</t>
  </si>
  <si>
    <t>Calificación</t>
  </si>
  <si>
    <t>Calificación comportamiento ventas</t>
  </si>
  <si>
    <t>Periodo</t>
  </si>
  <si>
    <t>Base + Incremento</t>
  </si>
  <si>
    <t>MENU</t>
  </si>
  <si>
    <t>PRESUPUESTO DE COMPRAS</t>
  </si>
  <si>
    <t>CONSUMO MATERIA PRIMA POR PRODUCTO</t>
  </si>
  <si>
    <t>UNIDADES A PRODUCIR</t>
  </si>
  <si>
    <t>Unidad de Producción</t>
  </si>
  <si>
    <t>Materias Primas</t>
  </si>
  <si>
    <t>Unidad de Medida</t>
  </si>
  <si>
    <t>Valor Unitario</t>
  </si>
  <si>
    <t>Cantidad por Unidad</t>
  </si>
  <si>
    <t>Total Costo Unit.</t>
  </si>
  <si>
    <t>Unidades Año 1</t>
  </si>
  <si>
    <t>Costo Unitario</t>
  </si>
  <si>
    <t>PROGRAMA DE COMPRAS MATERIA PRIMA</t>
  </si>
  <si>
    <t>Calificación comportamiento Compras</t>
  </si>
  <si>
    <t>Califique los meses según la tabla anterior</t>
  </si>
  <si>
    <t>Año 1 Compras $</t>
  </si>
  <si>
    <t>Otros Insumos</t>
  </si>
  <si>
    <t>INCREMENTO EN % COSTO ANUAL</t>
  </si>
  <si>
    <t>1. RESUMEN EJECUTIVO</t>
  </si>
  <si>
    <t>2. INFORMACION GENERAL DE LA EMPRESA Y SU ENTORNO</t>
  </si>
  <si>
    <t>3. ANALISIS DE MERCADO</t>
  </si>
  <si>
    <t>4. ANALISIS TECNICO</t>
  </si>
  <si>
    <t>5. ANALISIS ADMINISTRATIVO</t>
  </si>
  <si>
    <t>6. ANALISIS SOCIAL Y LEGAL</t>
  </si>
  <si>
    <t>7. ANALISIS FINANCIERO</t>
  </si>
  <si>
    <t>IPC o 
Inflación %</t>
  </si>
  <si>
    <t>Base + IPC</t>
  </si>
  <si>
    <t>Kilogramo</t>
  </si>
  <si>
    <t>Libra</t>
  </si>
  <si>
    <t>Onza</t>
  </si>
  <si>
    <t>Litro</t>
  </si>
  <si>
    <t>Metro cúbico</t>
  </si>
  <si>
    <t>Día</t>
  </si>
  <si>
    <t>Hora</t>
  </si>
  <si>
    <t>Minuto</t>
  </si>
  <si>
    <t>Servicio</t>
  </si>
  <si>
    <t>Profesional</t>
  </si>
  <si>
    <t>Incremento Anual 
Costos %</t>
  </si>
  <si>
    <t>Costo Total Año 1</t>
  </si>
  <si>
    <t>REQUERIMIENTOS DE PERSONAL</t>
  </si>
  <si>
    <t>PRESUPUESTO DE COSTOS Y GASTOS</t>
  </si>
  <si>
    <t>Cargo</t>
  </si>
  <si>
    <t>Parafiscales y Prestaciones Sociales</t>
  </si>
  <si>
    <t>Tasa</t>
  </si>
  <si>
    <t>Incremento %</t>
  </si>
  <si>
    <t>Incremento 
%</t>
  </si>
  <si>
    <t>Concepto</t>
  </si>
  <si>
    <t>Mensual $</t>
  </si>
  <si>
    <t>Personal Operativo</t>
  </si>
  <si>
    <t>Personal Administrativo</t>
  </si>
  <si>
    <t>Personal de Comercialización y Ventas</t>
  </si>
  <si>
    <t>Salario Mensual $</t>
  </si>
  <si>
    <t>Salario Año 1</t>
  </si>
  <si>
    <t>Gastos Mensuales</t>
  </si>
  <si>
    <t>Salarios</t>
  </si>
  <si>
    <t>Salario</t>
  </si>
  <si>
    <t xml:space="preserve">      Salarios</t>
  </si>
  <si>
    <t>Gastos de constitución</t>
  </si>
  <si>
    <t>Licencias</t>
  </si>
  <si>
    <t>Registro Invima</t>
  </si>
  <si>
    <t>Permisos</t>
  </si>
  <si>
    <t>Sefuridad Social</t>
  </si>
  <si>
    <t>Inversión Total (Ktrabajo + Inv Fija)</t>
  </si>
  <si>
    <t>Tasa nominal anual</t>
  </si>
  <si>
    <t>Plazo (meses)</t>
  </si>
  <si>
    <t>Salarios de Personal Administrativo</t>
  </si>
  <si>
    <t>Salarios de Personal de Comercialización y Ventas</t>
  </si>
  <si>
    <t>Cuentas por Cobrar (Cartera)</t>
  </si>
  <si>
    <t>Impuesto de Renta por Pagar</t>
  </si>
  <si>
    <t>PLAN DE INVERSIÓN</t>
  </si>
  <si>
    <t>POLITICAS CAPITAL DE TRABAJO</t>
  </si>
  <si>
    <t>Otros Costos de Producción y Gastos de Administración y Ventas</t>
  </si>
  <si>
    <t>Años Amortización</t>
  </si>
  <si>
    <t>Capital de Trabajo</t>
  </si>
  <si>
    <t>Política en días</t>
  </si>
  <si>
    <t>Valor en $</t>
  </si>
  <si>
    <t>PLAN DE INVERSION Y FINANCIACION</t>
  </si>
  <si>
    <t>Años / Pesos $</t>
  </si>
  <si>
    <t>Base</t>
  </si>
  <si>
    <t>Gastos de puesta en marcha</t>
  </si>
  <si>
    <t>Otros Conceptos</t>
  </si>
  <si>
    <t xml:space="preserve">OTROS COSTOS DE PRODUCCION Y GASTOS DE ADMINISTRACION Y VENTAS
</t>
  </si>
  <si>
    <t>Nombre del Producto (Bien o Servicio)</t>
  </si>
  <si>
    <t>Mercado Potencial Clientes</t>
  </si>
  <si>
    <t>Consumo Anual Percápita</t>
  </si>
  <si>
    <t>Venta Unidades Año 1</t>
  </si>
  <si>
    <t>Participación % Mercado Objetivo</t>
  </si>
  <si>
    <t>Nro. Horas Año Operario Turno</t>
  </si>
  <si>
    <t>Unidades Hora Hombre</t>
  </si>
  <si>
    <t>Capacidad Instalada en Unidades por Operario Año 1</t>
  </si>
  <si>
    <t>Tiempo de Dedicación en % Año 1</t>
  </si>
  <si>
    <t>Capacidad Instalada en Unidades</t>
  </si>
  <si>
    <t>Capacidad Requerida en Unidades</t>
  </si>
  <si>
    <t>Sub Total</t>
  </si>
  <si>
    <t>CAPACIDAD MANO DE OBRA INSTALADA</t>
  </si>
  <si>
    <t>CICLICIDAD VENTAS EN EL AÑO</t>
  </si>
  <si>
    <t>Inversión Requerida</t>
  </si>
  <si>
    <t>Crédito Requerido</t>
  </si>
  <si>
    <t>Aportes de Recursos Propios</t>
  </si>
  <si>
    <t>Total maquinaria y equipo</t>
  </si>
  <si>
    <t>Total Vehiculos</t>
  </si>
  <si>
    <t>Total Inversión Fija</t>
  </si>
  <si>
    <t>Aportes de recursos propios</t>
  </si>
  <si>
    <t>Inversión requerida</t>
  </si>
  <si>
    <t>Crédito requerido</t>
  </si>
  <si>
    <t>Vida útil (Años)</t>
  </si>
  <si>
    <t>Depreciación Año 1</t>
  </si>
  <si>
    <t>Costos Operativos</t>
  </si>
  <si>
    <t>Costos Administrativos</t>
  </si>
  <si>
    <t>Costos de Venta</t>
  </si>
  <si>
    <t>SALIDA 1 - PRESUPUESTO INGRESOS E INSUMOS</t>
  </si>
  <si>
    <t>Total Unidades</t>
  </si>
  <si>
    <t>Total Costo</t>
  </si>
  <si>
    <t>Ventas $</t>
  </si>
  <si>
    <t>VENTAS MESES Y ANUALIZADOS</t>
  </si>
  <si>
    <t>RESUMEN PRESUPUESTO DE INGRESOS Y COSTOS (INSUMOS)</t>
  </si>
  <si>
    <t>Meses</t>
  </si>
  <si>
    <t>Cicli
cidad</t>
  </si>
  <si>
    <t>SALIDA 2 - PRESUPUESTO COSTOS Y GASTOS</t>
  </si>
  <si>
    <t>TABLA DE AMORTIZACION CREDITO</t>
  </si>
  <si>
    <t>Administración</t>
  </si>
  <si>
    <t>SALIDA 3 - PLAN DE INVERSIÓN</t>
  </si>
  <si>
    <t>Crédito</t>
  </si>
  <si>
    <t>Recursos Propios</t>
  </si>
  <si>
    <t>Activos Fijos (Discriminar)</t>
  </si>
  <si>
    <t>Cuota</t>
  </si>
  <si>
    <t>Valor Cuota</t>
  </si>
  <si>
    <t>Interés</t>
  </si>
  <si>
    <t>Saldo</t>
  </si>
  <si>
    <t>SALIDA 4 - P&amp;G</t>
  </si>
  <si>
    <t>Total Costo de Producción</t>
  </si>
  <si>
    <t xml:space="preserve">Utilidad Bruta </t>
  </si>
  <si>
    <t>Total Gastos Administrativos y de Ventas</t>
  </si>
  <si>
    <t>Utilidad Operacional</t>
  </si>
  <si>
    <t>Total Gastos no Operacionales</t>
  </si>
  <si>
    <t>Utilidad Neta Antes de Impuestos</t>
  </si>
  <si>
    <t xml:space="preserve">Utilidad Nerta </t>
  </si>
  <si>
    <t>Impuestos</t>
  </si>
  <si>
    <t>Balance General</t>
  </si>
  <si>
    <t>Activo Corriente</t>
  </si>
  <si>
    <t>Total Activo Corriente</t>
  </si>
  <si>
    <t>Activo Fijo</t>
  </si>
  <si>
    <t>Sub Total Fijo</t>
  </si>
  <si>
    <t>Total Activo Fijo Neto</t>
  </si>
  <si>
    <t>Pasivo Corriente</t>
  </si>
  <si>
    <t>Total Pasivo Corriente</t>
  </si>
  <si>
    <t>Pasivo Largo Plazo</t>
  </si>
  <si>
    <t xml:space="preserve">Total Pasivo Mediano y Largo </t>
  </si>
  <si>
    <t>Año 0</t>
  </si>
  <si>
    <t>SALIDA 5 - BALANCE</t>
  </si>
  <si>
    <t>Mes 1</t>
  </si>
  <si>
    <t>Mes 2</t>
  </si>
  <si>
    <t>Mes 3</t>
  </si>
  <si>
    <t>Mes 4</t>
  </si>
  <si>
    <t>Mes 5</t>
  </si>
  <si>
    <t>Mes 6</t>
  </si>
  <si>
    <t>Mes 7</t>
  </si>
  <si>
    <t>Mes 8</t>
  </si>
  <si>
    <t>Mes 9</t>
  </si>
  <si>
    <t>Mes 10</t>
  </si>
  <si>
    <t>Mes 11</t>
  </si>
  <si>
    <t>Mes 12</t>
  </si>
  <si>
    <t>Total Año</t>
  </si>
  <si>
    <t>SALIDA 6 - FLUJO DE CAJA</t>
  </si>
  <si>
    <t>1- INDICADORES</t>
  </si>
  <si>
    <t>2- MARGEN DE CONTRIBUCIÓN Y PUNTO DE EQUILIBRIO</t>
  </si>
  <si>
    <t>Productos</t>
  </si>
  <si>
    <t>Precio de Venta</t>
  </si>
  <si>
    <t>Total Costos Var.</t>
  </si>
  <si>
    <t>Margen de Contribución</t>
  </si>
  <si>
    <t>Contr. A Ventas</t>
  </si>
  <si>
    <t>Margen Total</t>
  </si>
  <si>
    <t>Margen Total de Contribución</t>
  </si>
  <si>
    <t>Punto de Equilibrio 1 Año</t>
  </si>
  <si>
    <t>Ventas Proyectadas</t>
  </si>
  <si>
    <t>Diferencia de Ventas Punto de Equilibrio</t>
  </si>
  <si>
    <t>Pesos</t>
  </si>
  <si>
    <t>Ventas Anuales</t>
  </si>
  <si>
    <t>Unidades Anuales</t>
  </si>
  <si>
    <t>Compras M.P. e Insumos</t>
  </si>
  <si>
    <t>Mes 01</t>
  </si>
  <si>
    <t>Mes 02</t>
  </si>
  <si>
    <t>Mes 03</t>
  </si>
  <si>
    <t>Mes 04</t>
  </si>
  <si>
    <t>Mes 05</t>
  </si>
  <si>
    <t>Mes 06</t>
  </si>
  <si>
    <t>Mes 07</t>
  </si>
  <si>
    <t>Mes 08</t>
  </si>
  <si>
    <t>Mes 09</t>
  </si>
  <si>
    <t>Concepto / Mes</t>
  </si>
  <si>
    <t xml:space="preserve">      IVA Pagado (cada dos meses)</t>
  </si>
  <si>
    <t xml:space="preserve">      Imporrenta  (no aplica primer año)</t>
  </si>
  <si>
    <t>Superavit / (deficit) Financiero</t>
  </si>
  <si>
    <t>Superavit / (deficit) de Caja</t>
  </si>
  <si>
    <t>Caja Final</t>
  </si>
  <si>
    <t xml:space="preserve">      Preoperativos</t>
  </si>
  <si>
    <t xml:space="preserve"> Superavit / (deficit) Operativo</t>
  </si>
  <si>
    <t>ACTIVO FIJO NETO Y ACTIVO FIJO CORRIENTE SIN CAJA Y BANCOS</t>
  </si>
  <si>
    <t>SALIDA 8 - INDICADORES</t>
  </si>
  <si>
    <t>SALIDA 7- PUNTO DE EQUILIBRIO</t>
  </si>
  <si>
    <t>2.  DATOS GENERALES DE LA UNIDAD PRODUCTIVA O PLAN DE NEGOCIO</t>
  </si>
  <si>
    <t>3.  ASESOR DEL PLAN DE NEGOCIO</t>
  </si>
  <si>
    <t>PERFIL CREDITICIO</t>
  </si>
  <si>
    <t>CODEUDOR</t>
  </si>
  <si>
    <t>Si va a solicitar un crédito, entonces haga click en el siguiente botón y diligencie el formulacio que se le presentará</t>
  </si>
  <si>
    <t>4.  PERFIL CREDITICIO</t>
  </si>
  <si>
    <t>DATOS PERSONALES - PERFIL CREDITICIO</t>
  </si>
  <si>
    <t>a. Visión, misión de la empresa
b. Análisis DOFA
c. Organigrama de la empresa</t>
  </si>
  <si>
    <t>a. Haga una descripción técnica del bien o servicio teniendo en cuenta: capacidad, cualidades, diseño, tamaño, tecnología, características fisicoquímicas, condiciones climáticas, factores ambientales, características de empaque y embalaje, almacenaje,  si es un servicio descríbalo técnicamente 
b. Elabore un diagrama de flujo muy detallado de cada una de las actividades u operaciones unitarias y describa cada una de ellas
c. Elabore el programa de necesidades y requerimientos del plan de negocio teniendo en cuenta sus características técnicas (tenga en cuenta que las características técnicas se establecen por literatura o por fichas técnicas de cada necesidad y requerimiento: Necesidades de máquinas, equipo, herramientas, mobiliario, equipos de oficina y cómputo, materia prima,  insumos, adecuación de instalaciones, de personal.</t>
  </si>
  <si>
    <t xml:space="preserve">a. Análisis de valores personales, motivaciones gustos, proyecciones del negocio a crear, experiencia
b. Trámites legales para el funcionamiento de la empresa: comerciales, tributarios, funcionamiento y seguridad social y laboral
</t>
  </si>
  <si>
    <t>a. Inversión requerida en términos de infraestructura, capital de trabajo, crédito requerido, otros, hágalo con la construcción de una tabla.
b. Proyecciones de Ventas y Rentabilidad: Mediante una tabla, Resuma las cantidades a vender, los precios de venta estimados, por periodo y la rentabilidad esperada el proyecto, en términos de la tasa interna de retorno (TIR).</t>
  </si>
  <si>
    <t xml:space="preserve">a. Identificar y analizar (Tasa Interna de Retorno, Valor presente Neto, Periodos de pago si se requiere crédito, Balances, Punto de Equilibrio Económico, utilidad neta.
b. Conclusiones Financieras y Evaluación de Viabilidad: Concretamente presente las principales bondades financieras en términos del análisis financiero a los indicadores financieros proyectados (liquidez, rotación inventarios, rentabilidad neta. Punto equilibrio), y especialmente los indicadores de decisión ( TIO, VAN, TIR).
Introducción
</t>
  </si>
  <si>
    <t>8. EVALUACIÓN DEL PROYECTO</t>
  </si>
  <si>
    <t xml:space="preserve">
a. Concepto del Negocio: Describa en forma concreta que tipo de empresa se constituirá, su motivicaión para la creción de la misma, actividad económica a la que pertenece,  los objetivos que se persiguen con la puesta en operación del proyecto.
</t>
  </si>
  <si>
    <t xml:space="preserve">a. Haga una breve reseña sobre  el estudio de mercado teniendo en cuenta la oferta y la demanda del bien o servicio 
b. Estime el mercado potencial
c. Defina y justiifique el mercado objetivo
d. Segmente el mercado teniendo en cuanta aspectos geográficos, demográficos, psicograficos, motivaciones, expectativas, frecuencia de compra)
e. Nicho de mercado
f. Enuncie cuáles son los  productos sustitutos y complementarios en términos de mercados
g. Enuncir  los principales competidores directos  e indirectos, y el precio de venta de cada uno de ellos.
h. Investigación de Mercados (encuesta, tabulación, ficha técnica, conclusiones)
i. Defina cuales son las principales estrategias de mercadeo(producto, distribución, comercialización, precio, promoción, publicidad, servicio y aprovisionamiento)
j. Proyección de Ventas
</t>
  </si>
  <si>
    <t xml:space="preserve">
a. Enuncie los objetivos que se persiguen con la creación de la empresa (objetivo general y objetivos especificos ambiental, tecnico y tecnológico, económico y social
b. Justifique  la razón por la cual desea crear la empresa
c. Mencione los antecedentes de la idea o unidad productiva
d. Haga un análisis breve  del entorno desde el punto de vista del análisis del sector, subsector, actividad económica, su comportamiento en los últimos años y tendencias a corto y mediano plazo
</t>
  </si>
  <si>
    <t>_BOGOTÁ_D.C.</t>
  </si>
  <si>
    <t>Bachiller Academico</t>
  </si>
  <si>
    <t>Silvia Villamizar</t>
  </si>
  <si>
    <t>5960050 ext : 14985 </t>
  </si>
  <si>
    <t>kra 73 # 26-81 sur</t>
  </si>
  <si>
    <t>Oneida</t>
  </si>
  <si>
    <t>e.4195@hotmail.com</t>
  </si>
  <si>
    <t xml:space="preserve">software para la gestion de horarios  y aulas </t>
  </si>
  <si>
    <t>mantenimiento del software para la gestion de horarios y aulas</t>
  </si>
  <si>
    <t>mantenimientos</t>
  </si>
  <si>
    <t>3 escritorios</t>
  </si>
  <si>
    <t xml:space="preserve">Tecnico de programacion </t>
  </si>
  <si>
    <t>internet</t>
  </si>
  <si>
    <t>SEGI</t>
  </si>
  <si>
    <t>20 portatiles core i3, 4gb ram 500 gb disco empresa</t>
  </si>
  <si>
    <t>3 portatil core i7 8gb 240 gb desarrolladores</t>
  </si>
  <si>
    <t>router proveedor</t>
  </si>
  <si>
    <t>hosting y dominio</t>
  </si>
  <si>
    <t>cable utp</t>
  </si>
  <si>
    <t>servidor fisico</t>
  </si>
  <si>
    <t>3 sillas programadores</t>
  </si>
  <si>
    <t>transporte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</si>
</sst>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4" formatCode="_-* #,##0.00\ &quot;€&quot;_-;\-* #,##0.00\ &quot;€&quot;_-;_-* &quot;-&quot;??\ &quot;€&quot;_-;_-@_-"/>
    <numFmt numFmtId="164" formatCode="_(&quot;$&quot;\ * #,##0.00_);_(&quot;$&quot;\ * \(#,##0.00\);_(&quot;$&quot;\ * &quot;-&quot;??_);_(@_)"/>
    <numFmt numFmtId="165" formatCode="_-* #,##0\ _€_-;\-* #,##0\ _€_-;_-* &quot;-&quot;\ _€_-;_-@_-"/>
    <numFmt numFmtId="166" formatCode="[$$-240A]\ #,##0"/>
    <numFmt numFmtId="167" formatCode="0.0%"/>
    <numFmt numFmtId="168" formatCode="#,##0.0"/>
    <numFmt numFmtId="169" formatCode="_([$$-240A]\ * #,##0.00_);_([$$-240A]\ * \(#,##0.00\);_([$$-240A]\ * &quot;-&quot;??_);_(@_)"/>
    <numFmt numFmtId="170" formatCode="[$-C0A]d\-mmm\-yyyy;@"/>
    <numFmt numFmtId="171" formatCode="&quot;$&quot;\ #,##0"/>
    <numFmt numFmtId="172" formatCode="&quot;$&quot;\ #,##0.00"/>
    <numFmt numFmtId="173" formatCode="&quot;$&quot;#,##0"/>
    <numFmt numFmtId="174" formatCode="&quot;$&quot;#,##0.00"/>
  </numFmts>
  <fonts count="47">
    <font>
      <sz val="10"/>
      <name val="Arial"/>
    </font>
    <font>
      <sz val="11"/>
      <color theme="1"/>
      <name val="Calibri"/>
      <family val="2"/>
      <scheme val="minor"/>
    </font>
    <font>
      <sz val="10"/>
      <name val="Arial"/>
      <family val="2"/>
    </font>
    <font>
      <b/>
      <sz val="10"/>
      <name val="Arial"/>
      <family val="2"/>
    </font>
    <font>
      <sz val="10"/>
      <name val="Arial"/>
      <family val="2"/>
    </font>
    <font>
      <b/>
      <sz val="12"/>
      <name val="Arial"/>
      <family val="2"/>
    </font>
    <font>
      <sz val="10"/>
      <color indexed="10"/>
      <name val="Arial"/>
      <family val="2"/>
    </font>
    <font>
      <u/>
      <sz val="10"/>
      <color indexed="12"/>
      <name val="Arial"/>
      <family val="2"/>
    </font>
    <font>
      <sz val="10"/>
      <name val="Arial"/>
      <family val="2"/>
    </font>
    <font>
      <b/>
      <sz val="10"/>
      <name val="Arial"/>
      <family val="2"/>
    </font>
    <font>
      <sz val="10"/>
      <name val="Arial"/>
      <family val="2"/>
    </font>
    <font>
      <b/>
      <sz val="12"/>
      <name val="Tahoma"/>
      <family val="2"/>
    </font>
    <font>
      <sz val="9"/>
      <name val="Arial"/>
      <family val="2"/>
    </font>
    <font>
      <sz val="9"/>
      <color indexed="8"/>
      <name val="Arial"/>
      <family val="2"/>
    </font>
    <font>
      <b/>
      <sz val="9"/>
      <name val="Arial"/>
      <family val="2"/>
    </font>
    <font>
      <b/>
      <sz val="10"/>
      <color indexed="58"/>
      <name val="Arial"/>
      <family val="2"/>
    </font>
    <font>
      <sz val="10"/>
      <name val="Arial"/>
      <family val="2"/>
    </font>
    <font>
      <b/>
      <sz val="12"/>
      <name val="Arial"/>
      <family val="2"/>
    </font>
    <font>
      <sz val="10"/>
      <name val="Arial"/>
      <family val="2"/>
    </font>
    <font>
      <b/>
      <sz val="8"/>
      <color indexed="81"/>
      <name val="Tahoma"/>
      <family val="2"/>
    </font>
    <font>
      <sz val="10"/>
      <color indexed="9"/>
      <name val="Arial"/>
      <family val="2"/>
    </font>
    <font>
      <sz val="8"/>
      <name val="Arial"/>
      <family val="2"/>
    </font>
    <font>
      <b/>
      <sz val="10"/>
      <color indexed="59"/>
      <name val="Arial"/>
      <family val="2"/>
    </font>
    <font>
      <b/>
      <sz val="8"/>
      <color indexed="18"/>
      <name val="Arial"/>
      <family val="2"/>
    </font>
    <font>
      <b/>
      <sz val="8"/>
      <name val="Arial"/>
      <family val="2"/>
    </font>
    <font>
      <b/>
      <sz val="16"/>
      <name val="Arial"/>
      <family val="2"/>
    </font>
    <font>
      <b/>
      <sz val="14"/>
      <name val="Arial"/>
      <family val="2"/>
    </font>
    <font>
      <sz val="10"/>
      <color indexed="10"/>
      <name val="Arial"/>
      <family val="2"/>
    </font>
    <font>
      <b/>
      <sz val="12"/>
      <color indexed="9"/>
      <name val="Arial"/>
      <family val="2"/>
    </font>
    <font>
      <sz val="9"/>
      <color indexed="9"/>
      <name val="Arial"/>
      <family val="2"/>
    </font>
    <font>
      <sz val="16"/>
      <name val="Arial"/>
      <family val="2"/>
    </font>
    <font>
      <sz val="14"/>
      <color rgb="FF000000"/>
      <name val="Arial"/>
      <family val="2"/>
    </font>
    <font>
      <sz val="9"/>
      <color theme="1"/>
      <name val="Arial"/>
      <family val="2"/>
    </font>
    <font>
      <b/>
      <sz val="11"/>
      <name val="Arial"/>
      <family val="2"/>
    </font>
    <font>
      <sz val="10"/>
      <color theme="1"/>
      <name val="Verdana"/>
      <family val="2"/>
    </font>
    <font>
      <sz val="11"/>
      <name val="Trebuchet MS"/>
      <family val="2"/>
    </font>
    <font>
      <b/>
      <sz val="11"/>
      <color indexed="9"/>
      <name val="Arial"/>
      <family val="2"/>
    </font>
    <font>
      <sz val="11"/>
      <name val="Arial"/>
      <family val="2"/>
    </font>
    <font>
      <sz val="11"/>
      <color rgb="FF000000"/>
      <name val="SansSerif"/>
      <family val="2"/>
    </font>
    <font>
      <sz val="11"/>
      <name val="Calibri"/>
      <family val="2"/>
    </font>
    <font>
      <sz val="11"/>
      <color theme="1"/>
      <name val="Verdana"/>
      <family val="2"/>
    </font>
    <font>
      <b/>
      <u/>
      <sz val="10"/>
      <name val="Arial"/>
      <family val="2"/>
    </font>
    <font>
      <sz val="9"/>
      <color indexed="81"/>
      <name val="Tahoma"/>
      <family val="2"/>
    </font>
    <font>
      <b/>
      <sz val="9"/>
      <color indexed="81"/>
      <name val="Tahoma"/>
      <family val="2"/>
    </font>
    <font>
      <sz val="10"/>
      <color theme="0"/>
      <name val="Arial"/>
      <family val="2"/>
    </font>
    <font>
      <sz val="12"/>
      <name val="Arial"/>
      <family val="2"/>
    </font>
    <font>
      <sz val="12"/>
      <color rgb="FF202124"/>
      <name val="Arial"/>
      <family val="2"/>
    </font>
  </fonts>
  <fills count="21">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2"/>
        <bgColor indexed="64"/>
      </patternFill>
    </fill>
    <fill>
      <patternFill patternType="solid">
        <fgColor indexed="47"/>
        <bgColor indexed="64"/>
      </patternFill>
    </fill>
    <fill>
      <patternFill patternType="solid">
        <fgColor indexed="41"/>
        <bgColor indexed="64"/>
      </patternFill>
    </fill>
    <fill>
      <patternFill patternType="solid">
        <fgColor theme="6" tint="0.39997558519241921"/>
        <bgColor indexed="64"/>
      </patternFill>
    </fill>
    <fill>
      <patternFill patternType="solid">
        <fgColor theme="0"/>
        <bgColor indexed="64"/>
      </patternFill>
    </fill>
    <fill>
      <patternFill patternType="solid">
        <fgColor indexed="48"/>
        <bgColor indexed="64"/>
      </patternFill>
    </fill>
    <fill>
      <patternFill patternType="solid">
        <fgColor rgb="FFFFFF00"/>
        <bgColor indexed="64"/>
      </patternFill>
    </fill>
    <fill>
      <patternFill patternType="solid">
        <fgColor rgb="FFFFFFFF"/>
      </patternFill>
    </fill>
    <fill>
      <patternFill patternType="solid">
        <fgColor rgb="FF66FFFF"/>
        <bgColor indexed="64"/>
      </patternFill>
    </fill>
    <fill>
      <patternFill patternType="solid">
        <fgColor rgb="FFFFCC99"/>
        <bgColor indexed="64"/>
      </patternFill>
    </fill>
    <fill>
      <gradientFill degree="90">
        <stop position="0">
          <color rgb="FFFFFF99"/>
        </stop>
        <stop position="1">
          <color rgb="FF767647"/>
        </stop>
      </gradientFill>
    </fill>
    <fill>
      <patternFill patternType="solid">
        <fgColor rgb="FFCCFFCC"/>
        <bgColor indexed="64"/>
      </patternFill>
    </fill>
    <fill>
      <patternFill patternType="solid">
        <fgColor theme="0" tint="-0.14999847407452621"/>
        <bgColor indexed="64"/>
      </patternFill>
    </fill>
    <fill>
      <patternFill patternType="solid">
        <fgColor rgb="FFC0C0C0"/>
        <bgColor indexed="64"/>
      </patternFill>
    </fill>
    <fill>
      <patternFill patternType="solid">
        <fgColor theme="9" tint="0.39997558519241921"/>
        <bgColor indexed="64"/>
      </patternFill>
    </fill>
    <fill>
      <gradientFill degree="90">
        <stop position="0">
          <color rgb="FF99FF33"/>
        </stop>
        <stop position="1">
          <color rgb="FF767647"/>
        </stop>
      </gradientFill>
    </fill>
    <fill>
      <patternFill patternType="solid">
        <fgColor rgb="FF99FF33"/>
        <bgColor indexed="64"/>
      </patternFill>
    </fill>
  </fills>
  <borders count="8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medium">
        <color indexed="64"/>
      </right>
      <top/>
      <bottom style="thin">
        <color indexed="64"/>
      </bottom>
      <diagonal/>
    </border>
    <border>
      <left style="thin">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medium">
        <color indexed="64"/>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top style="medium">
        <color indexed="64"/>
      </top>
      <bottom/>
      <diagonal/>
    </border>
    <border>
      <left/>
      <right style="thin">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diagonal/>
    </border>
    <border>
      <left/>
      <right/>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medium">
        <color indexed="64"/>
      </right>
      <top style="medium">
        <color indexed="64"/>
      </top>
      <bottom style="medium">
        <color indexed="64"/>
      </bottom>
      <diagonal/>
    </border>
    <border>
      <left/>
      <right style="double">
        <color indexed="64"/>
      </right>
      <top/>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thin">
        <color indexed="64"/>
      </left>
      <right style="medium">
        <color indexed="64"/>
      </right>
      <top style="thin">
        <color indexed="64"/>
      </top>
      <bottom style="medium">
        <color indexed="64"/>
      </bottom>
      <diagonal/>
    </border>
    <border>
      <left/>
      <right/>
      <top style="thin">
        <color indexed="64"/>
      </top>
      <bottom/>
      <diagonal/>
    </border>
    <border>
      <left/>
      <right/>
      <top style="medium">
        <color indexed="64"/>
      </top>
      <bottom style="medium">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right/>
      <top/>
      <bottom style="medium">
        <color indexed="64"/>
      </bottom>
      <diagonal/>
    </border>
    <border>
      <left style="double">
        <color indexed="64"/>
      </left>
      <right/>
      <top style="medium">
        <color indexed="64"/>
      </top>
      <bottom style="medium">
        <color indexed="64"/>
      </bottom>
      <diagonal/>
    </border>
    <border>
      <left/>
      <right style="double">
        <color indexed="64"/>
      </right>
      <top style="medium">
        <color indexed="64"/>
      </top>
      <bottom style="medium">
        <color indexed="64"/>
      </bottom>
      <diagonal/>
    </border>
    <border>
      <left style="thin">
        <color indexed="64"/>
      </left>
      <right/>
      <top style="medium">
        <color indexed="64"/>
      </top>
      <bottom/>
      <diagonal/>
    </border>
    <border>
      <left style="thick">
        <color rgb="FF66FFFF"/>
      </left>
      <right style="thick">
        <color rgb="FF66FFFF"/>
      </right>
      <top style="thick">
        <color rgb="FF66FFFF"/>
      </top>
      <bottom style="thick">
        <color rgb="FF66FFFF"/>
      </bottom>
      <diagonal/>
    </border>
    <border>
      <left style="thick">
        <color rgb="FF66FFFF"/>
      </left>
      <right/>
      <top style="thick">
        <color rgb="FF66FFFF"/>
      </top>
      <bottom style="thick">
        <color rgb="FF66FFFF"/>
      </bottom>
      <diagonal/>
    </border>
    <border>
      <left/>
      <right/>
      <top style="thick">
        <color rgb="FF66FFFF"/>
      </top>
      <bottom style="thick">
        <color rgb="FF66FFFF"/>
      </bottom>
      <diagonal/>
    </border>
    <border>
      <left/>
      <right style="thick">
        <color rgb="FF66FFFF"/>
      </right>
      <top style="thick">
        <color rgb="FF66FFFF"/>
      </top>
      <bottom style="thick">
        <color rgb="FF66FFFF"/>
      </bottom>
      <diagonal/>
    </border>
    <border>
      <left style="double">
        <color indexed="64"/>
      </left>
      <right/>
      <top style="medium">
        <color indexed="64"/>
      </top>
      <bottom/>
      <diagonal/>
    </border>
    <border>
      <left/>
      <right style="thick">
        <color rgb="FF66FFFF"/>
      </right>
      <top/>
      <bottom/>
      <diagonal/>
    </border>
    <border>
      <left style="thick">
        <color rgb="FF66FFFF"/>
      </left>
      <right/>
      <top/>
      <bottom/>
      <diagonal/>
    </border>
    <border>
      <left style="double">
        <color indexed="64"/>
      </left>
      <right/>
      <top style="thin">
        <color indexed="64"/>
      </top>
      <bottom style="thin">
        <color indexed="64"/>
      </bottom>
      <diagonal/>
    </border>
    <border>
      <left/>
      <right style="double">
        <color indexed="64"/>
      </right>
      <top style="thin">
        <color indexed="64"/>
      </top>
      <bottom style="thin">
        <color indexed="64"/>
      </bottom>
      <diagonal/>
    </border>
    <border>
      <left style="thin">
        <color indexed="64"/>
      </left>
      <right style="thick">
        <color rgb="FF66FFFF"/>
      </right>
      <top/>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right style="double">
        <color indexed="64"/>
      </right>
      <top style="double">
        <color indexed="64"/>
      </top>
      <bottom style="thin">
        <color indexed="64"/>
      </bottom>
      <diagonal/>
    </border>
    <border>
      <left style="double">
        <color indexed="64"/>
      </left>
      <right/>
      <top style="thin">
        <color indexed="64"/>
      </top>
      <bottom/>
      <diagonal/>
    </border>
    <border>
      <left/>
      <right style="double">
        <color indexed="64"/>
      </right>
      <top style="medium">
        <color indexed="64"/>
      </top>
      <bottom/>
      <diagonal/>
    </border>
    <border>
      <left/>
      <right style="double">
        <color indexed="64"/>
      </right>
      <top style="thin">
        <color indexed="64"/>
      </top>
      <bottom/>
      <diagonal/>
    </border>
    <border>
      <left style="thick">
        <color rgb="FF66FFFF"/>
      </left>
      <right style="double">
        <color indexed="64"/>
      </right>
      <top/>
      <bottom/>
      <diagonal/>
    </border>
    <border>
      <left/>
      <right style="double">
        <color indexed="64"/>
      </right>
      <top/>
      <bottom style="medium">
        <color indexed="64"/>
      </bottom>
      <diagonal/>
    </border>
    <border>
      <left style="double">
        <color indexed="64"/>
      </left>
      <right/>
      <top/>
      <bottom style="medium">
        <color indexed="64"/>
      </bottom>
      <diagonal/>
    </border>
    <border>
      <left style="double">
        <color indexed="64"/>
      </left>
      <right style="thin">
        <color indexed="64"/>
      </right>
      <top style="medium">
        <color indexed="64"/>
      </top>
      <bottom style="thin">
        <color indexed="64"/>
      </bottom>
      <diagonal/>
    </border>
    <border>
      <left style="thin">
        <color indexed="64"/>
      </left>
      <right style="double">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diagonal/>
    </border>
    <border>
      <left style="thin">
        <color indexed="64"/>
      </left>
      <right style="double">
        <color indexed="64"/>
      </right>
      <top/>
      <bottom style="thin">
        <color indexed="64"/>
      </bottom>
      <diagonal/>
    </border>
    <border>
      <left style="double">
        <color auto="1"/>
      </left>
      <right/>
      <top/>
      <bottom style="thin">
        <color indexed="64"/>
      </bottom>
      <diagonal/>
    </border>
    <border>
      <left style="thick">
        <color rgb="FF66FFFF"/>
      </left>
      <right style="thick">
        <color rgb="FF66FFFF"/>
      </right>
      <top style="thick">
        <color rgb="FF66FFFF"/>
      </top>
      <bottom/>
      <diagonal/>
    </border>
    <border>
      <left/>
      <right style="double">
        <color indexed="64"/>
      </right>
      <top/>
      <bottom style="thin">
        <color indexed="64"/>
      </bottom>
      <diagonal/>
    </border>
  </borders>
  <cellStyleXfs count="6">
    <xf numFmtId="0" fontId="0" fillId="0" borderId="0"/>
    <xf numFmtId="0" fontId="7" fillId="0" borderId="0" applyNumberFormat="0" applyFill="0" applyBorder="0" applyAlignment="0" applyProtection="0">
      <alignment vertical="top"/>
      <protection locked="0"/>
    </xf>
    <xf numFmtId="165"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cellStyleXfs>
  <cellXfs count="868">
    <xf numFmtId="0" fontId="0" fillId="0" borderId="0" xfId="0"/>
    <xf numFmtId="0" fontId="0" fillId="2" borderId="0" xfId="0" applyFill="1"/>
    <xf numFmtId="0" fontId="0" fillId="0" borderId="0" xfId="0" applyFill="1"/>
    <xf numFmtId="0" fontId="0" fillId="0" borderId="0" xfId="0" applyBorder="1"/>
    <xf numFmtId="0" fontId="0" fillId="2" borderId="0" xfId="0" applyFill="1" applyBorder="1"/>
    <xf numFmtId="0" fontId="0" fillId="0" borderId="1" xfId="0" applyBorder="1"/>
    <xf numFmtId="0" fontId="3" fillId="2" borderId="0" xfId="0" applyNumberFormat="1" applyFont="1" applyFill="1" applyBorder="1" applyProtection="1"/>
    <xf numFmtId="3" fontId="4" fillId="2" borderId="0" xfId="3" applyNumberFormat="1" applyFont="1" applyFill="1" applyBorder="1" applyAlignment="1" applyProtection="1">
      <alignment horizontal="right"/>
    </xf>
    <xf numFmtId="0" fontId="8" fillId="0" borderId="0" xfId="0" applyFont="1"/>
    <xf numFmtId="0" fontId="8" fillId="2" borderId="0" xfId="0" applyFont="1" applyFill="1" applyBorder="1" applyProtection="1"/>
    <xf numFmtId="0" fontId="10" fillId="0" borderId="0" xfId="0" applyFont="1"/>
    <xf numFmtId="0" fontId="4" fillId="0" borderId="0" xfId="0" applyFont="1"/>
    <xf numFmtId="0" fontId="10" fillId="2" borderId="0" xfId="0" applyFont="1" applyFill="1" applyBorder="1"/>
    <xf numFmtId="3" fontId="10" fillId="2" borderId="11" xfId="0" applyNumberFormat="1" applyFont="1" applyFill="1" applyBorder="1" applyProtection="1"/>
    <xf numFmtId="0" fontId="3" fillId="2" borderId="0" xfId="0" applyNumberFormat="1" applyFont="1" applyFill="1" applyBorder="1" applyAlignment="1" applyProtection="1">
      <alignment horizontal="center" wrapText="1"/>
    </xf>
    <xf numFmtId="10" fontId="4" fillId="2" borderId="0" xfId="0" applyNumberFormat="1" applyFont="1" applyFill="1" applyBorder="1" applyProtection="1"/>
    <xf numFmtId="3" fontId="3" fillId="2" borderId="0" xfId="3" applyNumberFormat="1" applyFont="1" applyFill="1" applyBorder="1" applyAlignment="1" applyProtection="1">
      <alignment horizontal="right"/>
    </xf>
    <xf numFmtId="10" fontId="9" fillId="2" borderId="0" xfId="0" applyNumberFormat="1" applyFont="1" applyFill="1" applyBorder="1" applyProtection="1"/>
    <xf numFmtId="3" fontId="3" fillId="2" borderId="0" xfId="0" applyNumberFormat="1" applyFont="1" applyFill="1" applyBorder="1" applyAlignment="1" applyProtection="1">
      <alignment horizontal="center" wrapText="1"/>
    </xf>
    <xf numFmtId="3" fontId="10" fillId="2" borderId="0" xfId="0" applyNumberFormat="1" applyFont="1" applyFill="1" applyBorder="1" applyProtection="1"/>
    <xf numFmtId="3" fontId="9" fillId="2" borderId="25" xfId="0" applyNumberFormat="1" applyFont="1" applyFill="1" applyBorder="1" applyProtection="1"/>
    <xf numFmtId="3" fontId="9" fillId="2" borderId="0" xfId="0" applyNumberFormat="1" applyFont="1" applyFill="1" applyBorder="1" applyProtection="1"/>
    <xf numFmtId="3" fontId="3" fillId="2" borderId="0" xfId="0" applyNumberFormat="1" applyFont="1" applyFill="1" applyBorder="1" applyProtection="1"/>
    <xf numFmtId="0" fontId="12" fillId="0" borderId="0" xfId="0" applyFont="1"/>
    <xf numFmtId="0" fontId="13" fillId="2" borderId="0" xfId="0" applyFont="1" applyFill="1"/>
    <xf numFmtId="0" fontId="4" fillId="2" borderId="0" xfId="0" applyFont="1" applyFill="1" applyProtection="1"/>
    <xf numFmtId="0" fontId="4" fillId="2" borderId="0" xfId="0" applyFont="1" applyFill="1"/>
    <xf numFmtId="0" fontId="14" fillId="0" borderId="0" xfId="0" applyFont="1"/>
    <xf numFmtId="3" fontId="12" fillId="0" borderId="0" xfId="0" applyNumberFormat="1" applyFont="1"/>
    <xf numFmtId="0" fontId="12" fillId="2" borderId="0" xfId="0" applyFont="1" applyFill="1"/>
    <xf numFmtId="3" fontId="0" fillId="0" borderId="0" xfId="0" applyNumberFormat="1"/>
    <xf numFmtId="9" fontId="4" fillId="2" borderId="0" xfId="0" applyNumberFormat="1" applyFont="1" applyFill="1" applyBorder="1" applyProtection="1"/>
    <xf numFmtId="0" fontId="12" fillId="2" borderId="0" xfId="0" applyFont="1" applyFill="1" applyBorder="1"/>
    <xf numFmtId="3" fontId="14" fillId="3" borderId="1" xfId="0" applyNumberFormat="1" applyFont="1" applyFill="1" applyBorder="1" applyAlignment="1" applyProtection="1">
      <alignment horizontal="right" vertical="center"/>
    </xf>
    <xf numFmtId="1" fontId="4" fillId="2" borderId="0" xfId="0" applyNumberFormat="1" applyFont="1" applyFill="1" applyBorder="1" applyProtection="1"/>
    <xf numFmtId="166" fontId="3" fillId="2" borderId="0" xfId="0" applyNumberFormat="1" applyFont="1" applyFill="1" applyBorder="1" applyAlignment="1" applyProtection="1">
      <alignment horizontal="left"/>
    </xf>
    <xf numFmtId="0" fontId="2" fillId="0" borderId="0" xfId="0" applyFont="1" applyProtection="1"/>
    <xf numFmtId="0" fontId="2" fillId="0" borderId="37" xfId="0" applyFont="1" applyBorder="1" applyProtection="1"/>
    <xf numFmtId="0" fontId="2" fillId="0" borderId="38" xfId="0" applyFont="1" applyBorder="1" applyProtection="1"/>
    <xf numFmtId="0" fontId="2" fillId="0" borderId="0" xfId="0" applyFont="1" applyBorder="1" applyProtection="1"/>
    <xf numFmtId="0" fontId="16" fillId="0" borderId="0" xfId="0" applyFont="1" applyProtection="1"/>
    <xf numFmtId="0" fontId="16" fillId="2" borderId="0" xfId="0" applyFont="1" applyFill="1" applyBorder="1" applyProtection="1"/>
    <xf numFmtId="0" fontId="10" fillId="0" borderId="0" xfId="0" applyFont="1" applyProtection="1"/>
    <xf numFmtId="0" fontId="10" fillId="2" borderId="40" xfId="0" applyNumberFormat="1" applyFont="1" applyFill="1" applyBorder="1" applyProtection="1"/>
    <xf numFmtId="0" fontId="10" fillId="2" borderId="0" xfId="0" applyFont="1" applyFill="1" applyBorder="1" applyProtection="1"/>
    <xf numFmtId="0" fontId="10" fillId="2" borderId="0" xfId="0" applyNumberFormat="1" applyFont="1" applyFill="1" applyBorder="1" applyProtection="1"/>
    <xf numFmtId="0" fontId="10" fillId="2" borderId="36" xfId="0" applyFont="1" applyFill="1" applyBorder="1" applyProtection="1"/>
    <xf numFmtId="0" fontId="0" fillId="0" borderId="0" xfId="0" applyFill="1" applyBorder="1"/>
    <xf numFmtId="166" fontId="4" fillId="2" borderId="0" xfId="0" applyNumberFormat="1" applyFont="1" applyFill="1" applyBorder="1" applyAlignment="1" applyProtection="1">
      <alignment horizontal="left"/>
    </xf>
    <xf numFmtId="0" fontId="5" fillId="0" borderId="0" xfId="0" applyNumberFormat="1" applyFont="1" applyFill="1" applyBorder="1" applyAlignment="1" applyProtection="1">
      <alignment horizontal="left"/>
    </xf>
    <xf numFmtId="0" fontId="3" fillId="0" borderId="0" xfId="0" applyNumberFormat="1" applyFont="1" applyFill="1" applyBorder="1" applyProtection="1"/>
    <xf numFmtId="3" fontId="3" fillId="0" borderId="0" xfId="3" applyNumberFormat="1" applyFont="1" applyFill="1" applyBorder="1" applyAlignment="1" applyProtection="1">
      <alignment horizontal="right"/>
    </xf>
    <xf numFmtId="0" fontId="12" fillId="0" borderId="25" xfId="0" applyFont="1" applyBorder="1"/>
    <xf numFmtId="0" fontId="12" fillId="0" borderId="0" xfId="0" applyFont="1" applyBorder="1"/>
    <xf numFmtId="0" fontId="0" fillId="0" borderId="0" xfId="0" applyFill="1" applyProtection="1"/>
    <xf numFmtId="0" fontId="20" fillId="0" borderId="0" xfId="0" applyFont="1" applyFill="1" applyProtection="1"/>
    <xf numFmtId="0" fontId="0" fillId="0" borderId="0" xfId="0" applyProtection="1"/>
    <xf numFmtId="0" fontId="11" fillId="0" borderId="0" xfId="0" applyFont="1" applyFill="1" applyBorder="1" applyAlignment="1" applyProtection="1">
      <alignment horizontal="left"/>
    </xf>
    <xf numFmtId="3" fontId="3" fillId="3" borderId="1" xfId="0" applyNumberFormat="1" applyFont="1" applyFill="1" applyBorder="1" applyAlignment="1" applyProtection="1">
      <alignment horizontal="right"/>
    </xf>
    <xf numFmtId="9" fontId="3" fillId="3" borderId="1" xfId="0" applyNumberFormat="1" applyFont="1" applyFill="1" applyBorder="1" applyAlignment="1" applyProtection="1">
      <alignment horizontal="right"/>
    </xf>
    <xf numFmtId="0" fontId="4" fillId="0" borderId="0" xfId="0" applyFont="1" applyProtection="1"/>
    <xf numFmtId="0" fontId="3" fillId="2" borderId="0" xfId="0" applyFont="1" applyFill="1" applyBorder="1" applyAlignment="1" applyProtection="1">
      <alignment horizontal="left"/>
    </xf>
    <xf numFmtId="3" fontId="3" fillId="2" borderId="0" xfId="0" applyNumberFormat="1" applyFont="1" applyFill="1" applyBorder="1" applyAlignment="1" applyProtection="1">
      <alignment horizontal="right"/>
    </xf>
    <xf numFmtId="0" fontId="0" fillId="2" borderId="0" xfId="0" applyFill="1" applyProtection="1"/>
    <xf numFmtId="0" fontId="0" fillId="2" borderId="0" xfId="0" applyFill="1" applyBorder="1" applyProtection="1"/>
    <xf numFmtId="0" fontId="0" fillId="0" borderId="0" xfId="0" applyBorder="1" applyProtection="1"/>
    <xf numFmtId="0" fontId="0" fillId="0" borderId="0" xfId="0" applyFill="1" applyBorder="1" applyProtection="1"/>
    <xf numFmtId="0" fontId="8" fillId="2" borderId="0" xfId="0" applyFont="1" applyFill="1" applyProtection="1"/>
    <xf numFmtId="0" fontId="8" fillId="0" borderId="0" xfId="0" applyFont="1" applyProtection="1"/>
    <xf numFmtId="0" fontId="4" fillId="0" borderId="0" xfId="0" applyFont="1" applyBorder="1" applyProtection="1"/>
    <xf numFmtId="3" fontId="4" fillId="2" borderId="0" xfId="0" applyNumberFormat="1" applyFont="1" applyFill="1" applyBorder="1" applyProtection="1"/>
    <xf numFmtId="3" fontId="10" fillId="0" borderId="0" xfId="0" applyNumberFormat="1" applyFont="1" applyProtection="1"/>
    <xf numFmtId="0" fontId="22" fillId="0" borderId="0" xfId="0" applyFont="1" applyProtection="1"/>
    <xf numFmtId="0" fontId="22" fillId="0" borderId="0" xfId="0" applyFont="1" applyAlignment="1" applyProtection="1">
      <alignment horizontal="left"/>
    </xf>
    <xf numFmtId="0" fontId="23" fillId="0" borderId="0" xfId="0" applyFont="1" applyFill="1" applyBorder="1" applyAlignment="1" applyProtection="1">
      <alignment horizontal="center"/>
    </xf>
    <xf numFmtId="0" fontId="27" fillId="0" borderId="0" xfId="0" applyFont="1"/>
    <xf numFmtId="0" fontId="20" fillId="0" borderId="0" xfId="0" applyFont="1" applyFill="1"/>
    <xf numFmtId="0" fontId="28" fillId="0" borderId="0" xfId="0" applyNumberFormat="1" applyFont="1" applyFill="1" applyBorder="1" applyAlignment="1" applyProtection="1">
      <alignment horizontal="left"/>
    </xf>
    <xf numFmtId="0" fontId="20" fillId="0" borderId="0" xfId="0" applyFont="1" applyFill="1" applyBorder="1"/>
    <xf numFmtId="0" fontId="29" fillId="0" borderId="0" xfId="0" applyFont="1"/>
    <xf numFmtId="0" fontId="29" fillId="2" borderId="0" xfId="0" applyFont="1" applyFill="1" applyBorder="1" applyProtection="1"/>
    <xf numFmtId="0" fontId="29" fillId="0" borderId="0" xfId="0" applyFont="1" applyBorder="1"/>
    <xf numFmtId="0" fontId="29" fillId="2" borderId="0" xfId="0" applyFont="1" applyFill="1" applyBorder="1"/>
    <xf numFmtId="0" fontId="14" fillId="0" borderId="1" xfId="0" applyFont="1" applyFill="1" applyBorder="1" applyAlignment="1" applyProtection="1">
      <alignment horizontal="left"/>
    </xf>
    <xf numFmtId="0" fontId="30" fillId="0" borderId="0" xfId="0" applyFont="1"/>
    <xf numFmtId="0" fontId="30" fillId="2" borderId="0" xfId="0" applyFont="1" applyFill="1"/>
    <xf numFmtId="0" fontId="30" fillId="0" borderId="0" xfId="0" applyFont="1" applyFill="1"/>
    <xf numFmtId="0" fontId="30" fillId="0" borderId="0" xfId="0" applyFont="1" applyFill="1" applyBorder="1"/>
    <xf numFmtId="0" fontId="30" fillId="0" borderId="0" xfId="0" applyFont="1" applyBorder="1"/>
    <xf numFmtId="3" fontId="30" fillId="0" borderId="0" xfId="0" applyNumberFormat="1" applyFont="1"/>
    <xf numFmtId="3" fontId="25" fillId="2" borderId="0" xfId="0" applyNumberFormat="1" applyFont="1" applyFill="1" applyBorder="1" applyProtection="1"/>
    <xf numFmtId="0" fontId="30" fillId="2" borderId="0" xfId="0" applyFont="1" applyFill="1" applyBorder="1"/>
    <xf numFmtId="3" fontId="30" fillId="0" borderId="0" xfId="0" applyNumberFormat="1" applyFont="1" applyFill="1"/>
    <xf numFmtId="3" fontId="12" fillId="0" borderId="1" xfId="0" applyNumberFormat="1" applyFont="1" applyFill="1" applyBorder="1" applyAlignment="1" applyProtection="1">
      <alignment horizontal="right" vertical="center"/>
    </xf>
    <xf numFmtId="3" fontId="14" fillId="0" borderId="1" xfId="0" applyNumberFormat="1" applyFont="1" applyFill="1" applyBorder="1" applyAlignment="1" applyProtection="1">
      <alignment horizontal="right" vertical="center"/>
    </xf>
    <xf numFmtId="3" fontId="12" fillId="0" borderId="1" xfId="0" applyNumberFormat="1" applyFont="1" applyFill="1" applyBorder="1"/>
    <xf numFmtId="3" fontId="12" fillId="0" borderId="1" xfId="0" applyNumberFormat="1" applyFont="1" applyFill="1" applyBorder="1" applyProtection="1"/>
    <xf numFmtId="0" fontId="0" fillId="0" borderId="0" xfId="0" applyAlignment="1">
      <alignment horizontal="center"/>
    </xf>
    <xf numFmtId="0" fontId="14" fillId="3" borderId="0" xfId="0" applyFont="1" applyFill="1" applyBorder="1" applyAlignment="1" applyProtection="1">
      <alignment horizontal="left" vertical="center" wrapText="1"/>
    </xf>
    <xf numFmtId="0" fontId="3" fillId="0" borderId="0" xfId="0" applyFont="1" applyFill="1" applyBorder="1" applyAlignment="1" applyProtection="1">
      <alignment horizontal="left" vertical="center" wrapText="1"/>
    </xf>
    <xf numFmtId="0" fontId="3" fillId="0" borderId="0" xfId="0" applyFont="1" applyFill="1" applyBorder="1" applyAlignment="1" applyProtection="1">
      <alignment horizontal="center" vertical="center" wrapText="1"/>
    </xf>
    <xf numFmtId="0" fontId="14" fillId="0" borderId="0" xfId="0" applyFont="1" applyFill="1" applyBorder="1" applyAlignment="1" applyProtection="1">
      <alignment horizontal="center" vertical="center" wrapText="1"/>
    </xf>
    <xf numFmtId="0" fontId="12" fillId="0" borderId="0" xfId="0" applyFont="1" applyFill="1" applyBorder="1" applyAlignment="1" applyProtection="1">
      <alignment horizontal="right" vertical="center"/>
    </xf>
    <xf numFmtId="0" fontId="14" fillId="0" borderId="0" xfId="0" applyFont="1" applyFill="1" applyBorder="1" applyAlignment="1" applyProtection="1">
      <alignment horizontal="left" vertical="center" wrapText="1"/>
    </xf>
    <xf numFmtId="0" fontId="12" fillId="0" borderId="0" xfId="0" applyFont="1" applyFill="1" applyBorder="1" applyAlignment="1" applyProtection="1">
      <alignment horizontal="left" vertical="center" wrapText="1"/>
    </xf>
    <xf numFmtId="3" fontId="12" fillId="0" borderId="0" xfId="0" applyNumberFormat="1" applyFont="1" applyFill="1" applyBorder="1" applyAlignment="1" applyProtection="1">
      <alignment horizontal="right" vertical="center"/>
    </xf>
    <xf numFmtId="3" fontId="12" fillId="0" borderId="0" xfId="0" applyNumberFormat="1" applyFont="1" applyFill="1" applyBorder="1" applyAlignment="1" applyProtection="1">
      <alignment horizontal="center" vertical="center" wrapText="1"/>
    </xf>
    <xf numFmtId="0" fontId="3" fillId="0" borderId="0" xfId="0" applyFont="1" applyAlignment="1">
      <alignment horizontal="center"/>
    </xf>
    <xf numFmtId="0" fontId="0" fillId="0" borderId="1" xfId="0" applyBorder="1" applyAlignment="1">
      <alignment horizontal="right"/>
    </xf>
    <xf numFmtId="0" fontId="3" fillId="3" borderId="1" xfId="0" applyFont="1" applyFill="1" applyBorder="1"/>
    <xf numFmtId="0" fontId="3" fillId="3" borderId="1" xfId="0" applyFont="1" applyFill="1" applyBorder="1" applyAlignment="1">
      <alignment horizontal="right"/>
    </xf>
    <xf numFmtId="0" fontId="0" fillId="3" borderId="1" xfId="0" applyFill="1" applyBorder="1" applyAlignment="1">
      <alignment horizontal="right"/>
    </xf>
    <xf numFmtId="0" fontId="2" fillId="3" borderId="1" xfId="0" applyFont="1" applyFill="1" applyBorder="1"/>
    <xf numFmtId="0" fontId="2" fillId="3" borderId="1" xfId="0" applyFont="1" applyFill="1" applyBorder="1" applyAlignment="1">
      <alignment horizontal="right"/>
    </xf>
    <xf numFmtId="4" fontId="12" fillId="0" borderId="1" xfId="0" applyNumberFormat="1" applyFont="1" applyFill="1" applyBorder="1" applyProtection="1"/>
    <xf numFmtId="168" fontId="12" fillId="0" borderId="1" xfId="0" applyNumberFormat="1" applyFont="1" applyFill="1" applyBorder="1" applyProtection="1"/>
    <xf numFmtId="0" fontId="12" fillId="0" borderId="1" xfId="0" applyFont="1" applyFill="1" applyBorder="1" applyAlignment="1" applyProtection="1">
      <alignment horizontal="left"/>
    </xf>
    <xf numFmtId="0" fontId="12" fillId="0" borderId="0" xfId="0" applyFont="1" applyFill="1"/>
    <xf numFmtId="10" fontId="12" fillId="0" borderId="1" xfId="4" applyNumberFormat="1" applyFont="1" applyFill="1" applyBorder="1" applyProtection="1"/>
    <xf numFmtId="10" fontId="12" fillId="0" borderId="1" xfId="0" applyNumberFormat="1" applyFont="1" applyFill="1" applyBorder="1" applyProtection="1"/>
    <xf numFmtId="0" fontId="0" fillId="7" borderId="37" xfId="0" applyFill="1" applyBorder="1"/>
    <xf numFmtId="0" fontId="0" fillId="7" borderId="38" xfId="0" applyFill="1" applyBorder="1"/>
    <xf numFmtId="0" fontId="0" fillId="7" borderId="39" xfId="0" applyFill="1" applyBorder="1"/>
    <xf numFmtId="0" fontId="0" fillId="7" borderId="40" xfId="0" applyFill="1" applyBorder="1"/>
    <xf numFmtId="0" fontId="0" fillId="7" borderId="0" xfId="0" applyFill="1" applyBorder="1"/>
    <xf numFmtId="0" fontId="0" fillId="7" borderId="36" xfId="0" applyFill="1" applyBorder="1"/>
    <xf numFmtId="0" fontId="3" fillId="7" borderId="0" xfId="0" applyFont="1" applyFill="1" applyBorder="1" applyAlignment="1">
      <alignment horizontal="center"/>
    </xf>
    <xf numFmtId="0" fontId="0" fillId="7" borderId="41" xfId="0" applyFill="1" applyBorder="1"/>
    <xf numFmtId="0" fontId="0" fillId="7" borderId="42" xfId="0" applyFill="1" applyBorder="1"/>
    <xf numFmtId="0" fontId="0" fillId="7" borderId="43" xfId="0" applyFill="1" applyBorder="1"/>
    <xf numFmtId="0" fontId="31" fillId="0" borderId="0" xfId="0" applyFont="1"/>
    <xf numFmtId="0" fontId="3" fillId="7" borderId="42" xfId="0" applyFont="1" applyFill="1" applyBorder="1"/>
    <xf numFmtId="0" fontId="2" fillId="2" borderId="0" xfId="0" applyNumberFormat="1" applyFont="1" applyFill="1" applyBorder="1" applyProtection="1"/>
    <xf numFmtId="164" fontId="1" fillId="0" borderId="0" xfId="3" applyNumberFormat="1" applyFont="1" applyBorder="1"/>
    <xf numFmtId="0" fontId="2" fillId="2" borderId="0" xfId="0" applyFont="1" applyFill="1" applyProtection="1"/>
    <xf numFmtId="0" fontId="2" fillId="0" borderId="0" xfId="0" applyFont="1" applyBorder="1"/>
    <xf numFmtId="44" fontId="29" fillId="8" borderId="0" xfId="3" applyFont="1" applyFill="1" applyBorder="1"/>
    <xf numFmtId="0" fontId="2" fillId="5" borderId="1" xfId="0" applyNumberFormat="1" applyFont="1" applyFill="1" applyBorder="1" applyProtection="1"/>
    <xf numFmtId="0" fontId="3" fillId="7" borderId="0" xfId="0" applyFont="1" applyFill="1" applyBorder="1" applyAlignment="1">
      <alignment horizontal="center"/>
    </xf>
    <xf numFmtId="0" fontId="3" fillId="7" borderId="0" xfId="0" applyFont="1" applyFill="1" applyBorder="1" applyAlignment="1">
      <alignment vertical="center"/>
    </xf>
    <xf numFmtId="0" fontId="2" fillId="2" borderId="0" xfId="0" applyFont="1" applyFill="1"/>
    <xf numFmtId="0" fontId="34" fillId="0" borderId="0" xfId="0" applyFont="1" applyBorder="1"/>
    <xf numFmtId="0" fontId="35" fillId="2" borderId="0" xfId="0" applyFont="1" applyFill="1"/>
    <xf numFmtId="49" fontId="0" fillId="0" borderId="0" xfId="0" applyNumberFormat="1"/>
    <xf numFmtId="0" fontId="37" fillId="0" borderId="1" xfId="5" applyFont="1" applyFill="1" applyBorder="1" applyAlignment="1">
      <alignment horizontal="left" vertical="center"/>
    </xf>
    <xf numFmtId="0" fontId="37" fillId="0" borderId="1" xfId="5" applyFont="1" applyFill="1" applyBorder="1" applyAlignment="1"/>
    <xf numFmtId="0" fontId="37" fillId="10" borderId="1" xfId="5" applyFont="1" applyFill="1" applyBorder="1" applyAlignment="1"/>
    <xf numFmtId="0" fontId="37" fillId="10" borderId="1" xfId="5" applyFont="1" applyFill="1" applyBorder="1" applyAlignment="1">
      <alignment horizontal="left" vertical="center"/>
    </xf>
    <xf numFmtId="0" fontId="0" fillId="0" borderId="0" xfId="0" applyAlignment="1"/>
    <xf numFmtId="0" fontId="36" fillId="9" borderId="1" xfId="5" applyFont="1" applyFill="1" applyBorder="1" applyAlignment="1">
      <alignment horizontal="center" vertical="center"/>
    </xf>
    <xf numFmtId="0" fontId="37" fillId="0" borderId="1" xfId="5" applyFont="1" applyFill="1" applyBorder="1" applyAlignment="1">
      <alignment horizontal="right" vertical="center"/>
    </xf>
    <xf numFmtId="0" fontId="38" fillId="11" borderId="0" xfId="0" applyNumberFormat="1" applyFont="1" applyFill="1" applyBorder="1" applyAlignment="1" applyProtection="1">
      <alignment horizontal="left" vertical="top"/>
    </xf>
    <xf numFmtId="0" fontId="39" fillId="11" borderId="0" xfId="0" applyNumberFormat="1" applyFont="1" applyFill="1" applyBorder="1" applyAlignment="1" applyProtection="1">
      <alignment horizontal="left" vertical="top"/>
    </xf>
    <xf numFmtId="0" fontId="34" fillId="0" borderId="0" xfId="0" applyFont="1" applyAlignment="1"/>
    <xf numFmtId="0" fontId="37" fillId="10" borderId="1" xfId="5" applyFont="1" applyFill="1" applyBorder="1" applyAlignment="1">
      <alignment horizontal="right" vertical="center"/>
    </xf>
    <xf numFmtId="0" fontId="40" fillId="0" borderId="0" xfId="0" applyFont="1" applyBorder="1" applyAlignment="1"/>
    <xf numFmtId="0" fontId="34" fillId="0" borderId="0" xfId="0" applyFont="1" applyBorder="1" applyAlignment="1"/>
    <xf numFmtId="0" fontId="34" fillId="0" borderId="0" xfId="0" applyFont="1" applyFill="1" applyAlignment="1"/>
    <xf numFmtId="0" fontId="16" fillId="2" borderId="36" xfId="0" applyFont="1" applyFill="1" applyBorder="1" applyProtection="1"/>
    <xf numFmtId="0" fontId="10" fillId="0" borderId="36" xfId="0" applyNumberFormat="1" applyFont="1" applyFill="1" applyBorder="1" applyAlignment="1" applyProtection="1">
      <alignment horizontal="left"/>
    </xf>
    <xf numFmtId="0" fontId="17" fillId="2" borderId="0" xfId="0" applyFont="1" applyFill="1" applyBorder="1" applyAlignment="1" applyProtection="1">
      <alignment horizontal="center" vertical="center"/>
    </xf>
    <xf numFmtId="0" fontId="18" fillId="0" borderId="0" xfId="0" applyFont="1" applyAlignment="1" applyProtection="1">
      <alignment horizontal="center" vertical="center"/>
    </xf>
    <xf numFmtId="0" fontId="10" fillId="0" borderId="0" xfId="0" applyFont="1" applyAlignment="1" applyProtection="1">
      <alignment horizontal="center" vertical="center"/>
    </xf>
    <xf numFmtId="0" fontId="16" fillId="0" borderId="40" xfId="0" applyFont="1" applyBorder="1" applyProtection="1"/>
    <xf numFmtId="0" fontId="16" fillId="2" borderId="12" xfId="0" applyFont="1" applyFill="1" applyBorder="1" applyProtection="1"/>
    <xf numFmtId="0" fontId="2" fillId="12" borderId="51" xfId="0" applyFont="1" applyFill="1" applyBorder="1" applyProtection="1"/>
    <xf numFmtId="0" fontId="2" fillId="0" borderId="54" xfId="0" applyNumberFormat="1" applyFont="1" applyFill="1" applyBorder="1" applyAlignment="1" applyProtection="1">
      <alignment horizontal="center" vertical="center"/>
      <protection locked="0"/>
    </xf>
    <xf numFmtId="0" fontId="10" fillId="2" borderId="0" xfId="0" applyNumberFormat="1" applyFont="1" applyFill="1" applyBorder="1" applyAlignment="1" applyProtection="1">
      <alignment vertical="center"/>
    </xf>
    <xf numFmtId="0" fontId="10" fillId="0" borderId="36" xfId="0" applyFont="1" applyFill="1" applyBorder="1" applyAlignment="1" applyProtection="1">
      <alignment horizontal="center"/>
    </xf>
    <xf numFmtId="0" fontId="16" fillId="2" borderId="58" xfId="0" applyFont="1" applyFill="1" applyBorder="1" applyProtection="1"/>
    <xf numFmtId="3" fontId="2" fillId="0" borderId="54" xfId="0" applyNumberFormat="1" applyFont="1" applyFill="1" applyBorder="1" applyAlignment="1" applyProtection="1">
      <alignment horizontal="center" vertical="center"/>
      <protection locked="0"/>
    </xf>
    <xf numFmtId="0" fontId="2" fillId="2" borderId="0" xfId="0" applyFont="1" applyFill="1" applyBorder="1" applyProtection="1"/>
    <xf numFmtId="0" fontId="2" fillId="2" borderId="0" xfId="0" applyNumberFormat="1" applyFont="1" applyFill="1" applyBorder="1" applyAlignment="1" applyProtection="1">
      <alignment vertical="center"/>
    </xf>
    <xf numFmtId="0" fontId="10" fillId="2" borderId="0" xfId="0" applyNumberFormat="1" applyFont="1" applyFill="1" applyBorder="1" applyAlignment="1" applyProtection="1">
      <alignment horizontal="right" vertical="center"/>
    </xf>
    <xf numFmtId="0" fontId="2" fillId="2" borderId="0" xfId="0" applyNumberFormat="1" applyFont="1" applyFill="1" applyBorder="1" applyAlignment="1" applyProtection="1">
      <alignment horizontal="right" vertical="center"/>
    </xf>
    <xf numFmtId="0" fontId="2" fillId="2" borderId="0" xfId="0" applyNumberFormat="1" applyFont="1" applyFill="1" applyBorder="1" applyAlignment="1" applyProtection="1">
      <alignment horizontal="left" vertical="center"/>
    </xf>
    <xf numFmtId="0" fontId="2" fillId="2" borderId="0" xfId="0" applyFont="1" applyFill="1" applyBorder="1" applyAlignment="1" applyProtection="1">
      <alignment horizontal="right" vertical="center"/>
    </xf>
    <xf numFmtId="0" fontId="10" fillId="2" borderId="41" xfId="0" applyNumberFormat="1" applyFont="1" applyFill="1" applyBorder="1" applyProtection="1"/>
    <xf numFmtId="0" fontId="10" fillId="2" borderId="42" xfId="0" applyNumberFormat="1" applyFont="1" applyFill="1" applyBorder="1" applyProtection="1"/>
    <xf numFmtId="0" fontId="10" fillId="2" borderId="43" xfId="0" applyNumberFormat="1" applyFont="1" applyFill="1" applyBorder="1" applyProtection="1"/>
    <xf numFmtId="0" fontId="10" fillId="0" borderId="39" xfId="0" applyNumberFormat="1" applyFont="1" applyFill="1" applyBorder="1" applyAlignment="1" applyProtection="1">
      <alignment horizontal="left"/>
    </xf>
    <xf numFmtId="170" fontId="2" fillId="0" borderId="54" xfId="0" applyNumberFormat="1" applyFont="1" applyFill="1" applyBorder="1" applyAlignment="1" applyProtection="1">
      <alignment horizontal="center" vertical="center"/>
      <protection locked="0"/>
    </xf>
    <xf numFmtId="0" fontId="2" fillId="2" borderId="0" xfId="0" applyFont="1" applyFill="1" applyBorder="1" applyAlignment="1" applyProtection="1">
      <alignment horizontal="left" vertical="center"/>
    </xf>
    <xf numFmtId="0" fontId="2" fillId="2" borderId="0" xfId="0" applyFont="1" applyFill="1" applyBorder="1" applyAlignment="1" applyProtection="1">
      <alignment horizontal="center" vertical="center"/>
    </xf>
    <xf numFmtId="0" fontId="2" fillId="0" borderId="54" xfId="0" applyFont="1" applyFill="1" applyBorder="1" applyAlignment="1" applyProtection="1">
      <alignment horizontal="center" vertical="center"/>
      <protection locked="0"/>
    </xf>
    <xf numFmtId="0" fontId="39" fillId="0" borderId="0" xfId="0" applyFont="1"/>
    <xf numFmtId="0" fontId="7" fillId="2" borderId="0" xfId="1" applyNumberFormat="1" applyFill="1" applyBorder="1" applyAlignment="1" applyProtection="1">
      <alignment horizontal="right" vertical="center"/>
    </xf>
    <xf numFmtId="0" fontId="10" fillId="2" borderId="0" xfId="0" applyNumberFormat="1" applyFont="1" applyFill="1" applyBorder="1" applyAlignment="1" applyProtection="1">
      <alignment horizontal="right" vertical="center"/>
    </xf>
    <xf numFmtId="0" fontId="23" fillId="0" borderId="25" xfId="0" applyFont="1" applyFill="1" applyBorder="1" applyAlignment="1" applyProtection="1">
      <alignment horizontal="center"/>
    </xf>
    <xf numFmtId="0" fontId="23" fillId="0" borderId="13" xfId="0" applyFont="1" applyFill="1" applyBorder="1" applyAlignment="1" applyProtection="1">
      <alignment horizontal="center"/>
    </xf>
    <xf numFmtId="0" fontId="23" fillId="0" borderId="34" xfId="0" applyFont="1" applyFill="1" applyBorder="1" applyAlignment="1" applyProtection="1">
      <alignment horizontal="center"/>
    </xf>
    <xf numFmtId="0" fontId="23" fillId="0" borderId="10" xfId="0" applyFont="1" applyFill="1" applyBorder="1" applyAlignment="1" applyProtection="1">
      <alignment horizontal="center"/>
    </xf>
    <xf numFmtId="0" fontId="23" fillId="0" borderId="25" xfId="0" applyFont="1" applyFill="1" applyBorder="1" applyAlignment="1" applyProtection="1">
      <alignment horizontal="left" indent="10"/>
    </xf>
    <xf numFmtId="0" fontId="41" fillId="0" borderId="63" xfId="0" applyFont="1" applyFill="1" applyBorder="1" applyAlignment="1" applyProtection="1">
      <alignment horizontal="left" indent="10"/>
    </xf>
    <xf numFmtId="0" fontId="0" fillId="0" borderId="54" xfId="0" applyFill="1" applyBorder="1" applyAlignment="1">
      <alignment horizontal="center" vertical="center"/>
    </xf>
    <xf numFmtId="0" fontId="23" fillId="0" borderId="57" xfId="0" applyFont="1" applyFill="1" applyBorder="1" applyAlignment="1" applyProtection="1">
      <alignment horizontal="center"/>
    </xf>
    <xf numFmtId="0" fontId="22" fillId="0" borderId="0" xfId="0" applyFont="1" applyBorder="1" applyProtection="1"/>
    <xf numFmtId="0" fontId="7" fillId="0" borderId="0" xfId="1" applyBorder="1" applyAlignment="1" applyProtection="1"/>
    <xf numFmtId="0" fontId="2" fillId="0" borderId="64" xfId="0" applyFont="1" applyBorder="1" applyProtection="1"/>
    <xf numFmtId="0" fontId="0" fillId="0" borderId="65" xfId="0" applyBorder="1" applyProtection="1"/>
    <xf numFmtId="0" fontId="0" fillId="0" borderId="66" xfId="0" applyBorder="1" applyProtection="1"/>
    <xf numFmtId="0" fontId="0" fillId="0" borderId="40" xfId="0" applyBorder="1" applyProtection="1"/>
    <xf numFmtId="0" fontId="0" fillId="0" borderId="36" xfId="0" applyBorder="1" applyProtection="1"/>
    <xf numFmtId="0" fontId="0" fillId="0" borderId="40" xfId="0" applyFill="1" applyBorder="1" applyProtection="1"/>
    <xf numFmtId="0" fontId="0" fillId="0" borderId="36" xfId="0" applyFill="1" applyBorder="1" applyProtection="1"/>
    <xf numFmtId="0" fontId="20" fillId="0" borderId="40" xfId="0" applyFont="1" applyFill="1" applyBorder="1" applyProtection="1"/>
    <xf numFmtId="0" fontId="11" fillId="0" borderId="40" xfId="0" applyFont="1" applyFill="1" applyBorder="1" applyAlignment="1" applyProtection="1">
      <alignment horizontal="left"/>
    </xf>
    <xf numFmtId="0" fontId="3" fillId="2" borderId="40" xfId="0" applyFont="1" applyFill="1" applyBorder="1" applyAlignment="1" applyProtection="1">
      <alignment horizontal="left"/>
    </xf>
    <xf numFmtId="0" fontId="0" fillId="2" borderId="36" xfId="0" applyFill="1" applyBorder="1" applyProtection="1"/>
    <xf numFmtId="0" fontId="0" fillId="0" borderId="67" xfId="0" applyBorder="1" applyProtection="1"/>
    <xf numFmtId="0" fontId="41" fillId="0" borderId="40" xfId="0" applyFont="1" applyFill="1" applyBorder="1" applyAlignment="1" applyProtection="1">
      <alignment horizontal="left" indent="10"/>
    </xf>
    <xf numFmtId="0" fontId="23" fillId="0" borderId="40" xfId="0" applyFont="1" applyFill="1" applyBorder="1" applyAlignment="1" applyProtection="1">
      <alignment horizontal="left" indent="10"/>
    </xf>
    <xf numFmtId="3" fontId="3" fillId="3" borderId="1" xfId="0" applyNumberFormat="1" applyFont="1" applyFill="1" applyBorder="1" applyAlignment="1" applyProtection="1">
      <alignment horizontal="center" vertical="center"/>
    </xf>
    <xf numFmtId="3" fontId="4" fillId="4" borderId="1" xfId="0" applyNumberFormat="1" applyFont="1" applyFill="1" applyBorder="1" applyAlignment="1" applyProtection="1">
      <alignment horizontal="center" vertical="center"/>
    </xf>
    <xf numFmtId="3" fontId="3" fillId="3" borderId="24" xfId="0" applyNumberFormat="1" applyFont="1" applyFill="1" applyBorder="1" applyAlignment="1" applyProtection="1">
      <alignment horizontal="center" vertical="center"/>
    </xf>
    <xf numFmtId="9" fontId="0" fillId="4" borderId="1" xfId="0" applyNumberFormat="1" applyFill="1" applyBorder="1" applyAlignment="1" applyProtection="1">
      <alignment horizontal="center" vertical="center"/>
    </xf>
    <xf numFmtId="0" fontId="0" fillId="2" borderId="40" xfId="0" applyFill="1" applyBorder="1" applyProtection="1"/>
    <xf numFmtId="0" fontId="3" fillId="3" borderId="1" xfId="0" applyFont="1" applyFill="1" applyBorder="1" applyAlignment="1" applyProtection="1">
      <alignment horizontal="center" vertical="center"/>
    </xf>
    <xf numFmtId="171" fontId="3" fillId="3" borderId="1" xfId="0" applyNumberFormat="1" applyFont="1" applyFill="1" applyBorder="1" applyAlignment="1" applyProtection="1">
      <alignment vertical="center"/>
    </xf>
    <xf numFmtId="0" fontId="0" fillId="0" borderId="41" xfId="0" applyBorder="1" applyProtection="1"/>
    <xf numFmtId="0" fontId="0" fillId="0" borderId="42" xfId="0" applyBorder="1" applyProtection="1"/>
    <xf numFmtId="0" fontId="0" fillId="0" borderId="43" xfId="0" applyBorder="1" applyProtection="1"/>
    <xf numFmtId="0" fontId="3" fillId="0" borderId="0" xfId="0" applyFont="1" applyFill="1" applyBorder="1" applyAlignment="1" applyProtection="1">
      <alignment horizontal="center"/>
    </xf>
    <xf numFmtId="3" fontId="3" fillId="0" borderId="0" xfId="0" applyNumberFormat="1" applyFont="1" applyFill="1" applyBorder="1" applyAlignment="1" applyProtection="1">
      <alignment horizontal="center" vertical="center"/>
    </xf>
    <xf numFmtId="171" fontId="3" fillId="0" borderId="0" xfId="0" applyNumberFormat="1" applyFont="1" applyFill="1" applyBorder="1" applyAlignment="1" applyProtection="1">
      <alignment horizontal="right" vertical="center"/>
    </xf>
    <xf numFmtId="0" fontId="3" fillId="0" borderId="40" xfId="0" applyFont="1" applyFill="1" applyBorder="1" applyAlignment="1" applyProtection="1">
      <alignment horizontal="center"/>
    </xf>
    <xf numFmtId="0" fontId="2" fillId="0" borderId="65" xfId="0" applyFont="1" applyBorder="1" applyProtection="1"/>
    <xf numFmtId="0" fontId="23" fillId="0" borderId="0" xfId="0" applyFont="1" applyFill="1" applyBorder="1" applyAlignment="1" applyProtection="1">
      <alignment horizontal="left" indent="10"/>
    </xf>
    <xf numFmtId="0" fontId="20" fillId="0" borderId="0" xfId="0" applyFont="1" applyFill="1" applyBorder="1" applyProtection="1"/>
    <xf numFmtId="0" fontId="2" fillId="5" borderId="1" xfId="0" applyFont="1" applyFill="1" applyBorder="1" applyAlignment="1" applyProtection="1">
      <alignment horizontal="center" vertical="center"/>
    </xf>
    <xf numFmtId="0" fontId="2" fillId="0" borderId="1" xfId="0" applyFont="1" applyFill="1" applyBorder="1" applyAlignment="1" applyProtection="1">
      <alignment horizontal="center" vertical="center"/>
      <protection locked="0"/>
    </xf>
    <xf numFmtId="3" fontId="2" fillId="4" borderId="1" xfId="0" applyNumberFormat="1" applyFont="1" applyFill="1" applyBorder="1" applyAlignment="1" applyProtection="1">
      <alignment horizontal="center" vertical="center"/>
    </xf>
    <xf numFmtId="171" fontId="2" fillId="4" borderId="1" xfId="0" applyNumberFormat="1" applyFont="1" applyFill="1" applyBorder="1" applyAlignment="1" applyProtection="1">
      <alignment horizontal="right" vertical="center"/>
    </xf>
    <xf numFmtId="0" fontId="0" fillId="0" borderId="38" xfId="0" applyBorder="1" applyProtection="1"/>
    <xf numFmtId="0" fontId="0" fillId="0" borderId="39" xfId="0" applyBorder="1" applyProtection="1"/>
    <xf numFmtId="3" fontId="0" fillId="4" borderId="2" xfId="0" applyNumberFormat="1" applyFill="1" applyBorder="1" applyAlignment="1" applyProtection="1">
      <alignment horizontal="center" vertical="center"/>
    </xf>
    <xf numFmtId="3" fontId="0" fillId="4" borderId="1" xfId="0" applyNumberFormat="1" applyFill="1" applyBorder="1" applyAlignment="1" applyProtection="1">
      <alignment horizontal="center" vertical="center"/>
    </xf>
    <xf numFmtId="9" fontId="0" fillId="4" borderId="8" xfId="0" applyNumberFormat="1" applyFill="1" applyBorder="1" applyAlignment="1" applyProtection="1">
      <alignment horizontal="center" vertical="center"/>
    </xf>
    <xf numFmtId="9" fontId="0" fillId="4" borderId="44" xfId="0" applyNumberFormat="1" applyFill="1" applyBorder="1" applyAlignment="1" applyProtection="1">
      <alignment horizontal="center" vertical="center"/>
    </xf>
    <xf numFmtId="0" fontId="0" fillId="5" borderId="3" xfId="0" applyFill="1" applyBorder="1" applyAlignment="1" applyProtection="1">
      <alignment horizontal="center" vertical="center"/>
    </xf>
    <xf numFmtId="0" fontId="0" fillId="5" borderId="24" xfId="0" applyFill="1" applyBorder="1" applyAlignment="1" applyProtection="1">
      <alignment horizontal="center" vertical="center"/>
    </xf>
    <xf numFmtId="0" fontId="0" fillId="2" borderId="42" xfId="0" applyFill="1" applyBorder="1" applyProtection="1"/>
    <xf numFmtId="3" fontId="0" fillId="0" borderId="0" xfId="0" applyNumberFormat="1" applyFill="1" applyBorder="1" applyAlignment="1" applyProtection="1">
      <alignment horizontal="center" vertical="center" wrapText="1"/>
    </xf>
    <xf numFmtId="9" fontId="0" fillId="0" borderId="0" xfId="0" applyNumberFormat="1" applyFill="1" applyBorder="1" applyAlignment="1" applyProtection="1">
      <alignment horizontal="center" vertical="center"/>
    </xf>
    <xf numFmtId="9" fontId="0" fillId="0" borderId="0" xfId="0" applyNumberFormat="1" applyFill="1" applyBorder="1" applyAlignment="1" applyProtection="1">
      <alignment horizontal="center" vertical="center" wrapText="1"/>
    </xf>
    <xf numFmtId="0" fontId="2" fillId="0" borderId="0" xfId="0" applyFont="1" applyProtection="1">
      <protection locked="0"/>
    </xf>
    <xf numFmtId="0" fontId="0" fillId="0" borderId="0" xfId="0" applyProtection="1">
      <protection locked="0"/>
    </xf>
    <xf numFmtId="0" fontId="0" fillId="0" borderId="0" xfId="0" applyFill="1" applyProtection="1">
      <protection locked="0"/>
    </xf>
    <xf numFmtId="0" fontId="10" fillId="0" borderId="54" xfId="0" applyFont="1" applyBorder="1" applyAlignment="1" applyProtection="1">
      <alignment horizontal="center" vertical="center"/>
      <protection locked="0"/>
    </xf>
    <xf numFmtId="0" fontId="2" fillId="2" borderId="54" xfId="0" applyFont="1" applyFill="1" applyBorder="1" applyAlignment="1" applyProtection="1">
      <alignment horizontal="center" vertical="center"/>
      <protection locked="0"/>
    </xf>
    <xf numFmtId="0" fontId="10" fillId="2" borderId="54" xfId="0" applyNumberFormat="1" applyFont="1" applyFill="1" applyBorder="1" applyAlignment="1" applyProtection="1">
      <alignment horizontal="center" vertical="center"/>
      <protection locked="0"/>
    </xf>
    <xf numFmtId="0" fontId="0" fillId="2" borderId="0" xfId="0" applyFill="1" applyProtection="1">
      <protection locked="0"/>
    </xf>
    <xf numFmtId="0" fontId="3" fillId="3" borderId="1" xfId="0" applyFont="1" applyFill="1" applyBorder="1" applyAlignment="1" applyProtection="1">
      <alignment horizontal="center" vertical="center" wrapText="1"/>
    </xf>
    <xf numFmtId="0" fontId="0" fillId="2" borderId="0" xfId="0" applyFill="1" applyBorder="1" applyProtection="1">
      <protection locked="0"/>
    </xf>
    <xf numFmtId="0" fontId="3" fillId="3" borderId="1" xfId="0" applyFont="1" applyFill="1" applyBorder="1" applyAlignment="1" applyProtection="1">
      <alignment horizontal="center" vertical="center" wrapText="1"/>
    </xf>
    <xf numFmtId="9" fontId="0" fillId="15" borderId="8" xfId="0" applyNumberFormat="1" applyFill="1" applyBorder="1" applyAlignment="1" applyProtection="1">
      <alignment horizontal="center" vertical="center"/>
    </xf>
    <xf numFmtId="171" fontId="0" fillId="4" borderId="17" xfId="0" applyNumberFormat="1" applyFill="1" applyBorder="1" applyAlignment="1" applyProtection="1">
      <alignment horizontal="center" vertical="center"/>
    </xf>
    <xf numFmtId="0" fontId="0" fillId="2" borderId="58" xfId="0" applyFill="1" applyBorder="1" applyProtection="1"/>
    <xf numFmtId="0" fontId="0" fillId="2" borderId="68" xfId="0" applyFill="1" applyBorder="1" applyProtection="1"/>
    <xf numFmtId="0" fontId="3" fillId="3" borderId="1" xfId="0" applyNumberFormat="1" applyFont="1" applyFill="1" applyBorder="1" applyAlignment="1" applyProtection="1">
      <alignment horizontal="center" vertical="center" wrapText="1"/>
    </xf>
    <xf numFmtId="9" fontId="0" fillId="15" borderId="1" xfId="0" applyNumberFormat="1" applyFill="1" applyBorder="1" applyAlignment="1" applyProtection="1">
      <alignment horizontal="center" vertical="center" wrapText="1"/>
    </xf>
    <xf numFmtId="9" fontId="4" fillId="4" borderId="1" xfId="0" applyNumberFormat="1" applyFont="1" applyFill="1" applyBorder="1" applyAlignment="1" applyProtection="1">
      <alignment horizontal="center" vertical="center"/>
    </xf>
    <xf numFmtId="0" fontId="3" fillId="3" borderId="1" xfId="0" applyNumberFormat="1" applyFont="1" applyFill="1" applyBorder="1" applyAlignment="1" applyProtection="1">
      <alignment horizontal="center" vertical="center"/>
    </xf>
    <xf numFmtId="0" fontId="2" fillId="0" borderId="1" xfId="0" applyNumberFormat="1" applyFont="1" applyFill="1" applyBorder="1" applyProtection="1">
      <protection locked="0"/>
    </xf>
    <xf numFmtId="171" fontId="0" fillId="0" borderId="1" xfId="0" applyNumberFormat="1" applyFill="1" applyBorder="1" applyAlignment="1" applyProtection="1">
      <alignment horizontal="center" vertical="center"/>
      <protection locked="0"/>
    </xf>
    <xf numFmtId="0" fontId="2" fillId="0" borderId="1" xfId="0" applyNumberFormat="1" applyFont="1" applyFill="1" applyBorder="1" applyAlignment="1" applyProtection="1">
      <alignment horizontal="left"/>
      <protection locked="0"/>
    </xf>
    <xf numFmtId="171" fontId="3" fillId="17" borderId="1" xfId="0" applyNumberFormat="1" applyFont="1" applyFill="1" applyBorder="1" applyAlignment="1" applyProtection="1">
      <alignment horizontal="right" vertical="center"/>
    </xf>
    <xf numFmtId="3" fontId="44" fillId="2" borderId="0" xfId="3" applyNumberFormat="1" applyFont="1" applyFill="1" applyBorder="1" applyAlignment="1" applyProtection="1">
      <alignment horizontal="right"/>
    </xf>
    <xf numFmtId="0" fontId="3" fillId="3" borderId="1" xfId="0" applyNumberFormat="1" applyFont="1" applyFill="1" applyBorder="1" applyAlignment="1" applyProtection="1">
      <alignment vertical="center"/>
    </xf>
    <xf numFmtId="0" fontId="0" fillId="0" borderId="47" xfId="0" applyBorder="1" applyProtection="1"/>
    <xf numFmtId="0" fontId="0" fillId="0" borderId="48" xfId="0" applyBorder="1" applyProtection="1"/>
    <xf numFmtId="0" fontId="0" fillId="0" borderId="49" xfId="0" applyBorder="1" applyProtection="1"/>
    <xf numFmtId="10" fontId="3" fillId="5" borderId="1" xfId="0" applyNumberFormat="1" applyFont="1" applyFill="1" applyBorder="1" applyAlignment="1" applyProtection="1">
      <alignment vertical="center"/>
    </xf>
    <xf numFmtId="9" fontId="4" fillId="2" borderId="40" xfId="0" applyNumberFormat="1" applyFont="1" applyFill="1" applyBorder="1" applyProtection="1"/>
    <xf numFmtId="0" fontId="0" fillId="0" borderId="69" xfId="0" applyBorder="1" applyProtection="1"/>
    <xf numFmtId="0" fontId="0" fillId="0" borderId="70" xfId="0" applyBorder="1" applyProtection="1"/>
    <xf numFmtId="0" fontId="0" fillId="0" borderId="71" xfId="0" applyBorder="1" applyProtection="1"/>
    <xf numFmtId="0" fontId="3" fillId="2" borderId="67" xfId="0" applyNumberFormat="1" applyFont="1" applyFill="1" applyBorder="1" applyProtection="1"/>
    <xf numFmtId="0" fontId="3" fillId="2" borderId="40" xfId="0" applyNumberFormat="1" applyFont="1" applyFill="1" applyBorder="1" applyProtection="1"/>
    <xf numFmtId="0" fontId="41" fillId="0" borderId="72" xfId="0" applyFont="1" applyFill="1" applyBorder="1" applyAlignment="1" applyProtection="1">
      <alignment horizontal="left" indent="10"/>
    </xf>
    <xf numFmtId="0" fontId="41" fillId="0" borderId="59" xfId="0" applyFont="1" applyFill="1" applyBorder="1" applyAlignment="1" applyProtection="1"/>
    <xf numFmtId="9" fontId="4" fillId="15" borderId="1" xfId="0" applyNumberFormat="1" applyFont="1" applyFill="1" applyBorder="1" applyAlignment="1" applyProtection="1">
      <alignment horizontal="center" vertical="center"/>
    </xf>
    <xf numFmtId="173" fontId="2" fillId="0" borderId="54" xfId="0" applyNumberFormat="1" applyFont="1" applyFill="1" applyBorder="1" applyAlignment="1" applyProtection="1">
      <alignment horizontal="center" vertical="center"/>
      <protection locked="0"/>
    </xf>
    <xf numFmtId="3" fontId="10" fillId="0" borderId="1" xfId="0" applyNumberFormat="1" applyFont="1" applyFill="1" applyBorder="1" applyAlignment="1" applyProtection="1">
      <alignment horizontal="center" vertical="center"/>
      <protection locked="0"/>
    </xf>
    <xf numFmtId="171" fontId="0" fillId="4" borderId="1" xfId="0" applyNumberFormat="1" applyFill="1" applyBorder="1" applyAlignment="1" applyProtection="1">
      <alignment horizontal="right" vertical="center"/>
    </xf>
    <xf numFmtId="166" fontId="3" fillId="3" borderId="1" xfId="0" applyNumberFormat="1" applyFont="1" applyFill="1" applyBorder="1" applyAlignment="1" applyProtection="1">
      <alignment horizontal="center" vertical="center"/>
    </xf>
    <xf numFmtId="0" fontId="3" fillId="3" borderId="1" xfId="0" applyFont="1" applyFill="1" applyBorder="1" applyAlignment="1" applyProtection="1">
      <alignment horizontal="center" vertical="center" wrapText="1"/>
    </xf>
    <xf numFmtId="1" fontId="4" fillId="0" borderId="1" xfId="0" applyNumberFormat="1" applyFont="1" applyFill="1" applyBorder="1" applyAlignment="1" applyProtection="1">
      <alignment horizontal="center" vertical="center"/>
      <protection locked="0"/>
    </xf>
    <xf numFmtId="0" fontId="8" fillId="2" borderId="0" xfId="0" applyFont="1" applyFill="1" applyProtection="1">
      <protection locked="0"/>
    </xf>
    <xf numFmtId="1" fontId="3" fillId="17" borderId="1" xfId="0" applyNumberFormat="1" applyFont="1" applyFill="1" applyBorder="1" applyAlignment="1" applyProtection="1">
      <alignment horizontal="center" vertical="center" wrapText="1"/>
    </xf>
    <xf numFmtId="166" fontId="3" fillId="3" borderId="1" xfId="0" applyNumberFormat="1" applyFont="1" applyFill="1" applyBorder="1" applyAlignment="1" applyProtection="1">
      <alignment horizontal="center" vertical="center"/>
    </xf>
    <xf numFmtId="166" fontId="3" fillId="3" borderId="1" xfId="0" applyNumberFormat="1" applyFont="1" applyFill="1" applyBorder="1" applyAlignment="1" applyProtection="1">
      <alignment horizontal="center" vertical="center" wrapText="1"/>
    </xf>
    <xf numFmtId="1" fontId="4" fillId="3" borderId="1" xfId="0" applyNumberFormat="1" applyFont="1" applyFill="1" applyBorder="1" applyProtection="1"/>
    <xf numFmtId="0" fontId="3" fillId="14" borderId="68" xfId="0" applyNumberFormat="1" applyFont="1" applyFill="1" applyBorder="1" applyAlignment="1" applyProtection="1">
      <alignment horizontal="center" vertical="top"/>
    </xf>
    <xf numFmtId="171" fontId="0" fillId="0" borderId="1" xfId="0" applyNumberFormat="1" applyFill="1" applyBorder="1" applyAlignment="1" applyProtection="1">
      <alignment horizontal="right" vertical="center"/>
      <protection locked="0"/>
    </xf>
    <xf numFmtId="171" fontId="2" fillId="4" borderId="1" xfId="0" applyNumberFormat="1" applyFont="1" applyFill="1" applyBorder="1" applyAlignment="1" applyProtection="1">
      <alignment vertical="center"/>
    </xf>
    <xf numFmtId="10" fontId="2" fillId="5" borderId="1" xfId="0" applyNumberFormat="1" applyFont="1" applyFill="1" applyBorder="1" applyAlignment="1" applyProtection="1">
      <alignment vertical="center"/>
    </xf>
    <xf numFmtId="9" fontId="2" fillId="5" borderId="1" xfId="0" applyNumberFormat="1" applyFont="1" applyFill="1" applyBorder="1" applyAlignment="1" applyProtection="1">
      <alignment vertical="center"/>
    </xf>
    <xf numFmtId="0" fontId="3" fillId="17" borderId="1" xfId="0" applyNumberFormat="1" applyFont="1" applyFill="1" applyBorder="1" applyAlignment="1" applyProtection="1">
      <alignment horizontal="center" vertical="center"/>
    </xf>
    <xf numFmtId="0" fontId="24" fillId="3" borderId="1" xfId="0" applyFont="1" applyFill="1" applyBorder="1" applyAlignment="1" applyProtection="1">
      <alignment horizontal="center" vertical="center" wrapText="1"/>
    </xf>
    <xf numFmtId="0" fontId="14" fillId="3" borderId="1" xfId="0" applyFont="1" applyFill="1" applyBorder="1" applyAlignment="1" applyProtection="1">
      <alignment horizontal="center" vertical="center" wrapText="1"/>
    </xf>
    <xf numFmtId="0" fontId="21" fillId="4" borderId="1" xfId="0" applyFont="1" applyFill="1" applyBorder="1" applyAlignment="1" applyProtection="1">
      <alignment horizontal="left" vertical="center" wrapText="1"/>
    </xf>
    <xf numFmtId="3" fontId="4" fillId="0" borderId="1" xfId="0" applyNumberFormat="1" applyFont="1" applyFill="1" applyBorder="1" applyAlignment="1" applyProtection="1">
      <alignment horizontal="center" vertical="center" wrapText="1"/>
      <protection locked="0"/>
    </xf>
    <xf numFmtId="3" fontId="4" fillId="8" borderId="1" xfId="0" applyNumberFormat="1" applyFont="1" applyFill="1" applyBorder="1" applyAlignment="1" applyProtection="1">
      <alignment horizontal="center" vertical="center"/>
      <protection locked="0"/>
    </xf>
    <xf numFmtId="4" fontId="4" fillId="15" borderId="1" xfId="0" applyNumberFormat="1" applyFont="1" applyFill="1" applyBorder="1" applyAlignment="1" applyProtection="1">
      <alignment horizontal="center" vertical="center"/>
    </xf>
    <xf numFmtId="3" fontId="4" fillId="15" borderId="1" xfId="0" applyNumberFormat="1" applyFont="1" applyFill="1" applyBorder="1" applyAlignment="1" applyProtection="1">
      <alignment horizontal="center" vertical="center"/>
    </xf>
    <xf numFmtId="9" fontId="4" fillId="0" borderId="1" xfId="0" applyNumberFormat="1" applyFont="1" applyFill="1" applyBorder="1" applyAlignment="1" applyProtection="1">
      <alignment horizontal="center" vertical="center"/>
      <protection locked="0"/>
    </xf>
    <xf numFmtId="3" fontId="21" fillId="4" borderId="1" xfId="0" applyNumberFormat="1" applyFont="1" applyFill="1" applyBorder="1" applyAlignment="1" applyProtection="1">
      <alignment horizontal="left" vertical="center" wrapText="1"/>
    </xf>
    <xf numFmtId="0" fontId="12" fillId="4" borderId="1" xfId="0" applyFont="1" applyFill="1" applyBorder="1" applyAlignment="1" applyProtection="1">
      <alignment horizontal="left" vertical="center" wrapText="1"/>
    </xf>
    <xf numFmtId="3" fontId="3" fillId="3" borderId="1" xfId="0" applyNumberFormat="1" applyFont="1" applyFill="1" applyBorder="1" applyAlignment="1" applyProtection="1">
      <alignment horizontal="right" vertical="center"/>
    </xf>
    <xf numFmtId="4" fontId="3" fillId="3" borderId="1" xfId="0" applyNumberFormat="1" applyFont="1" applyFill="1" applyBorder="1" applyAlignment="1" applyProtection="1">
      <alignment horizontal="right" vertical="center"/>
    </xf>
    <xf numFmtId="9" fontId="3" fillId="3" borderId="1" xfId="0" applyNumberFormat="1" applyFont="1" applyFill="1" applyBorder="1" applyAlignment="1" applyProtection="1">
      <alignment vertical="center"/>
    </xf>
    <xf numFmtId="171" fontId="4" fillId="0" borderId="1" xfId="0" applyNumberFormat="1" applyFont="1" applyFill="1" applyBorder="1" applyAlignment="1" applyProtection="1">
      <alignment horizontal="right" vertical="center"/>
      <protection locked="0"/>
    </xf>
    <xf numFmtId="171" fontId="4" fillId="4" borderId="1" xfId="0" applyNumberFormat="1" applyFont="1" applyFill="1" applyBorder="1" applyAlignment="1" applyProtection="1">
      <alignment horizontal="right" vertical="center"/>
    </xf>
    <xf numFmtId="171" fontId="3" fillId="3" borderId="1" xfId="0" applyNumberFormat="1" applyFont="1" applyFill="1" applyBorder="1" applyAlignment="1" applyProtection="1">
      <alignment horizontal="right" vertical="center"/>
    </xf>
    <xf numFmtId="9" fontId="0" fillId="0" borderId="1" xfId="0" applyNumberFormat="1" applyFill="1" applyBorder="1" applyAlignment="1" applyProtection="1">
      <alignment horizontal="center" vertical="center"/>
      <protection locked="0"/>
    </xf>
    <xf numFmtId="3" fontId="2" fillId="8" borderId="1" xfId="0" applyNumberFormat="1" applyFont="1" applyFill="1" applyBorder="1" applyAlignment="1" applyProtection="1">
      <alignment horizontal="center" vertical="center"/>
      <protection locked="0"/>
    </xf>
    <xf numFmtId="10" fontId="4" fillId="4" borderId="1" xfId="4" applyNumberFormat="1" applyFont="1" applyFill="1" applyBorder="1" applyAlignment="1" applyProtection="1">
      <alignment horizontal="center" vertical="center"/>
    </xf>
    <xf numFmtId="0" fontId="3" fillId="3" borderId="1" xfId="0" applyFont="1" applyFill="1" applyBorder="1" applyAlignment="1" applyProtection="1">
      <alignment vertical="center"/>
    </xf>
    <xf numFmtId="0" fontId="0" fillId="0" borderId="1" xfId="0" applyBorder="1" applyProtection="1"/>
    <xf numFmtId="0" fontId="2" fillId="0" borderId="1" xfId="0" applyFont="1" applyFill="1" applyBorder="1" applyAlignment="1" applyProtection="1">
      <alignment vertical="center"/>
      <protection locked="0"/>
    </xf>
    <xf numFmtId="3" fontId="2" fillId="0" borderId="1" xfId="0" applyNumberFormat="1" applyFont="1" applyFill="1" applyBorder="1" applyAlignment="1" applyProtection="1">
      <alignment horizontal="left" vertical="center"/>
      <protection locked="0"/>
    </xf>
    <xf numFmtId="172" fontId="0" fillId="0" borderId="1" xfId="0" applyNumberFormat="1" applyFill="1" applyBorder="1" applyAlignment="1" applyProtection="1">
      <alignment horizontal="center" vertical="center"/>
      <protection locked="0"/>
    </xf>
    <xf numFmtId="4" fontId="0" fillId="0" borderId="1" xfId="0" applyNumberFormat="1" applyFill="1" applyBorder="1" applyAlignment="1" applyProtection="1">
      <alignment horizontal="center" vertical="center"/>
      <protection locked="0"/>
    </xf>
    <xf numFmtId="171" fontId="0" fillId="15" borderId="1" xfId="0" applyNumberFormat="1" applyFill="1" applyBorder="1" applyAlignment="1" applyProtection="1">
      <alignment horizontal="right" vertical="center"/>
    </xf>
    <xf numFmtId="0" fontId="3" fillId="16" borderId="1" xfId="0" applyFont="1" applyFill="1" applyBorder="1" applyAlignment="1" applyProtection="1">
      <alignment horizontal="left" vertical="center"/>
    </xf>
    <xf numFmtId="3" fontId="0" fillId="16" borderId="1" xfId="0" applyNumberFormat="1" applyFill="1" applyBorder="1" applyAlignment="1" applyProtection="1">
      <alignment horizontal="left" vertical="center"/>
    </xf>
    <xf numFmtId="3" fontId="0" fillId="16" borderId="1" xfId="0" applyNumberFormat="1" applyFill="1" applyBorder="1" applyAlignment="1" applyProtection="1">
      <alignment horizontal="center" vertical="center"/>
    </xf>
    <xf numFmtId="4" fontId="0" fillId="16" borderId="1" xfId="0" applyNumberFormat="1" applyFill="1" applyBorder="1" applyAlignment="1" applyProtection="1">
      <alignment horizontal="center" vertical="center"/>
    </xf>
    <xf numFmtId="171" fontId="3" fillId="4" borderId="1" xfId="0" applyNumberFormat="1" applyFont="1" applyFill="1" applyBorder="1" applyAlignment="1" applyProtection="1">
      <alignment horizontal="right" vertical="center"/>
    </xf>
    <xf numFmtId="0" fontId="0" fillId="16" borderId="1" xfId="0" applyFill="1" applyBorder="1" applyAlignment="1" applyProtection="1">
      <alignment horizontal="left" vertical="center"/>
    </xf>
    <xf numFmtId="0" fontId="0" fillId="16" borderId="1" xfId="0" applyFill="1" applyBorder="1" applyAlignment="1" applyProtection="1">
      <alignment vertical="center"/>
    </xf>
    <xf numFmtId="0" fontId="0" fillId="0" borderId="1" xfId="0" applyFill="1" applyBorder="1" applyAlignment="1" applyProtection="1">
      <alignment vertical="center"/>
      <protection locked="0"/>
    </xf>
    <xf numFmtId="4" fontId="3" fillId="17" borderId="1" xfId="0" applyNumberFormat="1" applyFont="1" applyFill="1" applyBorder="1" applyAlignment="1" applyProtection="1">
      <alignment horizontal="right" vertical="center"/>
    </xf>
    <xf numFmtId="0" fontId="0" fillId="0" borderId="1" xfId="0" applyFill="1" applyBorder="1" applyProtection="1"/>
    <xf numFmtId="166" fontId="4" fillId="3" borderId="75" xfId="0" applyNumberFormat="1" applyFont="1" applyFill="1" applyBorder="1" applyProtection="1"/>
    <xf numFmtId="166" fontId="4" fillId="2" borderId="40" xfId="0" applyNumberFormat="1" applyFont="1" applyFill="1" applyBorder="1" applyProtection="1"/>
    <xf numFmtId="0" fontId="4" fillId="2" borderId="40" xfId="0" applyFont="1" applyFill="1" applyBorder="1" applyProtection="1"/>
    <xf numFmtId="0" fontId="4" fillId="0" borderId="40" xfId="0" applyFont="1" applyBorder="1" applyProtection="1"/>
    <xf numFmtId="166" fontId="2" fillId="2" borderId="40" xfId="0" quotePrefix="1" applyNumberFormat="1" applyFont="1" applyFill="1" applyBorder="1" applyProtection="1"/>
    <xf numFmtId="173" fontId="4" fillId="4" borderId="1" xfId="3" applyNumberFormat="1" applyFont="1" applyFill="1" applyBorder="1" applyAlignment="1" applyProtection="1">
      <alignment vertical="center"/>
    </xf>
    <xf numFmtId="173" fontId="3" fillId="3" borderId="1" xfId="3" applyNumberFormat="1" applyFont="1" applyFill="1" applyBorder="1" applyAlignment="1" applyProtection="1">
      <alignment vertical="center"/>
    </xf>
    <xf numFmtId="173" fontId="3" fillId="3" borderId="1" xfId="0" applyNumberFormat="1" applyFont="1" applyFill="1" applyBorder="1" applyAlignment="1" applyProtection="1">
      <alignment vertical="center"/>
    </xf>
    <xf numFmtId="173" fontId="4" fillId="4" borderId="1" xfId="0" applyNumberFormat="1" applyFont="1" applyFill="1" applyBorder="1" applyAlignment="1" applyProtection="1">
      <alignment vertical="center"/>
    </xf>
    <xf numFmtId="0" fontId="0" fillId="2" borderId="12" xfId="0" applyFill="1" applyBorder="1" applyProtection="1">
      <protection locked="0"/>
    </xf>
    <xf numFmtId="0" fontId="0" fillId="2" borderId="12" xfId="0" applyFill="1" applyBorder="1" applyProtection="1"/>
    <xf numFmtId="166" fontId="3" fillId="3" borderId="76" xfId="0" applyNumberFormat="1" applyFont="1" applyFill="1" applyBorder="1" applyAlignment="1" applyProtection="1">
      <alignment horizontal="center" vertical="center"/>
    </xf>
    <xf numFmtId="173" fontId="4" fillId="4" borderId="76" xfId="3" applyNumberFormat="1" applyFont="1" applyFill="1" applyBorder="1" applyAlignment="1" applyProtection="1">
      <alignment vertical="center"/>
    </xf>
    <xf numFmtId="173" fontId="3" fillId="3" borderId="76" xfId="3" applyNumberFormat="1" applyFont="1" applyFill="1" applyBorder="1" applyAlignment="1" applyProtection="1">
      <alignment vertical="center"/>
    </xf>
    <xf numFmtId="0" fontId="4" fillId="2" borderId="36" xfId="0" applyFont="1" applyFill="1" applyBorder="1" applyProtection="1"/>
    <xf numFmtId="3" fontId="3" fillId="2" borderId="36" xfId="0" applyNumberFormat="1" applyFont="1" applyFill="1" applyBorder="1" applyProtection="1"/>
    <xf numFmtId="0" fontId="4" fillId="0" borderId="36" xfId="0" applyFont="1" applyBorder="1" applyProtection="1"/>
    <xf numFmtId="0" fontId="0" fillId="2" borderId="50" xfId="0" applyFill="1" applyBorder="1" applyProtection="1"/>
    <xf numFmtId="0" fontId="0" fillId="2" borderId="71" xfId="0" applyFill="1" applyBorder="1" applyProtection="1"/>
    <xf numFmtId="166" fontId="4" fillId="5" borderId="1" xfId="0" applyNumberFormat="1" applyFont="1" applyFill="1" applyBorder="1" applyAlignment="1" applyProtection="1">
      <alignment vertical="center"/>
      <protection locked="0"/>
    </xf>
    <xf numFmtId="166" fontId="4" fillId="5" borderId="75" xfId="0" applyNumberFormat="1" applyFont="1" applyFill="1" applyBorder="1" applyAlignment="1" applyProtection="1">
      <alignment vertical="center"/>
      <protection locked="0"/>
    </xf>
    <xf numFmtId="166" fontId="4" fillId="5" borderId="75" xfId="0" applyNumberFormat="1" applyFont="1" applyFill="1" applyBorder="1" applyAlignment="1" applyProtection="1">
      <alignment vertical="center" wrapText="1"/>
      <protection locked="0"/>
    </xf>
    <xf numFmtId="0" fontId="10" fillId="2" borderId="26" xfId="0" applyFont="1" applyFill="1" applyBorder="1" applyAlignment="1" applyProtection="1">
      <alignment horizontal="left"/>
    </xf>
    <xf numFmtId="0" fontId="8" fillId="0" borderId="0" xfId="0" applyFont="1" applyBorder="1" applyProtection="1"/>
    <xf numFmtId="173" fontId="8" fillId="0" borderId="1" xfId="0" applyNumberFormat="1" applyFont="1" applyFill="1" applyBorder="1" applyAlignment="1" applyProtection="1">
      <alignment vertical="center"/>
      <protection locked="0"/>
    </xf>
    <xf numFmtId="173" fontId="8" fillId="4" borderId="1" xfId="0" applyNumberFormat="1" applyFont="1" applyFill="1" applyBorder="1" applyAlignment="1" applyProtection="1">
      <alignment vertical="center"/>
    </xf>
    <xf numFmtId="173" fontId="9" fillId="3" borderId="1" xfId="0" applyNumberFormat="1" applyFont="1" applyFill="1" applyBorder="1" applyAlignment="1" applyProtection="1">
      <alignment vertical="center"/>
    </xf>
    <xf numFmtId="3" fontId="10" fillId="2" borderId="26" xfId="0" applyNumberFormat="1" applyFont="1" applyFill="1" applyBorder="1" applyProtection="1"/>
    <xf numFmtId="3" fontId="3" fillId="5" borderId="1" xfId="0" applyNumberFormat="1" applyFont="1" applyFill="1" applyBorder="1" applyAlignment="1" applyProtection="1">
      <alignment horizontal="center" vertical="center" wrapText="1"/>
    </xf>
    <xf numFmtId="3" fontId="10" fillId="18" borderId="1" xfId="0" applyNumberFormat="1" applyFont="1" applyFill="1" applyBorder="1" applyAlignment="1" applyProtection="1">
      <alignment vertical="center"/>
    </xf>
    <xf numFmtId="3" fontId="10" fillId="5" borderId="1" xfId="0" applyNumberFormat="1" applyFont="1" applyFill="1" applyBorder="1" applyAlignment="1" applyProtection="1">
      <alignment vertical="center"/>
    </xf>
    <xf numFmtId="173" fontId="10" fillId="0" borderId="1" xfId="0" applyNumberFormat="1" applyFont="1" applyFill="1" applyBorder="1" applyAlignment="1" applyProtection="1">
      <alignment vertical="center"/>
      <protection locked="0"/>
    </xf>
    <xf numFmtId="173" fontId="2" fillId="4" borderId="1" xfId="0" applyNumberFormat="1" applyFont="1" applyFill="1" applyBorder="1" applyAlignment="1" applyProtection="1">
      <alignment vertical="center"/>
    </xf>
    <xf numFmtId="173" fontId="2" fillId="0" borderId="1" xfId="0" applyNumberFormat="1" applyFont="1" applyFill="1" applyBorder="1" applyAlignment="1" applyProtection="1">
      <alignment vertical="center"/>
      <protection locked="0"/>
    </xf>
    <xf numFmtId="173" fontId="10" fillId="4" borderId="1" xfId="0" applyNumberFormat="1" applyFont="1" applyFill="1" applyBorder="1" applyAlignment="1" applyProtection="1">
      <alignment vertical="center"/>
    </xf>
    <xf numFmtId="173" fontId="9" fillId="17" borderId="1" xfId="0" applyNumberFormat="1" applyFont="1" applyFill="1" applyBorder="1" applyAlignment="1" applyProtection="1">
      <alignment vertical="center"/>
    </xf>
    <xf numFmtId="3" fontId="9" fillId="17" borderId="1" xfId="0" applyNumberFormat="1" applyFont="1" applyFill="1" applyBorder="1" applyProtection="1"/>
    <xf numFmtId="0" fontId="8" fillId="2" borderId="40" xfId="0" applyFont="1" applyFill="1" applyBorder="1" applyProtection="1"/>
    <xf numFmtId="0" fontId="8" fillId="0" borderId="40" xfId="0" applyFont="1" applyBorder="1" applyProtection="1"/>
    <xf numFmtId="0" fontId="10" fillId="2" borderId="40" xfId="0" applyFont="1" applyFill="1" applyBorder="1" applyProtection="1"/>
    <xf numFmtId="0" fontId="10" fillId="0" borderId="40" xfId="0" applyFont="1" applyBorder="1" applyProtection="1"/>
    <xf numFmtId="0" fontId="41" fillId="0" borderId="41" xfId="0" applyFont="1" applyFill="1" applyBorder="1" applyAlignment="1" applyProtection="1">
      <alignment horizontal="left" indent="10"/>
    </xf>
    <xf numFmtId="0" fontId="8" fillId="0" borderId="36" xfId="0" applyFont="1" applyBorder="1" applyProtection="1"/>
    <xf numFmtId="0" fontId="10" fillId="0" borderId="36" xfId="0" applyFont="1" applyBorder="1" applyProtection="1"/>
    <xf numFmtId="0" fontId="2" fillId="0" borderId="36" xfId="0" applyFont="1" applyBorder="1" applyProtection="1"/>
    <xf numFmtId="0" fontId="0" fillId="2" borderId="43" xfId="0" applyFill="1" applyBorder="1" applyProtection="1"/>
    <xf numFmtId="173" fontId="10" fillId="4" borderId="1" xfId="0" applyNumberFormat="1" applyFont="1" applyFill="1" applyBorder="1" applyAlignment="1" applyProtection="1">
      <alignment horizontal="right" vertical="center"/>
    </xf>
    <xf numFmtId="173" fontId="4" fillId="0" borderId="1" xfId="0" applyNumberFormat="1" applyFont="1" applyFill="1" applyBorder="1" applyAlignment="1" applyProtection="1">
      <alignment vertical="center"/>
      <protection locked="0"/>
    </xf>
    <xf numFmtId="9" fontId="2" fillId="5" borderId="1" xfId="0" applyNumberFormat="1" applyFont="1" applyFill="1" applyBorder="1" applyAlignment="1" applyProtection="1">
      <alignment horizontal="center" vertical="center"/>
    </xf>
    <xf numFmtId="10" fontId="4" fillId="15" borderId="1" xfId="4" applyNumberFormat="1" applyFont="1" applyFill="1" applyBorder="1" applyAlignment="1" applyProtection="1">
      <alignment horizontal="center" vertical="center"/>
    </xf>
    <xf numFmtId="10" fontId="4" fillId="4" borderId="1" xfId="0" applyNumberFormat="1" applyFont="1" applyFill="1" applyBorder="1" applyAlignment="1" applyProtection="1">
      <alignment horizontal="center" vertical="center"/>
    </xf>
    <xf numFmtId="0" fontId="4" fillId="0" borderId="1" xfId="0" applyNumberFormat="1" applyFont="1" applyFill="1" applyBorder="1" applyAlignment="1" applyProtection="1">
      <alignment vertical="center"/>
      <protection locked="0"/>
    </xf>
    <xf numFmtId="0" fontId="2" fillId="0" borderId="1" xfId="0" applyNumberFormat="1" applyFont="1" applyFill="1" applyBorder="1" applyAlignment="1" applyProtection="1">
      <alignment vertical="center"/>
      <protection locked="0"/>
    </xf>
    <xf numFmtId="0" fontId="0" fillId="0" borderId="0" xfId="0" applyFill="1" applyBorder="1" applyAlignment="1">
      <alignment horizontal="center" vertical="center"/>
    </xf>
    <xf numFmtId="3" fontId="0" fillId="4" borderId="1" xfId="0" applyNumberFormat="1" applyFill="1" applyBorder="1" applyAlignment="1">
      <alignment horizontal="right" vertical="center"/>
    </xf>
    <xf numFmtId="173" fontId="0" fillId="4" borderId="1" xfId="0" applyNumberFormat="1" applyFill="1" applyBorder="1" applyAlignment="1">
      <alignment horizontal="right" vertical="center"/>
    </xf>
    <xf numFmtId="0" fontId="0" fillId="0" borderId="40" xfId="0" applyFill="1" applyBorder="1"/>
    <xf numFmtId="0" fontId="20" fillId="0" borderId="36" xfId="0" applyFont="1" applyFill="1" applyBorder="1"/>
    <xf numFmtId="0" fontId="41" fillId="0" borderId="0" xfId="0" applyFont="1" applyFill="1" applyBorder="1" applyAlignment="1" applyProtection="1"/>
    <xf numFmtId="173" fontId="4" fillId="4" borderId="1" xfId="0" applyNumberFormat="1" applyFont="1" applyFill="1" applyBorder="1" applyAlignment="1">
      <alignment horizontal="right" vertical="center"/>
    </xf>
    <xf numFmtId="3" fontId="3" fillId="3" borderId="1" xfId="0" applyNumberFormat="1" applyFont="1" applyFill="1" applyBorder="1" applyAlignment="1">
      <alignment horizontal="right" vertical="center"/>
    </xf>
    <xf numFmtId="173" fontId="3" fillId="3" borderId="1" xfId="0" applyNumberFormat="1" applyFont="1" applyFill="1" applyBorder="1" applyAlignment="1">
      <alignment horizontal="right" vertical="center"/>
    </xf>
    <xf numFmtId="3" fontId="0" fillId="4" borderId="1" xfId="0" applyNumberFormat="1" applyFill="1" applyBorder="1" applyAlignment="1">
      <alignment horizontal="center" vertical="center"/>
    </xf>
    <xf numFmtId="0" fontId="0" fillId="4" borderId="1" xfId="0" applyFill="1" applyBorder="1" applyAlignment="1">
      <alignment horizontal="left" vertical="center"/>
    </xf>
    <xf numFmtId="0" fontId="4" fillId="4" borderId="1" xfId="0" applyFont="1" applyFill="1" applyBorder="1" applyAlignment="1">
      <alignment horizontal="left" vertical="center"/>
    </xf>
    <xf numFmtId="0" fontId="3" fillId="3" borderId="1" xfId="0" applyFont="1" applyFill="1" applyBorder="1" applyAlignment="1">
      <alignment horizontal="left" vertical="center"/>
    </xf>
    <xf numFmtId="3" fontId="3" fillId="3" borderId="1" xfId="0" applyNumberFormat="1" applyFont="1" applyFill="1" applyBorder="1" applyAlignment="1">
      <alignment horizontal="center" vertical="center"/>
    </xf>
    <xf numFmtId="0" fontId="5" fillId="0" borderId="40" xfId="0" applyNumberFormat="1" applyFont="1" applyFill="1" applyBorder="1" applyAlignment="1" applyProtection="1">
      <alignment horizontal="left"/>
    </xf>
    <xf numFmtId="0" fontId="0" fillId="2" borderId="40" xfId="0" applyFill="1" applyBorder="1"/>
    <xf numFmtId="0" fontId="0" fillId="4" borderId="75" xfId="0" applyFill="1" applyBorder="1" applyAlignment="1">
      <alignment horizontal="left" vertical="center" wrapText="1"/>
    </xf>
    <xf numFmtId="0" fontId="4" fillId="4" borderId="75" xfId="0" applyFont="1" applyFill="1" applyBorder="1" applyAlignment="1">
      <alignment horizontal="left" vertical="center" wrapText="1"/>
    </xf>
    <xf numFmtId="0" fontId="3" fillId="3" borderId="75" xfId="0" applyFont="1" applyFill="1" applyBorder="1" applyAlignment="1">
      <alignment horizontal="left"/>
    </xf>
    <xf numFmtId="0" fontId="0" fillId="0" borderId="40" xfId="0" applyBorder="1"/>
    <xf numFmtId="0" fontId="28" fillId="0" borderId="36" xfId="0" applyNumberFormat="1" applyFont="1" applyFill="1" applyBorder="1" applyAlignment="1" applyProtection="1">
      <alignment horizontal="left"/>
    </xf>
    <xf numFmtId="0" fontId="0" fillId="0" borderId="36" xfId="0" applyFill="1" applyBorder="1"/>
    <xf numFmtId="0" fontId="0" fillId="2" borderId="36" xfId="0" applyFill="1" applyBorder="1"/>
    <xf numFmtId="173" fontId="4" fillId="4" borderId="76" xfId="0" applyNumberFormat="1" applyFont="1" applyFill="1" applyBorder="1" applyAlignment="1">
      <alignment horizontal="right" vertical="center"/>
    </xf>
    <xf numFmtId="173" fontId="3" fillId="3" borderId="76" xfId="0" applyNumberFormat="1" applyFont="1" applyFill="1" applyBorder="1" applyAlignment="1">
      <alignment horizontal="right" vertical="center"/>
    </xf>
    <xf numFmtId="0" fontId="0" fillId="0" borderId="36" xfId="0" applyBorder="1"/>
    <xf numFmtId="0" fontId="0" fillId="0" borderId="0" xfId="0" applyBorder="1" applyProtection="1">
      <protection locked="0"/>
    </xf>
    <xf numFmtId="10" fontId="9" fillId="3" borderId="1" xfId="4" applyNumberFormat="1" applyFont="1" applyFill="1" applyBorder="1" applyAlignment="1" applyProtection="1">
      <alignment vertical="center"/>
    </xf>
    <xf numFmtId="0" fontId="0" fillId="2" borderId="58" xfId="0" applyFill="1" applyBorder="1"/>
    <xf numFmtId="0" fontId="0" fillId="2" borderId="68" xfId="0" applyFill="1" applyBorder="1"/>
    <xf numFmtId="0" fontId="0" fillId="0" borderId="68" xfId="0" applyBorder="1"/>
    <xf numFmtId="0" fontId="10" fillId="2" borderId="0" xfId="0" applyFont="1" applyFill="1" applyBorder="1" applyAlignment="1" applyProtection="1">
      <alignment horizontal="left"/>
    </xf>
    <xf numFmtId="0" fontId="8" fillId="0" borderId="40" xfId="0" applyFont="1" applyBorder="1"/>
    <xf numFmtId="0" fontId="10" fillId="2" borderId="40" xfId="0" applyFont="1" applyFill="1" applyBorder="1"/>
    <xf numFmtId="0" fontId="10" fillId="0" borderId="40" xfId="0" applyFont="1" applyBorder="1"/>
    <xf numFmtId="0" fontId="10" fillId="0" borderId="36" xfId="0" applyFont="1" applyBorder="1"/>
    <xf numFmtId="0" fontId="8" fillId="0" borderId="36" xfId="0" applyFont="1" applyBorder="1"/>
    <xf numFmtId="0" fontId="10" fillId="2" borderId="36" xfId="0" applyFont="1" applyFill="1" applyBorder="1"/>
    <xf numFmtId="0" fontId="0" fillId="0" borderId="58" xfId="0" applyBorder="1"/>
    <xf numFmtId="0" fontId="0" fillId="0" borderId="12" xfId="0" applyBorder="1"/>
    <xf numFmtId="0" fontId="0" fillId="0" borderId="72" xfId="0" applyBorder="1"/>
    <xf numFmtId="0" fontId="0" fillId="0" borderId="50" xfId="0" applyBorder="1"/>
    <xf numFmtId="0" fontId="12" fillId="0" borderId="40" xfId="0" applyFont="1" applyBorder="1"/>
    <xf numFmtId="0" fontId="12" fillId="0" borderId="0" xfId="0" applyFont="1" applyBorder="1" applyAlignment="1">
      <alignment vertical="center"/>
    </xf>
    <xf numFmtId="0" fontId="12" fillId="2" borderId="40" xfId="0" applyFont="1" applyFill="1" applyBorder="1"/>
    <xf numFmtId="3" fontId="12" fillId="2" borderId="0" xfId="0" quotePrefix="1" applyNumberFormat="1" applyFont="1" applyFill="1" applyBorder="1" applyAlignment="1">
      <alignment horizontal="right"/>
    </xf>
    <xf numFmtId="3" fontId="10" fillId="2" borderId="0" xfId="0" applyNumberFormat="1" applyFont="1" applyFill="1" applyBorder="1" applyProtection="1">
      <protection locked="0"/>
    </xf>
    <xf numFmtId="3" fontId="12" fillId="4" borderId="1" xfId="0" applyNumberFormat="1" applyFont="1" applyFill="1" applyBorder="1" applyAlignment="1" applyProtection="1">
      <alignment vertical="center"/>
    </xf>
    <xf numFmtId="166" fontId="14" fillId="3" borderId="1" xfId="0" applyNumberFormat="1" applyFont="1" applyFill="1" applyBorder="1" applyAlignment="1" applyProtection="1">
      <alignment horizontal="center" vertical="center"/>
    </xf>
    <xf numFmtId="174" fontId="12" fillId="4" borderId="1" xfId="0" applyNumberFormat="1" applyFont="1" applyFill="1" applyBorder="1" applyAlignment="1" applyProtection="1">
      <alignment vertical="center"/>
    </xf>
    <xf numFmtId="174" fontId="14" fillId="16" borderId="1" xfId="0" applyNumberFormat="1" applyFont="1" applyFill="1" applyBorder="1" applyAlignment="1" applyProtection="1">
      <alignment vertical="center"/>
    </xf>
    <xf numFmtId="174" fontId="14" fillId="3" borderId="1" xfId="0" applyNumberFormat="1" applyFont="1" applyFill="1" applyBorder="1" applyAlignment="1" applyProtection="1">
      <alignment vertical="center"/>
    </xf>
    <xf numFmtId="174" fontId="12" fillId="4" borderId="1" xfId="0" applyNumberFormat="1" applyFont="1" applyFill="1" applyBorder="1" applyAlignment="1" applyProtection="1">
      <alignment vertical="center" wrapText="1"/>
    </xf>
    <xf numFmtId="0" fontId="14" fillId="17" borderId="1" xfId="0" applyNumberFormat="1" applyFont="1" applyFill="1" applyBorder="1" applyAlignment="1" applyProtection="1">
      <alignment horizontal="center" vertical="center"/>
    </xf>
    <xf numFmtId="10" fontId="12" fillId="4" borderId="1" xfId="4" applyNumberFormat="1" applyFont="1" applyFill="1" applyBorder="1" applyAlignment="1" applyProtection="1">
      <alignment horizontal="center" vertical="center"/>
    </xf>
    <xf numFmtId="0" fontId="12" fillId="0" borderId="36" xfId="0" applyFont="1" applyBorder="1"/>
    <xf numFmtId="0" fontId="29" fillId="0" borderId="36" xfId="0" applyFont="1" applyBorder="1"/>
    <xf numFmtId="169" fontId="32" fillId="2" borderId="36" xfId="3" applyNumberFormat="1" applyFont="1" applyFill="1" applyBorder="1" applyProtection="1"/>
    <xf numFmtId="0" fontId="29" fillId="2" borderId="36" xfId="0" applyFont="1" applyFill="1" applyBorder="1" applyProtection="1"/>
    <xf numFmtId="0" fontId="13" fillId="2" borderId="40" xfId="0" applyFont="1" applyFill="1" applyBorder="1"/>
    <xf numFmtId="174" fontId="12" fillId="4" borderId="1" xfId="0" applyNumberFormat="1" applyFont="1" applyFill="1" applyBorder="1" applyAlignment="1" applyProtection="1">
      <alignment horizontal="right" vertical="center"/>
    </xf>
    <xf numFmtId="174" fontId="14" fillId="16" borderId="1" xfId="0" applyNumberFormat="1" applyFont="1" applyFill="1" applyBorder="1" applyAlignment="1" applyProtection="1">
      <alignment horizontal="right" vertical="center"/>
    </xf>
    <xf numFmtId="174" fontId="12" fillId="17" borderId="1" xfId="0" applyNumberFormat="1" applyFont="1" applyFill="1" applyBorder="1" applyAlignment="1" applyProtection="1">
      <alignment horizontal="right" vertical="center"/>
    </xf>
    <xf numFmtId="174" fontId="14" fillId="4" borderId="1" xfId="0" applyNumberFormat="1" applyFont="1" applyFill="1" applyBorder="1" applyAlignment="1" applyProtection="1">
      <alignment horizontal="right" vertical="center"/>
    </xf>
    <xf numFmtId="174" fontId="14" fillId="3" borderId="1" xfId="0" applyNumberFormat="1" applyFont="1" applyFill="1" applyBorder="1" applyAlignment="1" applyProtection="1">
      <alignment horizontal="right" vertical="center"/>
    </xf>
    <xf numFmtId="174" fontId="12" fillId="17" borderId="1" xfId="0" applyNumberFormat="1" applyFont="1" applyFill="1" applyBorder="1" applyAlignment="1" applyProtection="1">
      <alignment horizontal="center" vertical="center" wrapText="1"/>
    </xf>
    <xf numFmtId="174" fontId="12" fillId="4" borderId="1" xfId="0" applyNumberFormat="1" applyFont="1" applyFill="1" applyBorder="1"/>
    <xf numFmtId="174" fontId="12" fillId="4" borderId="1" xfId="0" applyNumberFormat="1" applyFont="1" applyFill="1" applyBorder="1" applyProtection="1"/>
    <xf numFmtId="174" fontId="12" fillId="5" borderId="1" xfId="0" applyNumberFormat="1" applyFont="1" applyFill="1" applyBorder="1" applyAlignment="1" applyProtection="1">
      <alignment horizontal="right" vertical="center"/>
    </xf>
    <xf numFmtId="174" fontId="12" fillId="4" borderId="1" xfId="0" applyNumberFormat="1" applyFont="1" applyFill="1" applyBorder="1" applyAlignment="1">
      <alignment vertical="center"/>
    </xf>
    <xf numFmtId="0" fontId="12" fillId="0" borderId="58" xfId="0" applyFont="1" applyBorder="1"/>
    <xf numFmtId="0" fontId="4" fillId="0" borderId="40" xfId="0" applyFont="1" applyBorder="1"/>
    <xf numFmtId="0" fontId="4" fillId="2" borderId="40" xfId="0" applyFont="1" applyFill="1" applyBorder="1"/>
    <xf numFmtId="0" fontId="12" fillId="0" borderId="68" xfId="0" applyFont="1" applyBorder="1"/>
    <xf numFmtId="0" fontId="13" fillId="2" borderId="36" xfId="0" applyFont="1" applyFill="1" applyBorder="1" applyProtection="1"/>
    <xf numFmtId="3" fontId="13" fillId="2" borderId="36" xfId="0" applyNumberFormat="1" applyFont="1" applyFill="1" applyBorder="1" applyProtection="1"/>
    <xf numFmtId="166" fontId="13" fillId="2" borderId="36" xfId="0" applyNumberFormat="1" applyFont="1" applyFill="1" applyBorder="1" applyAlignment="1" applyProtection="1">
      <alignment horizontal="right" vertical="center"/>
    </xf>
    <xf numFmtId="166" fontId="13" fillId="2" borderId="36" xfId="0" applyNumberFormat="1" applyFont="1" applyFill="1" applyBorder="1" applyProtection="1"/>
    <xf numFmtId="3" fontId="33" fillId="17" borderId="1" xfId="0" applyNumberFormat="1" applyFont="1" applyFill="1" applyBorder="1" applyAlignment="1" applyProtection="1">
      <alignment horizontal="center"/>
    </xf>
    <xf numFmtId="0" fontId="30" fillId="0" borderId="40" xfId="0" applyFont="1" applyBorder="1"/>
    <xf numFmtId="0" fontId="30" fillId="0" borderId="36" xfId="0" applyFont="1" applyBorder="1"/>
    <xf numFmtId="3" fontId="33" fillId="17" borderId="76" xfId="0" applyNumberFormat="1" applyFont="1" applyFill="1" applyBorder="1" applyAlignment="1" applyProtection="1">
      <alignment horizontal="center"/>
    </xf>
    <xf numFmtId="0" fontId="14" fillId="3" borderId="1" xfId="0" applyFont="1" applyFill="1" applyBorder="1" applyAlignment="1" applyProtection="1">
      <alignment horizontal="center" vertical="center"/>
    </xf>
    <xf numFmtId="3" fontId="12" fillId="5" borderId="1" xfId="0" applyNumberFormat="1" applyFont="1" applyFill="1" applyBorder="1" applyAlignment="1" applyProtection="1">
      <alignment vertical="center"/>
    </xf>
    <xf numFmtId="168" fontId="12" fillId="4" borderId="1" xfId="0" applyNumberFormat="1" applyFont="1" applyFill="1" applyBorder="1" applyAlignment="1" applyProtection="1">
      <alignment horizontal="center" vertical="center"/>
    </xf>
    <xf numFmtId="3" fontId="12" fillId="4" borderId="1" xfId="0" applyNumberFormat="1" applyFont="1" applyFill="1" applyBorder="1" applyAlignment="1" applyProtection="1">
      <alignment horizontal="center" vertical="center"/>
    </xf>
    <xf numFmtId="10" fontId="12" fillId="4" borderId="1" xfId="0" applyNumberFormat="1" applyFont="1" applyFill="1" applyBorder="1" applyAlignment="1" applyProtection="1">
      <alignment horizontal="center" vertical="center"/>
    </xf>
    <xf numFmtId="173" fontId="4" fillId="4" borderId="1" xfId="0" applyNumberFormat="1" applyFont="1" applyFill="1" applyBorder="1" applyAlignment="1" applyProtection="1">
      <alignment horizontal="right" vertical="center"/>
      <protection hidden="1"/>
    </xf>
    <xf numFmtId="3" fontId="4" fillId="4" borderId="1" xfId="0" applyNumberFormat="1" applyFont="1" applyFill="1" applyBorder="1" applyAlignment="1" applyProtection="1">
      <alignment horizontal="right" vertical="center"/>
      <protection hidden="1"/>
    </xf>
    <xf numFmtId="10" fontId="4" fillId="4" borderId="1" xfId="4" applyNumberFormat="1" applyFont="1" applyFill="1" applyBorder="1" applyAlignment="1" applyProtection="1">
      <alignment horizontal="right" vertical="center"/>
      <protection hidden="1"/>
    </xf>
    <xf numFmtId="0" fontId="12" fillId="0" borderId="0" xfId="0" applyFont="1" applyAlignment="1">
      <alignment wrapText="1"/>
    </xf>
    <xf numFmtId="0" fontId="27" fillId="0" borderId="0" xfId="0" applyFont="1" applyAlignment="1">
      <alignment wrapText="1"/>
    </xf>
    <xf numFmtId="3" fontId="4" fillId="4" borderId="1" xfId="0" applyNumberFormat="1" applyFont="1" applyFill="1" applyBorder="1" applyAlignment="1" applyProtection="1">
      <alignment horizontal="center" vertical="center" wrapText="1"/>
      <protection hidden="1"/>
    </xf>
    <xf numFmtId="173" fontId="4" fillId="4" borderId="1" xfId="0" applyNumberFormat="1" applyFont="1" applyFill="1" applyBorder="1" applyAlignment="1" applyProtection="1">
      <alignment horizontal="right" vertical="center" wrapText="1"/>
      <protection hidden="1"/>
    </xf>
    <xf numFmtId="10" fontId="4" fillId="4" borderId="1" xfId="4" applyNumberFormat="1" applyFont="1" applyFill="1" applyBorder="1" applyAlignment="1" applyProtection="1">
      <alignment horizontal="center" vertical="center" wrapText="1"/>
      <protection hidden="1"/>
    </xf>
    <xf numFmtId="3" fontId="4" fillId="4" borderId="1" xfId="2" applyNumberFormat="1" applyFont="1" applyFill="1" applyBorder="1" applyAlignment="1" applyProtection="1">
      <alignment horizontal="center" vertical="center" wrapText="1"/>
      <protection hidden="1"/>
    </xf>
    <xf numFmtId="0" fontId="4" fillId="0" borderId="0" xfId="0" applyFont="1" applyBorder="1"/>
    <xf numFmtId="0" fontId="27" fillId="0" borderId="40" xfId="0" applyFont="1" applyBorder="1"/>
    <xf numFmtId="0" fontId="27" fillId="0" borderId="0" xfId="0" applyFont="1" applyBorder="1"/>
    <xf numFmtId="0" fontId="0" fillId="2" borderId="12" xfId="0" applyFill="1" applyBorder="1"/>
    <xf numFmtId="0" fontId="27" fillId="0" borderId="36" xfId="0" applyFont="1" applyBorder="1"/>
    <xf numFmtId="0" fontId="27" fillId="0" borderId="36" xfId="0" applyFont="1" applyBorder="1" applyAlignment="1">
      <alignment wrapText="1"/>
    </xf>
    <xf numFmtId="173" fontId="12" fillId="4" borderId="1" xfId="0" applyNumberFormat="1" applyFont="1" applyFill="1" applyBorder="1" applyAlignment="1" applyProtection="1">
      <alignment horizontal="right" vertical="center"/>
    </xf>
    <xf numFmtId="173" fontId="14" fillId="16" borderId="1" xfId="0" applyNumberFormat="1" applyFont="1" applyFill="1" applyBorder="1" applyAlignment="1" applyProtection="1">
      <alignment horizontal="right" vertical="center"/>
    </xf>
    <xf numFmtId="0" fontId="12" fillId="0" borderId="0" xfId="0" applyFont="1" applyAlignment="1">
      <alignment vertical="center"/>
    </xf>
    <xf numFmtId="3" fontId="14" fillId="2" borderId="0" xfId="0" applyNumberFormat="1" applyFont="1" applyFill="1" applyBorder="1" applyAlignment="1" applyProtection="1">
      <alignment vertical="center"/>
    </xf>
    <xf numFmtId="0" fontId="12" fillId="2" borderId="0" xfId="0" applyFont="1" applyFill="1" applyBorder="1" applyAlignment="1">
      <alignment vertical="center"/>
    </xf>
    <xf numFmtId="3" fontId="12" fillId="0" borderId="0" xfId="0" applyNumberFormat="1" applyFont="1" applyAlignment="1">
      <alignment vertical="center"/>
    </xf>
    <xf numFmtId="173" fontId="12" fillId="16" borderId="1" xfId="0" applyNumberFormat="1" applyFont="1" applyFill="1" applyBorder="1" applyAlignment="1" applyProtection="1">
      <alignment horizontal="right" vertical="center"/>
    </xf>
    <xf numFmtId="0" fontId="30" fillId="0" borderId="58" xfId="0" applyFont="1" applyBorder="1"/>
    <xf numFmtId="0" fontId="30" fillId="0" borderId="12" xfId="0" applyFont="1" applyBorder="1"/>
    <xf numFmtId="0" fontId="14" fillId="3" borderId="75" xfId="0" applyFont="1" applyFill="1" applyBorder="1" applyAlignment="1" applyProtection="1">
      <alignment horizontal="left" vertical="center"/>
    </xf>
    <xf numFmtId="0" fontId="14" fillId="13" borderId="75" xfId="0" applyFont="1" applyFill="1" applyBorder="1" applyAlignment="1" applyProtection="1">
      <alignment horizontal="left" vertical="center" wrapText="1"/>
    </xf>
    <xf numFmtId="0" fontId="12" fillId="5" borderId="75" xfId="0" applyFont="1" applyFill="1" applyBorder="1" applyAlignment="1" applyProtection="1">
      <alignment horizontal="left" vertical="center"/>
    </xf>
    <xf numFmtId="0" fontId="14" fillId="16" borderId="75" xfId="0" applyFont="1" applyFill="1" applyBorder="1" applyAlignment="1" applyProtection="1">
      <alignment horizontal="left" vertical="center"/>
    </xf>
    <xf numFmtId="0" fontId="14" fillId="5" borderId="75" xfId="0" applyFont="1" applyFill="1" applyBorder="1" applyAlignment="1" applyProtection="1">
      <alignment horizontal="left" vertical="center"/>
    </xf>
    <xf numFmtId="0" fontId="12" fillId="5" borderId="75" xfId="0" applyFont="1" applyFill="1" applyBorder="1" applyProtection="1"/>
    <xf numFmtId="173" fontId="12" fillId="4" borderId="75" xfId="0" applyNumberFormat="1" applyFont="1" applyFill="1" applyBorder="1" applyAlignment="1" applyProtection="1">
      <alignment horizontal="right" vertical="center"/>
    </xf>
    <xf numFmtId="0" fontId="30" fillId="0" borderId="68" xfId="0" applyFont="1" applyBorder="1"/>
    <xf numFmtId="173" fontId="12" fillId="4" borderId="76" xfId="0" applyNumberFormat="1" applyFont="1" applyFill="1" applyBorder="1" applyAlignment="1" applyProtection="1">
      <alignment horizontal="right" vertical="center"/>
    </xf>
    <xf numFmtId="174" fontId="12" fillId="5" borderId="76" xfId="0" applyNumberFormat="1" applyFont="1" applyFill="1" applyBorder="1" applyAlignment="1" applyProtection="1">
      <alignment horizontal="right" vertical="center"/>
    </xf>
    <xf numFmtId="173" fontId="14" fillId="16" borderId="76" xfId="0" applyNumberFormat="1" applyFont="1" applyFill="1" applyBorder="1" applyAlignment="1" applyProtection="1">
      <alignment horizontal="right" vertical="center"/>
    </xf>
    <xf numFmtId="173" fontId="12" fillId="16" borderId="76" xfId="0" applyNumberFormat="1" applyFont="1" applyFill="1" applyBorder="1" applyAlignment="1" applyProtection="1">
      <alignment horizontal="right" vertical="center"/>
    </xf>
    <xf numFmtId="3" fontId="12" fillId="5" borderId="76" xfId="0" applyNumberFormat="1" applyFont="1" applyFill="1" applyBorder="1" applyAlignment="1" applyProtection="1">
      <alignment vertical="center"/>
    </xf>
    <xf numFmtId="0" fontId="12" fillId="2" borderId="36" xfId="0" applyFont="1" applyFill="1" applyBorder="1"/>
    <xf numFmtId="17" fontId="14" fillId="3" borderId="1" xfId="0" applyNumberFormat="1" applyFont="1" applyFill="1" applyBorder="1" applyAlignment="1" applyProtection="1">
      <alignment horizontal="center" vertical="center"/>
    </xf>
    <xf numFmtId="17" fontId="14" fillId="3" borderId="76" xfId="0" applyNumberFormat="1" applyFont="1" applyFill="1" applyBorder="1" applyAlignment="1" applyProtection="1">
      <alignment horizontal="center" vertical="center"/>
    </xf>
    <xf numFmtId="0" fontId="33" fillId="17" borderId="75" xfId="0" applyFont="1" applyFill="1" applyBorder="1" applyAlignment="1" applyProtection="1">
      <alignment horizontal="left" vertical="center"/>
    </xf>
    <xf numFmtId="0" fontId="12" fillId="5" borderId="75" xfId="0" applyFont="1" applyFill="1" applyBorder="1" applyAlignment="1" applyProtection="1">
      <alignment horizontal="left" vertical="center" indent="1"/>
    </xf>
    <xf numFmtId="0" fontId="14" fillId="3" borderId="75" xfId="0" applyFont="1" applyFill="1" applyBorder="1" applyAlignment="1" applyProtection="1">
      <alignment horizontal="center" vertical="center"/>
    </xf>
    <xf numFmtId="0" fontId="30" fillId="0" borderId="0" xfId="0" applyFont="1" applyAlignment="1">
      <alignment vertical="center"/>
    </xf>
    <xf numFmtId="0" fontId="30" fillId="2" borderId="0" xfId="0" applyFont="1" applyFill="1" applyAlignment="1">
      <alignment vertical="center"/>
    </xf>
    <xf numFmtId="0" fontId="14" fillId="17" borderId="75" xfId="0" applyFont="1" applyFill="1" applyBorder="1" applyAlignment="1" applyProtection="1">
      <alignment horizontal="left" vertical="center"/>
    </xf>
    <xf numFmtId="0" fontId="14" fillId="17" borderId="79" xfId="0" applyFont="1" applyFill="1" applyBorder="1" applyAlignment="1" applyProtection="1">
      <alignment horizontal="left"/>
    </xf>
    <xf numFmtId="3" fontId="14" fillId="17" borderId="11" xfId="0" applyNumberFormat="1" applyFont="1" applyFill="1" applyBorder="1" applyAlignment="1" applyProtection="1">
      <alignment horizontal="center"/>
    </xf>
    <xf numFmtId="3" fontId="14" fillId="17" borderId="62" xfId="0" applyNumberFormat="1" applyFont="1" applyFill="1" applyBorder="1" applyAlignment="1" applyProtection="1">
      <alignment horizontal="center"/>
    </xf>
    <xf numFmtId="0" fontId="12" fillId="13" borderId="75" xfId="0" applyFont="1" applyFill="1" applyBorder="1" applyAlignment="1" applyProtection="1">
      <alignment horizontal="left" vertical="center"/>
    </xf>
    <xf numFmtId="0" fontId="14" fillId="13" borderId="75" xfId="0" applyFont="1" applyFill="1" applyBorder="1" applyAlignment="1" applyProtection="1">
      <alignment vertical="center"/>
    </xf>
    <xf numFmtId="0" fontId="14" fillId="13" borderId="75" xfId="0" applyFont="1" applyFill="1" applyBorder="1" applyAlignment="1" applyProtection="1">
      <alignment horizontal="left" vertical="center"/>
    </xf>
    <xf numFmtId="1" fontId="12" fillId="13" borderId="75" xfId="0" applyNumberFormat="1" applyFont="1" applyFill="1" applyBorder="1" applyAlignment="1" applyProtection="1">
      <alignment horizontal="left" vertical="center"/>
    </xf>
    <xf numFmtId="1" fontId="12" fillId="13" borderId="75" xfId="0" applyNumberFormat="1" applyFont="1" applyFill="1" applyBorder="1" applyAlignment="1" applyProtection="1">
      <alignment horizontal="left" vertical="center" indent="1"/>
    </xf>
    <xf numFmtId="1" fontId="14" fillId="16" borderId="75" xfId="0" applyNumberFormat="1" applyFont="1" applyFill="1" applyBorder="1" applyAlignment="1" applyProtection="1">
      <alignment vertical="center"/>
    </xf>
    <xf numFmtId="1" fontId="14" fillId="13" borderId="75" xfId="0" applyNumberFormat="1" applyFont="1" applyFill="1" applyBorder="1" applyAlignment="1" applyProtection="1">
      <alignment vertical="center"/>
    </xf>
    <xf numFmtId="1" fontId="14" fillId="13" borderId="75" xfId="0" applyNumberFormat="1" applyFont="1" applyFill="1" applyBorder="1" applyAlignment="1" applyProtection="1">
      <alignment horizontal="left" vertical="center"/>
    </xf>
    <xf numFmtId="3" fontId="14" fillId="20" borderId="1" xfId="0" applyNumberFormat="1" applyFont="1" applyFill="1" applyBorder="1" applyAlignment="1" applyProtection="1">
      <alignment vertical="center"/>
    </xf>
    <xf numFmtId="167" fontId="14" fillId="20" borderId="1" xfId="4" applyNumberFormat="1" applyFont="1" applyFill="1" applyBorder="1" applyAlignment="1" applyProtection="1">
      <alignment vertical="center"/>
    </xf>
    <xf numFmtId="10" fontId="3" fillId="20" borderId="1" xfId="4" applyNumberFormat="1" applyFont="1" applyFill="1" applyBorder="1" applyAlignment="1" applyProtection="1">
      <alignment horizontal="right"/>
      <protection hidden="1"/>
    </xf>
    <xf numFmtId="9" fontId="3" fillId="20" borderId="1" xfId="4" applyNumberFormat="1" applyFont="1" applyFill="1" applyBorder="1" applyAlignment="1" applyProtection="1">
      <alignment horizontal="center"/>
      <protection hidden="1"/>
    </xf>
    <xf numFmtId="3" fontId="3" fillId="20" borderId="1" xfId="2" applyNumberFormat="1" applyFont="1" applyFill="1" applyBorder="1" applyAlignment="1" applyProtection="1">
      <alignment horizontal="center"/>
      <protection hidden="1"/>
    </xf>
    <xf numFmtId="173" fontId="3" fillId="20" borderId="1" xfId="0" applyNumberFormat="1" applyFont="1" applyFill="1" applyBorder="1" applyAlignment="1" applyProtection="1">
      <alignment horizontal="right" vertical="center"/>
      <protection hidden="1"/>
    </xf>
    <xf numFmtId="3" fontId="3" fillId="20" borderId="1" xfId="0" applyNumberFormat="1" applyFont="1" applyFill="1" applyBorder="1" applyAlignment="1" applyProtection="1">
      <alignment horizontal="center" vertical="center"/>
      <protection hidden="1"/>
    </xf>
    <xf numFmtId="10" fontId="3" fillId="20" borderId="1" xfId="4" applyNumberFormat="1" applyFont="1" applyFill="1" applyBorder="1" applyAlignment="1" applyProtection="1">
      <alignment horizontal="center" vertical="center"/>
      <protection hidden="1"/>
    </xf>
    <xf numFmtId="0" fontId="12" fillId="0" borderId="0" xfId="0" applyFont="1" applyBorder="1" applyProtection="1">
      <protection locked="0"/>
    </xf>
    <xf numFmtId="0" fontId="27" fillId="0" borderId="0" xfId="0" applyFont="1" applyBorder="1" applyProtection="1">
      <protection locked="0"/>
    </xf>
    <xf numFmtId="0" fontId="10" fillId="2" borderId="0" xfId="0" applyNumberFormat="1" applyFont="1" applyFill="1" applyBorder="1" applyAlignment="1" applyProtection="1">
      <alignment horizontal="right" vertical="center"/>
    </xf>
    <xf numFmtId="0" fontId="2" fillId="2" borderId="0" xfId="0" applyNumberFormat="1" applyFont="1" applyFill="1" applyBorder="1" applyAlignment="1" applyProtection="1">
      <alignment horizontal="right" vertical="center"/>
    </xf>
    <xf numFmtId="0" fontId="10" fillId="2" borderId="54" xfId="0" applyFont="1" applyFill="1" applyBorder="1" applyAlignment="1" applyProtection="1">
      <alignment horizontal="center" vertical="center"/>
    </xf>
    <xf numFmtId="3" fontId="2" fillId="0" borderId="80" xfId="0" applyNumberFormat="1" applyFont="1" applyFill="1" applyBorder="1" applyAlignment="1" applyProtection="1">
      <alignment horizontal="center" vertical="center"/>
    </xf>
    <xf numFmtId="0" fontId="10" fillId="0" borderId="0" xfId="0" applyFont="1" applyBorder="1" applyProtection="1"/>
    <xf numFmtId="0" fontId="3" fillId="2" borderId="0" xfId="0" applyFont="1" applyFill="1" applyBorder="1" applyProtection="1"/>
    <xf numFmtId="0" fontId="10" fillId="2" borderId="79" xfId="0" applyNumberFormat="1" applyFont="1" applyFill="1" applyBorder="1" applyProtection="1"/>
    <xf numFmtId="0" fontId="10" fillId="2" borderId="26" xfId="0" applyNumberFormat="1" applyFont="1" applyFill="1" applyBorder="1" applyProtection="1"/>
    <xf numFmtId="0" fontId="10" fillId="2" borderId="81" xfId="0" applyNumberFormat="1" applyFont="1" applyFill="1" applyBorder="1" applyProtection="1"/>
    <xf numFmtId="0" fontId="41" fillId="0" borderId="0" xfId="0" applyFont="1" applyBorder="1" applyProtection="1"/>
    <xf numFmtId="3" fontId="46" fillId="0" borderId="0" xfId="0" applyNumberFormat="1" applyFont="1" applyProtection="1">
      <protection locked="0"/>
    </xf>
    <xf numFmtId="0" fontId="5" fillId="7" borderId="0" xfId="0" applyFont="1" applyFill="1" applyBorder="1" applyAlignment="1">
      <alignment horizontal="center" vertical="center"/>
    </xf>
    <xf numFmtId="0" fontId="3" fillId="7" borderId="0" xfId="0" applyFont="1" applyFill="1" applyBorder="1" applyAlignment="1">
      <alignment horizontal="center"/>
    </xf>
    <xf numFmtId="0" fontId="24" fillId="7" borderId="40" xfId="0" applyFont="1" applyFill="1" applyBorder="1" applyAlignment="1">
      <alignment horizontal="center" wrapText="1"/>
    </xf>
    <xf numFmtId="0" fontId="24" fillId="7" borderId="0" xfId="0" applyFont="1" applyFill="1" applyBorder="1" applyAlignment="1">
      <alignment horizontal="center" wrapText="1"/>
    </xf>
    <xf numFmtId="0" fontId="3" fillId="7" borderId="0" xfId="0" applyFont="1" applyFill="1" applyBorder="1" applyAlignment="1">
      <alignment horizontal="center" vertical="center"/>
    </xf>
    <xf numFmtId="0" fontId="16" fillId="0" borderId="40" xfId="0" applyFont="1" applyBorder="1" applyAlignment="1" applyProtection="1">
      <alignment horizontal="center"/>
    </xf>
    <xf numFmtId="0" fontId="16" fillId="0" borderId="0" xfId="0" applyFont="1" applyBorder="1" applyAlignment="1" applyProtection="1">
      <alignment horizontal="center"/>
    </xf>
    <xf numFmtId="0" fontId="16" fillId="0" borderId="36" xfId="0" applyFont="1" applyBorder="1" applyAlignment="1" applyProtection="1">
      <alignment horizontal="center"/>
    </xf>
    <xf numFmtId="0" fontId="2" fillId="2" borderId="0" xfId="0" applyNumberFormat="1" applyFont="1" applyFill="1" applyBorder="1" applyAlignment="1" applyProtection="1">
      <alignment horizontal="right" vertical="center"/>
    </xf>
    <xf numFmtId="0" fontId="2" fillId="0" borderId="55" xfId="0" applyFont="1" applyFill="1" applyBorder="1" applyAlignment="1" applyProtection="1">
      <alignment horizontal="center" vertical="center"/>
      <protection locked="0"/>
    </xf>
    <xf numFmtId="0" fontId="2" fillId="0" borderId="56" xfId="0" applyFont="1" applyFill="1" applyBorder="1" applyAlignment="1" applyProtection="1">
      <alignment horizontal="center" vertical="center"/>
      <protection locked="0"/>
    </xf>
    <xf numFmtId="0" fontId="2" fillId="0" borderId="57" xfId="0" applyFont="1" applyFill="1" applyBorder="1" applyAlignment="1" applyProtection="1">
      <alignment horizontal="center" vertical="center"/>
      <protection locked="0"/>
    </xf>
    <xf numFmtId="14" fontId="2" fillId="0" borderId="55" xfId="0" applyNumberFormat="1" applyFont="1" applyFill="1" applyBorder="1" applyAlignment="1" applyProtection="1">
      <alignment horizontal="center" vertical="center"/>
      <protection locked="0"/>
    </xf>
    <xf numFmtId="0" fontId="2" fillId="0" borderId="55" xfId="0" applyFont="1" applyBorder="1" applyAlignment="1" applyProtection="1">
      <alignment horizontal="center"/>
      <protection locked="0"/>
    </xf>
    <xf numFmtId="0" fontId="10" fillId="0" borderId="56" xfId="0" applyFont="1" applyBorder="1" applyAlignment="1" applyProtection="1">
      <alignment horizontal="center"/>
      <protection locked="0"/>
    </xf>
    <xf numFmtId="0" fontId="10" fillId="0" borderId="57" xfId="0" applyFont="1" applyBorder="1" applyAlignment="1" applyProtection="1">
      <alignment horizontal="center"/>
      <protection locked="0"/>
    </xf>
    <xf numFmtId="0" fontId="2" fillId="2" borderId="60" xfId="0" applyFont="1" applyFill="1" applyBorder="1" applyAlignment="1" applyProtection="1">
      <alignment horizontal="right"/>
    </xf>
    <xf numFmtId="0" fontId="10" fillId="2" borderId="59" xfId="0" applyFont="1" applyFill="1" applyBorder="1" applyAlignment="1" applyProtection="1">
      <alignment horizontal="right"/>
    </xf>
    <xf numFmtId="0" fontId="10" fillId="2" borderId="55" xfId="0" applyFont="1" applyFill="1" applyBorder="1" applyAlignment="1" applyProtection="1">
      <alignment horizontal="center"/>
      <protection locked="0"/>
    </xf>
    <xf numFmtId="0" fontId="10" fillId="2" borderId="57" xfId="0" applyFont="1" applyFill="1" applyBorder="1" applyAlignment="1" applyProtection="1">
      <alignment horizontal="center"/>
      <protection locked="0"/>
    </xf>
    <xf numFmtId="0" fontId="25" fillId="12" borderId="46" xfId="0" applyFont="1" applyFill="1" applyBorder="1" applyAlignment="1" applyProtection="1">
      <alignment horizontal="center"/>
    </xf>
    <xf numFmtId="0" fontId="25" fillId="12" borderId="52" xfId="0" applyFont="1" applyFill="1" applyBorder="1" applyAlignment="1" applyProtection="1">
      <alignment horizontal="center"/>
    </xf>
    <xf numFmtId="0" fontId="3" fillId="14" borderId="51" xfId="0" applyNumberFormat="1" applyFont="1" applyFill="1" applyBorder="1" applyAlignment="1" applyProtection="1">
      <alignment horizontal="center" vertical="top"/>
    </xf>
    <xf numFmtId="0" fontId="3" fillId="14" borderId="46" xfId="0" applyNumberFormat="1" applyFont="1" applyFill="1" applyBorder="1" applyAlignment="1" applyProtection="1">
      <alignment horizontal="center" vertical="top"/>
    </xf>
    <xf numFmtId="0" fontId="3" fillId="14" borderId="52" xfId="0" applyNumberFormat="1" applyFont="1" applyFill="1" applyBorder="1" applyAlignment="1" applyProtection="1">
      <alignment horizontal="center" vertical="top"/>
    </xf>
    <xf numFmtId="0" fontId="7" fillId="0" borderId="55" xfId="1" applyFill="1" applyBorder="1" applyAlignment="1" applyProtection="1">
      <alignment horizontal="center" vertical="center"/>
      <protection locked="0"/>
    </xf>
    <xf numFmtId="0" fontId="7" fillId="0" borderId="56" xfId="1" applyFill="1" applyBorder="1" applyAlignment="1" applyProtection="1">
      <alignment horizontal="center" vertical="center"/>
      <protection locked="0"/>
    </xf>
    <xf numFmtId="0" fontId="7" fillId="0" borderId="57" xfId="1" applyFill="1" applyBorder="1" applyAlignment="1" applyProtection="1">
      <alignment horizontal="center" vertical="center"/>
      <protection locked="0"/>
    </xf>
    <xf numFmtId="0" fontId="16" fillId="0" borderId="41" xfId="0" applyFont="1" applyBorder="1" applyAlignment="1" applyProtection="1">
      <alignment horizontal="center"/>
    </xf>
    <xf numFmtId="0" fontId="16" fillId="0" borderId="42" xfId="0" applyFont="1" applyBorder="1" applyAlignment="1" applyProtection="1">
      <alignment horizontal="center"/>
    </xf>
    <xf numFmtId="0" fontId="16" fillId="0" borderId="43" xfId="0" applyFont="1" applyBorder="1" applyAlignment="1" applyProtection="1">
      <alignment horizontal="center"/>
    </xf>
    <xf numFmtId="0" fontId="2" fillId="2" borderId="60" xfId="0" applyNumberFormat="1" applyFont="1" applyFill="1" applyBorder="1" applyAlignment="1" applyProtection="1">
      <alignment horizontal="right" vertical="center"/>
    </xf>
    <xf numFmtId="0" fontId="10" fillId="2" borderId="0" xfId="0" applyNumberFormat="1" applyFont="1" applyFill="1" applyBorder="1" applyAlignment="1" applyProtection="1">
      <alignment horizontal="right" vertical="center"/>
    </xf>
    <xf numFmtId="0" fontId="2" fillId="0" borderId="55" xfId="0" applyNumberFormat="1" applyFont="1" applyFill="1" applyBorder="1" applyAlignment="1" applyProtection="1">
      <alignment horizontal="center" vertical="center"/>
      <protection locked="0"/>
    </xf>
    <xf numFmtId="0" fontId="2" fillId="0" borderId="56" xfId="0" applyNumberFormat="1" applyFont="1" applyFill="1" applyBorder="1" applyAlignment="1" applyProtection="1">
      <alignment horizontal="center" vertical="center"/>
      <protection locked="0"/>
    </xf>
    <xf numFmtId="0" fontId="2" fillId="0" borderId="57" xfId="0" applyNumberFormat="1" applyFont="1" applyFill="1" applyBorder="1" applyAlignment="1" applyProtection="1">
      <alignment horizontal="center" vertical="center"/>
      <protection locked="0"/>
    </xf>
    <xf numFmtId="0" fontId="33" fillId="0" borderId="0" xfId="0" applyNumberFormat="1" applyFont="1" applyFill="1" applyBorder="1" applyAlignment="1" applyProtection="1">
      <alignment horizontal="center" vertical="center"/>
    </xf>
    <xf numFmtId="0" fontId="33" fillId="0" borderId="59" xfId="0" applyNumberFormat="1" applyFont="1" applyFill="1" applyBorder="1" applyAlignment="1" applyProtection="1">
      <alignment horizontal="center" vertical="center"/>
    </xf>
    <xf numFmtId="0" fontId="3" fillId="14" borderId="72" xfId="0" applyNumberFormat="1" applyFont="1" applyFill="1" applyBorder="1" applyAlignment="1" applyProtection="1">
      <alignment horizontal="center" vertical="top"/>
    </xf>
    <xf numFmtId="0" fontId="3" fillId="14" borderId="50" xfId="0" applyNumberFormat="1" applyFont="1" applyFill="1" applyBorder="1" applyAlignment="1" applyProtection="1">
      <alignment horizontal="center" vertical="top"/>
    </xf>
    <xf numFmtId="0" fontId="3" fillId="14" borderId="71" xfId="0" applyNumberFormat="1" applyFont="1" applyFill="1" applyBorder="1" applyAlignment="1" applyProtection="1">
      <alignment horizontal="center" vertical="top"/>
    </xf>
    <xf numFmtId="0" fontId="10" fillId="2" borderId="56" xfId="0" applyFont="1" applyFill="1" applyBorder="1" applyAlignment="1" applyProtection="1">
      <alignment horizontal="center"/>
      <protection locked="0"/>
    </xf>
    <xf numFmtId="0" fontId="10" fillId="0" borderId="55" xfId="0" applyFont="1" applyBorder="1" applyAlignment="1" applyProtection="1">
      <alignment horizontal="center" vertical="center"/>
      <protection locked="0"/>
    </xf>
    <xf numFmtId="0" fontId="10" fillId="0" borderId="57" xfId="0" applyFont="1" applyBorder="1" applyAlignment="1" applyProtection="1">
      <alignment horizontal="center" vertical="center"/>
      <protection locked="0"/>
    </xf>
    <xf numFmtId="170" fontId="2" fillId="0" borderId="55" xfId="0" applyNumberFormat="1" applyFont="1" applyFill="1" applyBorder="1" applyAlignment="1" applyProtection="1">
      <alignment horizontal="center" vertical="center"/>
    </xf>
    <xf numFmtId="170" fontId="2" fillId="0" borderId="57" xfId="0" applyNumberFormat="1" applyFont="1" applyFill="1" applyBorder="1" applyAlignment="1" applyProtection="1">
      <alignment horizontal="center" vertical="center"/>
    </xf>
    <xf numFmtId="0" fontId="2" fillId="2" borderId="55" xfId="0" applyNumberFormat="1" applyFont="1" applyFill="1" applyBorder="1" applyAlignment="1" applyProtection="1">
      <alignment horizontal="center" vertical="center"/>
      <protection locked="0"/>
    </xf>
    <xf numFmtId="0" fontId="10" fillId="2" borderId="57" xfId="0" applyNumberFormat="1" applyFont="1" applyFill="1" applyBorder="1" applyAlignment="1" applyProtection="1">
      <alignment horizontal="center" vertical="center"/>
      <protection locked="0"/>
    </xf>
    <xf numFmtId="0" fontId="2" fillId="0" borderId="55" xfId="0" applyFont="1" applyFill="1" applyBorder="1" applyAlignment="1" applyProtection="1">
      <alignment horizontal="center" vertical="center"/>
    </xf>
    <xf numFmtId="0" fontId="2" fillId="0" borderId="56" xfId="0" applyFont="1" applyFill="1" applyBorder="1" applyAlignment="1" applyProtection="1">
      <alignment horizontal="center" vertical="center"/>
    </xf>
    <xf numFmtId="0" fontId="2" fillId="0" borderId="57" xfId="0" applyFont="1" applyFill="1" applyBorder="1" applyAlignment="1" applyProtection="1">
      <alignment horizontal="center" vertical="center"/>
    </xf>
    <xf numFmtId="0" fontId="2" fillId="0" borderId="55" xfId="0" applyFont="1" applyFill="1" applyBorder="1" applyAlignment="1" applyProtection="1">
      <alignment horizontal="center" vertical="center" wrapText="1"/>
      <protection locked="0"/>
    </xf>
    <xf numFmtId="0" fontId="2" fillId="0" borderId="56" xfId="0" applyFont="1" applyFill="1" applyBorder="1" applyAlignment="1" applyProtection="1">
      <alignment horizontal="center" vertical="center" wrapText="1"/>
      <protection locked="0"/>
    </xf>
    <xf numFmtId="0" fontId="2" fillId="0" borderId="57" xfId="0" applyFont="1" applyFill="1" applyBorder="1" applyAlignment="1" applyProtection="1">
      <alignment horizontal="center" vertical="center" wrapText="1"/>
      <protection locked="0"/>
    </xf>
    <xf numFmtId="0" fontId="2" fillId="0" borderId="55" xfId="0" applyNumberFormat="1" applyFont="1" applyFill="1" applyBorder="1" applyAlignment="1" applyProtection="1">
      <alignment horizontal="center" vertical="center"/>
    </xf>
    <xf numFmtId="0" fontId="2" fillId="0" borderId="56" xfId="0" applyNumberFormat="1" applyFont="1" applyFill="1" applyBorder="1" applyAlignment="1" applyProtection="1">
      <alignment horizontal="center" vertical="center"/>
    </xf>
    <xf numFmtId="0" fontId="2" fillId="0" borderId="57" xfId="0" applyNumberFormat="1" applyFont="1" applyFill="1" applyBorder="1" applyAlignment="1" applyProtection="1">
      <alignment horizontal="center" vertical="center"/>
    </xf>
    <xf numFmtId="166" fontId="2" fillId="0" borderId="55" xfId="0" applyNumberFormat="1" applyFont="1" applyFill="1" applyBorder="1" applyAlignment="1" applyProtection="1">
      <alignment horizontal="center" vertical="center"/>
      <protection locked="0"/>
    </xf>
    <xf numFmtId="166" fontId="2" fillId="0" borderId="57" xfId="0" applyNumberFormat="1" applyFont="1" applyFill="1" applyBorder="1" applyAlignment="1" applyProtection="1">
      <alignment horizontal="center" vertical="center"/>
      <protection locked="0"/>
    </xf>
    <xf numFmtId="0" fontId="7" fillId="2" borderId="55" xfId="1" applyNumberFormat="1" applyFill="1" applyBorder="1" applyAlignment="1" applyProtection="1">
      <alignment horizontal="center" vertical="center"/>
      <protection locked="0"/>
    </xf>
    <xf numFmtId="0" fontId="2" fillId="2" borderId="56" xfId="0" applyNumberFormat="1" applyFont="1" applyFill="1" applyBorder="1" applyAlignment="1" applyProtection="1">
      <alignment horizontal="center" vertical="center"/>
      <protection locked="0"/>
    </xf>
    <xf numFmtId="0" fontId="2" fillId="2" borderId="57" xfId="0" applyNumberFormat="1" applyFont="1" applyFill="1" applyBorder="1" applyAlignment="1" applyProtection="1">
      <alignment horizontal="center" vertical="center"/>
      <protection locked="0"/>
    </xf>
    <xf numFmtId="0" fontId="7" fillId="2" borderId="0" xfId="1" applyNumberFormat="1" applyFill="1" applyBorder="1" applyAlignment="1" applyProtection="1">
      <alignment horizontal="center" vertical="center"/>
    </xf>
    <xf numFmtId="0" fontId="2" fillId="2" borderId="0" xfId="0" applyNumberFormat="1" applyFont="1" applyFill="1" applyBorder="1" applyAlignment="1" applyProtection="1">
      <alignment horizontal="center" vertical="center"/>
    </xf>
    <xf numFmtId="3" fontId="0" fillId="5" borderId="1" xfId="0" applyNumberFormat="1" applyFill="1" applyBorder="1" applyAlignment="1" applyProtection="1">
      <alignment horizontal="center" vertical="center"/>
    </xf>
    <xf numFmtId="0" fontId="25" fillId="12" borderId="61" xfId="0" applyFont="1" applyFill="1" applyBorder="1" applyAlignment="1" applyProtection="1">
      <alignment horizontal="center"/>
    </xf>
    <xf numFmtId="0" fontId="25" fillId="12" borderId="11" xfId="0" applyFont="1" applyFill="1" applyBorder="1" applyAlignment="1" applyProtection="1">
      <alignment horizontal="center"/>
    </xf>
    <xf numFmtId="0" fontId="25" fillId="12" borderId="62" xfId="0" applyFont="1" applyFill="1" applyBorder="1" applyAlignment="1" applyProtection="1">
      <alignment horizontal="center"/>
    </xf>
    <xf numFmtId="0" fontId="0" fillId="0" borderId="55" xfId="0" applyFill="1" applyBorder="1" applyAlignment="1">
      <alignment horizontal="center" vertical="center"/>
    </xf>
    <xf numFmtId="0" fontId="0" fillId="0" borderId="56" xfId="0" applyFill="1" applyBorder="1" applyAlignment="1">
      <alignment horizontal="center" vertical="center"/>
    </xf>
    <xf numFmtId="0" fontId="0" fillId="0" borderId="57" xfId="0" applyFill="1" applyBorder="1" applyAlignment="1">
      <alignment horizontal="center" vertical="center"/>
    </xf>
    <xf numFmtId="0" fontId="41" fillId="0" borderId="0" xfId="0" applyFont="1" applyFill="1" applyBorder="1" applyAlignment="1" applyProtection="1">
      <alignment horizontal="left" indent="6"/>
    </xf>
    <xf numFmtId="0" fontId="41" fillId="0" borderId="59" xfId="0" applyFont="1" applyFill="1" applyBorder="1" applyAlignment="1" applyProtection="1">
      <alignment horizontal="left" indent="6"/>
    </xf>
    <xf numFmtId="0" fontId="3" fillId="3" borderId="1" xfId="0" applyFont="1" applyFill="1" applyBorder="1" applyAlignment="1" applyProtection="1">
      <alignment horizontal="center" vertical="center" wrapText="1"/>
    </xf>
    <xf numFmtId="3" fontId="21" fillId="8" borderId="1" xfId="0" applyNumberFormat="1" applyFont="1" applyFill="1" applyBorder="1" applyAlignment="1" applyProtection="1">
      <alignment horizontal="left" vertical="center" wrapText="1"/>
      <protection locked="0"/>
    </xf>
    <xf numFmtId="49" fontId="3" fillId="3" borderId="1" xfId="0" applyNumberFormat="1" applyFont="1" applyFill="1" applyBorder="1" applyAlignment="1" applyProtection="1">
      <alignment horizontal="center" vertical="center" wrapText="1"/>
    </xf>
    <xf numFmtId="3" fontId="3" fillId="3" borderId="1" xfId="0" applyNumberFormat="1" applyFont="1" applyFill="1" applyBorder="1" applyAlignment="1" applyProtection="1">
      <alignment horizontal="center" vertical="center"/>
    </xf>
    <xf numFmtId="0" fontId="3" fillId="14" borderId="19" xfId="0" applyNumberFormat="1" applyFont="1" applyFill="1" applyBorder="1" applyAlignment="1" applyProtection="1">
      <alignment horizontal="center" vertical="top"/>
    </xf>
    <xf numFmtId="0" fontId="3" fillId="14" borderId="35" xfId="0" applyNumberFormat="1" applyFont="1" applyFill="1" applyBorder="1" applyAlignment="1" applyProtection="1">
      <alignment horizontal="center" vertical="top"/>
    </xf>
    <xf numFmtId="0" fontId="24" fillId="3" borderId="1" xfId="0" applyFont="1" applyFill="1" applyBorder="1" applyAlignment="1" applyProtection="1">
      <alignment horizontal="center" vertical="center" wrapText="1"/>
    </xf>
    <xf numFmtId="0" fontId="21" fillId="4" borderId="1" xfId="0" applyFont="1" applyFill="1" applyBorder="1" applyAlignment="1" applyProtection="1">
      <alignment horizontal="left" vertical="center" wrapText="1"/>
    </xf>
    <xf numFmtId="0" fontId="3" fillId="3" borderId="1" xfId="0" applyFont="1" applyFill="1" applyBorder="1" applyAlignment="1" applyProtection="1">
      <alignment horizontal="center" vertical="center"/>
    </xf>
    <xf numFmtId="3" fontId="21" fillId="4" borderId="1" xfId="0" applyNumberFormat="1" applyFont="1" applyFill="1" applyBorder="1" applyAlignment="1" applyProtection="1">
      <alignment horizontal="left" vertical="center" wrapText="1"/>
    </xf>
    <xf numFmtId="0" fontId="2" fillId="5" borderId="1" xfId="0" applyFont="1" applyFill="1" applyBorder="1" applyAlignment="1" applyProtection="1">
      <alignment horizontal="center" vertical="center"/>
    </xf>
    <xf numFmtId="3" fontId="0" fillId="5" borderId="1" xfId="0" applyNumberFormat="1" applyFill="1" applyBorder="1" applyAlignment="1" applyProtection="1">
      <alignment horizontal="center" vertical="center" wrapText="1"/>
    </xf>
    <xf numFmtId="0" fontId="4" fillId="5" borderId="1" xfId="0" applyFont="1" applyFill="1" applyBorder="1" applyAlignment="1" applyProtection="1">
      <alignment horizontal="center" vertical="center"/>
    </xf>
    <xf numFmtId="0" fontId="3" fillId="3" borderId="22" xfId="0" applyFont="1" applyFill="1" applyBorder="1" applyAlignment="1" applyProtection="1">
      <alignment horizontal="center" vertical="center" wrapText="1"/>
    </xf>
    <xf numFmtId="3" fontId="0" fillId="4" borderId="6" xfId="0" applyNumberFormat="1" applyFill="1" applyBorder="1" applyAlignment="1" applyProtection="1">
      <alignment horizontal="left" vertical="center" wrapText="1"/>
    </xf>
    <xf numFmtId="3" fontId="0" fillId="4" borderId="11" xfId="0" applyNumberFormat="1" applyFill="1" applyBorder="1" applyAlignment="1" applyProtection="1">
      <alignment horizontal="left" vertical="center" wrapText="1"/>
    </xf>
    <xf numFmtId="3" fontId="0" fillId="4" borderId="18" xfId="0" applyNumberFormat="1" applyFill="1" applyBorder="1" applyAlignment="1" applyProtection="1">
      <alignment horizontal="left" vertical="center" wrapText="1"/>
    </xf>
    <xf numFmtId="9" fontId="0" fillId="15" borderId="24" xfId="0" applyNumberFormat="1" applyFill="1" applyBorder="1" applyAlignment="1" applyProtection="1">
      <alignment horizontal="center" vertical="center" wrapText="1"/>
    </xf>
    <xf numFmtId="3" fontId="0" fillId="5" borderId="9" xfId="0" applyNumberFormat="1" applyFill="1" applyBorder="1" applyAlignment="1" applyProtection="1">
      <alignment horizontal="center" vertical="center" wrapText="1"/>
    </xf>
    <xf numFmtId="3" fontId="2" fillId="5" borderId="9" xfId="0" applyNumberFormat="1" applyFont="1" applyFill="1" applyBorder="1" applyAlignment="1" applyProtection="1">
      <alignment horizontal="center" vertical="center" wrapText="1"/>
    </xf>
    <xf numFmtId="0" fontId="4" fillId="5" borderId="9" xfId="0" applyFont="1" applyFill="1" applyBorder="1" applyAlignment="1" applyProtection="1">
      <alignment horizontal="center" vertical="center" wrapText="1"/>
    </xf>
    <xf numFmtId="0" fontId="4" fillId="5" borderId="1" xfId="0" applyFont="1" applyFill="1" applyBorder="1" applyAlignment="1" applyProtection="1">
      <alignment horizontal="center" vertical="center" wrapText="1"/>
    </xf>
    <xf numFmtId="3" fontId="0" fillId="5" borderId="20" xfId="0" applyNumberFormat="1" applyFill="1" applyBorder="1" applyAlignment="1" applyProtection="1">
      <alignment horizontal="center" vertical="center" wrapText="1"/>
    </xf>
    <xf numFmtId="3" fontId="0" fillId="5" borderId="24" xfId="0" applyNumberFormat="1" applyFill="1" applyBorder="1" applyAlignment="1" applyProtection="1">
      <alignment horizontal="center" vertical="center" wrapText="1"/>
    </xf>
    <xf numFmtId="0" fontId="3" fillId="3" borderId="23" xfId="0" applyFont="1" applyFill="1" applyBorder="1" applyAlignment="1" applyProtection="1">
      <alignment horizontal="center" vertical="center" wrapText="1"/>
    </xf>
    <xf numFmtId="0" fontId="3" fillId="3" borderId="8" xfId="0" applyFont="1" applyFill="1" applyBorder="1" applyAlignment="1" applyProtection="1">
      <alignment horizontal="center" vertical="center" wrapText="1"/>
    </xf>
    <xf numFmtId="0" fontId="3" fillId="3" borderId="21" xfId="0" applyFont="1" applyFill="1" applyBorder="1" applyAlignment="1" applyProtection="1">
      <alignment horizontal="center" vertical="center" wrapText="1"/>
    </xf>
    <xf numFmtId="0" fontId="3" fillId="3" borderId="9" xfId="0" applyFont="1" applyFill="1" applyBorder="1" applyAlignment="1" applyProtection="1">
      <alignment horizontal="center" vertical="center" wrapText="1"/>
    </xf>
    <xf numFmtId="9" fontId="0" fillId="15" borderId="1" xfId="0" applyNumberFormat="1" applyFill="1" applyBorder="1" applyAlignment="1" applyProtection="1">
      <alignment horizontal="center" vertical="center" wrapText="1"/>
    </xf>
    <xf numFmtId="0" fontId="3" fillId="3" borderId="7" xfId="0" applyFont="1" applyFill="1" applyBorder="1" applyAlignment="1" applyProtection="1">
      <alignment horizontal="center" vertical="center" wrapText="1"/>
    </xf>
    <xf numFmtId="0" fontId="3" fillId="3" borderId="14" xfId="0" applyFont="1" applyFill="1" applyBorder="1" applyAlignment="1" applyProtection="1">
      <alignment horizontal="center" vertical="center" wrapText="1"/>
    </xf>
    <xf numFmtId="0" fontId="3" fillId="3" borderId="16" xfId="0" applyFont="1" applyFill="1" applyBorder="1" applyAlignment="1" applyProtection="1">
      <alignment horizontal="center" vertical="center" wrapText="1"/>
    </xf>
    <xf numFmtId="0" fontId="3" fillId="3" borderId="10" xfId="0" applyFont="1" applyFill="1" applyBorder="1" applyAlignment="1" applyProtection="1">
      <alignment horizontal="center" vertical="center" wrapText="1"/>
    </xf>
    <xf numFmtId="0" fontId="3" fillId="3" borderId="5" xfId="0" applyFont="1" applyFill="1" applyBorder="1" applyAlignment="1" applyProtection="1">
      <alignment horizontal="center" vertical="center" wrapText="1"/>
    </xf>
    <xf numFmtId="0" fontId="3" fillId="3" borderId="3" xfId="0" applyFont="1" applyFill="1" applyBorder="1" applyAlignment="1" applyProtection="1">
      <alignment horizontal="center" vertical="center" wrapText="1"/>
    </xf>
    <xf numFmtId="0" fontId="0" fillId="5" borderId="6" xfId="0" applyFill="1" applyBorder="1" applyAlignment="1" applyProtection="1">
      <alignment horizontal="center" vertical="center" wrapText="1"/>
    </xf>
    <xf numFmtId="0" fontId="0" fillId="5" borderId="18" xfId="0" applyFill="1" applyBorder="1" applyAlignment="1" applyProtection="1">
      <alignment horizontal="center" vertical="center" wrapText="1"/>
    </xf>
    <xf numFmtId="0" fontId="0" fillId="0" borderId="18" xfId="0" applyBorder="1" applyAlignment="1">
      <alignment horizontal="center" vertical="center" wrapText="1"/>
    </xf>
    <xf numFmtId="3" fontId="6" fillId="15" borderId="1" xfId="0" applyNumberFormat="1" applyFont="1" applyFill="1" applyBorder="1" applyAlignment="1" applyProtection="1">
      <alignment horizontal="center" vertical="center"/>
    </xf>
    <xf numFmtId="0" fontId="6" fillId="15" borderId="1" xfId="0" applyFont="1" applyFill="1" applyBorder="1" applyAlignment="1" applyProtection="1">
      <alignment horizontal="center" vertical="center"/>
    </xf>
    <xf numFmtId="0" fontId="21" fillId="15" borderId="1" xfId="0" applyFont="1" applyFill="1" applyBorder="1" applyAlignment="1" applyProtection="1">
      <alignment horizontal="left" vertical="center" wrapText="1"/>
    </xf>
    <xf numFmtId="0" fontId="15" fillId="15" borderId="1" xfId="0" applyFont="1" applyFill="1" applyBorder="1" applyAlignment="1" applyProtection="1">
      <alignment horizontal="left" vertical="center"/>
    </xf>
    <xf numFmtId="0" fontId="3" fillId="3" borderId="20" xfId="0" applyFont="1" applyFill="1" applyBorder="1" applyAlignment="1" applyProtection="1">
      <alignment horizontal="center" vertical="center" wrapText="1"/>
    </xf>
    <xf numFmtId="0" fontId="3" fillId="3" borderId="24" xfId="0" applyFont="1" applyFill="1" applyBorder="1" applyAlignment="1" applyProtection="1">
      <alignment horizontal="center" vertical="center" wrapText="1"/>
    </xf>
    <xf numFmtId="0" fontId="0" fillId="5" borderId="9" xfId="0" applyFill="1" applyBorder="1" applyAlignment="1" applyProtection="1">
      <alignment horizontal="center" vertical="center" wrapText="1"/>
    </xf>
    <xf numFmtId="0" fontId="0" fillId="5" borderId="1" xfId="0" applyFill="1" applyBorder="1" applyAlignment="1" applyProtection="1">
      <alignment horizontal="center" vertical="center" wrapText="1"/>
    </xf>
    <xf numFmtId="0" fontId="0" fillId="5" borderId="27" xfId="0" applyFill="1" applyBorder="1" applyAlignment="1" applyProtection="1">
      <alignment horizontal="center" vertical="center" wrapText="1"/>
    </xf>
    <xf numFmtId="0" fontId="0" fillId="0" borderId="29" xfId="0" applyBorder="1" applyAlignment="1">
      <alignment horizontal="center" vertical="center" wrapText="1"/>
    </xf>
    <xf numFmtId="171" fontId="0" fillId="4" borderId="1" xfId="0" applyNumberFormat="1" applyFill="1" applyBorder="1" applyAlignment="1" applyProtection="1">
      <alignment horizontal="right"/>
    </xf>
    <xf numFmtId="171" fontId="0" fillId="4" borderId="8" xfId="0" applyNumberFormat="1" applyFill="1" applyBorder="1" applyAlignment="1" applyProtection="1">
      <alignment horizontal="right"/>
    </xf>
    <xf numFmtId="0" fontId="3" fillId="3" borderId="53" xfId="0" applyFont="1" applyFill="1" applyBorder="1" applyAlignment="1" applyProtection="1">
      <alignment horizontal="center" vertical="center" wrapText="1"/>
    </xf>
    <xf numFmtId="0" fontId="3" fillId="3" borderId="15" xfId="0" applyFont="1" applyFill="1" applyBorder="1" applyAlignment="1" applyProtection="1">
      <alignment horizontal="center" vertical="center" wrapText="1"/>
    </xf>
    <xf numFmtId="0" fontId="3" fillId="3" borderId="34" xfId="0" applyFont="1" applyFill="1" applyBorder="1" applyAlignment="1" applyProtection="1">
      <alignment horizontal="center" vertical="center" wrapText="1"/>
    </xf>
    <xf numFmtId="0" fontId="3" fillId="3" borderId="4" xfId="0" applyFont="1" applyFill="1" applyBorder="1" applyAlignment="1" applyProtection="1">
      <alignment horizontal="center" vertical="center" wrapText="1"/>
    </xf>
    <xf numFmtId="171" fontId="3" fillId="3" borderId="24" xfId="0" applyNumberFormat="1" applyFont="1" applyFill="1" applyBorder="1" applyAlignment="1" applyProtection="1">
      <alignment horizontal="right"/>
    </xf>
    <xf numFmtId="171" fontId="3" fillId="3" borderId="44" xfId="0" applyNumberFormat="1" applyFont="1" applyFill="1" applyBorder="1" applyAlignment="1" applyProtection="1">
      <alignment horizontal="right"/>
    </xf>
    <xf numFmtId="0" fontId="3" fillId="3" borderId="12" xfId="0" applyFont="1" applyFill="1" applyBorder="1" applyAlignment="1" applyProtection="1">
      <alignment horizontal="center" vertical="center" wrapText="1"/>
    </xf>
    <xf numFmtId="0" fontId="3" fillId="3" borderId="26" xfId="0" applyFont="1" applyFill="1" applyBorder="1" applyAlignment="1" applyProtection="1">
      <alignment horizontal="center" vertical="center" wrapText="1"/>
    </xf>
    <xf numFmtId="0" fontId="0" fillId="4" borderId="1" xfId="0" applyFill="1" applyBorder="1" applyAlignment="1" applyProtection="1">
      <alignment horizontal="center" vertical="center" wrapText="1"/>
    </xf>
    <xf numFmtId="0" fontId="0" fillId="0" borderId="1" xfId="0" applyBorder="1" applyAlignment="1">
      <alignment horizontal="center" vertical="center" wrapText="1"/>
    </xf>
    <xf numFmtId="0" fontId="0" fillId="0" borderId="24" xfId="0" applyBorder="1" applyAlignment="1">
      <alignment horizontal="center" vertical="center" wrapText="1"/>
    </xf>
    <xf numFmtId="171" fontId="0" fillId="4" borderId="1" xfId="0" applyNumberFormat="1" applyFill="1" applyBorder="1" applyAlignment="1" applyProtection="1">
      <alignment horizontal="right" vertical="center"/>
    </xf>
    <xf numFmtId="171" fontId="0" fillId="4" borderId="8" xfId="0" applyNumberFormat="1" applyFill="1" applyBorder="1" applyAlignment="1" applyProtection="1">
      <alignment horizontal="right" vertical="center"/>
    </xf>
    <xf numFmtId="171" fontId="3" fillId="3" borderId="24" xfId="0" applyNumberFormat="1" applyFont="1" applyFill="1" applyBorder="1" applyAlignment="1" applyProtection="1">
      <alignment horizontal="right" vertical="center"/>
    </xf>
    <xf numFmtId="171" fontId="3" fillId="3" borderId="44" xfId="0" applyNumberFormat="1" applyFont="1" applyFill="1" applyBorder="1" applyAlignment="1" applyProtection="1">
      <alignment horizontal="right" vertical="center"/>
    </xf>
    <xf numFmtId="0" fontId="41" fillId="0" borderId="0" xfId="0" applyFont="1" applyFill="1" applyBorder="1" applyAlignment="1" applyProtection="1">
      <alignment horizontal="left"/>
    </xf>
    <xf numFmtId="0" fontId="41" fillId="0" borderId="59" xfId="0" applyFont="1" applyFill="1" applyBorder="1" applyAlignment="1" applyProtection="1">
      <alignment horizontal="left"/>
    </xf>
    <xf numFmtId="0" fontId="3" fillId="3" borderId="27" xfId="0" applyFont="1" applyFill="1" applyBorder="1" applyAlignment="1" applyProtection="1">
      <alignment horizontal="center" vertical="center" wrapText="1"/>
    </xf>
    <xf numFmtId="0" fontId="3" fillId="3" borderId="28"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3" fillId="17" borderId="73" xfId="0" applyFont="1" applyFill="1" applyBorder="1" applyAlignment="1" applyProtection="1">
      <alignment horizontal="center" vertical="center"/>
    </xf>
    <xf numFmtId="0" fontId="3" fillId="17" borderId="22" xfId="0" applyFont="1" applyFill="1" applyBorder="1" applyAlignment="1" applyProtection="1">
      <alignment horizontal="center" vertical="center"/>
    </xf>
    <xf numFmtId="0" fontId="3" fillId="17" borderId="74" xfId="0" applyFont="1" applyFill="1" applyBorder="1" applyAlignment="1" applyProtection="1">
      <alignment horizontal="center" vertical="center"/>
    </xf>
    <xf numFmtId="0" fontId="3" fillId="3" borderId="1" xfId="0" applyNumberFormat="1" applyFont="1" applyFill="1" applyBorder="1" applyAlignment="1" applyProtection="1">
      <alignment horizontal="center" vertical="center"/>
    </xf>
    <xf numFmtId="0" fontId="3" fillId="14" borderId="51" xfId="0" applyNumberFormat="1" applyFont="1" applyFill="1" applyBorder="1" applyAlignment="1" applyProtection="1">
      <alignment horizontal="center" vertical="top" wrapText="1"/>
    </xf>
    <xf numFmtId="0" fontId="3" fillId="3" borderId="1" xfId="0" applyNumberFormat="1" applyFont="1" applyFill="1" applyBorder="1" applyAlignment="1" applyProtection="1">
      <alignment horizontal="center" vertical="center" wrapText="1"/>
    </xf>
    <xf numFmtId="0" fontId="4" fillId="5" borderId="1" xfId="0" applyNumberFormat="1" applyFont="1" applyFill="1" applyBorder="1" applyAlignment="1" applyProtection="1">
      <alignment horizontal="left" vertical="center" indent="1"/>
    </xf>
    <xf numFmtId="0" fontId="3" fillId="5" borderId="1" xfId="0" applyNumberFormat="1" applyFont="1" applyFill="1" applyBorder="1" applyAlignment="1" applyProtection="1">
      <alignment horizontal="center" vertical="center"/>
    </xf>
    <xf numFmtId="0" fontId="2" fillId="5" borderId="1" xfId="0" applyNumberFormat="1" applyFont="1" applyFill="1" applyBorder="1" applyAlignment="1" applyProtection="1">
      <alignment horizontal="left" vertical="center" indent="1"/>
    </xf>
    <xf numFmtId="3" fontId="4" fillId="0" borderId="31" xfId="0" applyNumberFormat="1" applyFont="1" applyFill="1" applyBorder="1" applyAlignment="1" applyProtection="1">
      <alignment horizontal="center" vertical="center"/>
      <protection locked="0"/>
    </xf>
    <xf numFmtId="3" fontId="4" fillId="0" borderId="2" xfId="0" applyNumberFormat="1" applyFont="1" applyFill="1" applyBorder="1" applyAlignment="1" applyProtection="1">
      <alignment horizontal="center" vertical="center"/>
      <protection locked="0"/>
    </xf>
    <xf numFmtId="3" fontId="4" fillId="0" borderId="3" xfId="0" applyNumberFormat="1" applyFont="1" applyFill="1" applyBorder="1" applyAlignment="1" applyProtection="1">
      <alignment horizontal="center" vertical="center"/>
      <protection locked="0"/>
    </xf>
    <xf numFmtId="173" fontId="4" fillId="4" borderId="31" xfId="0" applyNumberFormat="1" applyFont="1" applyFill="1" applyBorder="1" applyAlignment="1" applyProtection="1">
      <alignment horizontal="right" vertical="center"/>
    </xf>
    <xf numFmtId="173" fontId="4" fillId="4" borderId="2" xfId="0" applyNumberFormat="1" applyFont="1" applyFill="1" applyBorder="1" applyAlignment="1" applyProtection="1">
      <alignment horizontal="right" vertical="center"/>
    </xf>
    <xf numFmtId="173" fontId="4" fillId="4" borderId="3" xfId="0" applyNumberFormat="1" applyFont="1" applyFill="1" applyBorder="1" applyAlignment="1" applyProtection="1">
      <alignment horizontal="right" vertical="center"/>
    </xf>
    <xf numFmtId="0" fontId="3" fillId="3" borderId="32" xfId="0" applyFont="1" applyFill="1" applyBorder="1" applyAlignment="1" applyProtection="1">
      <alignment horizontal="center" vertical="center" wrapText="1"/>
    </xf>
    <xf numFmtId="0" fontId="3" fillId="3" borderId="18" xfId="0" applyFont="1" applyFill="1" applyBorder="1" applyAlignment="1" applyProtection="1">
      <alignment horizontal="center" vertical="center" wrapText="1"/>
    </xf>
    <xf numFmtId="0" fontId="4" fillId="5" borderId="32" xfId="0" applyNumberFormat="1" applyFont="1" applyFill="1" applyBorder="1" applyAlignment="1" applyProtection="1">
      <alignment horizontal="left" vertical="center"/>
      <protection locked="0"/>
    </xf>
    <xf numFmtId="0" fontId="4" fillId="5" borderId="18" xfId="0" applyNumberFormat="1" applyFont="1" applyFill="1" applyBorder="1" applyAlignment="1" applyProtection="1">
      <alignment horizontal="left" vertical="center"/>
      <protection locked="0"/>
    </xf>
    <xf numFmtId="0" fontId="9" fillId="3" borderId="32" xfId="0" applyFont="1" applyFill="1" applyBorder="1" applyAlignment="1" applyProtection="1">
      <alignment horizontal="left" vertical="center"/>
    </xf>
    <xf numFmtId="0" fontId="9" fillId="3" borderId="18" xfId="0" applyFont="1" applyFill="1" applyBorder="1" applyAlignment="1" applyProtection="1">
      <alignment horizontal="left" vertical="center"/>
    </xf>
    <xf numFmtId="0" fontId="9" fillId="3" borderId="32" xfId="0" applyFont="1" applyFill="1" applyBorder="1" applyAlignment="1" applyProtection="1">
      <alignment horizontal="center" vertical="center" wrapText="1"/>
    </xf>
    <xf numFmtId="0" fontId="9" fillId="3" borderId="18" xfId="0" applyFont="1" applyFill="1" applyBorder="1" applyAlignment="1" applyProtection="1">
      <alignment horizontal="center" vertical="center" wrapText="1"/>
    </xf>
    <xf numFmtId="0" fontId="3" fillId="5" borderId="32" xfId="0" applyFont="1" applyFill="1" applyBorder="1" applyAlignment="1" applyProtection="1">
      <alignment horizontal="left" vertical="center"/>
    </xf>
    <xf numFmtId="0" fontId="3" fillId="5" borderId="18" xfId="0" applyFont="1" applyFill="1" applyBorder="1" applyAlignment="1" applyProtection="1">
      <alignment horizontal="left" vertical="center"/>
    </xf>
    <xf numFmtId="0" fontId="3" fillId="13" borderId="32" xfId="0" applyFont="1" applyFill="1" applyBorder="1" applyAlignment="1" applyProtection="1">
      <alignment horizontal="left" vertical="center"/>
    </xf>
    <xf numFmtId="0" fontId="3" fillId="13" borderId="18" xfId="0" applyFont="1" applyFill="1" applyBorder="1" applyAlignment="1" applyProtection="1">
      <alignment horizontal="left" vertical="center"/>
    </xf>
    <xf numFmtId="0" fontId="3" fillId="3" borderId="32" xfId="0" applyFont="1" applyFill="1" applyBorder="1" applyAlignment="1" applyProtection="1">
      <alignment horizontal="center" vertical="center"/>
    </xf>
    <xf numFmtId="0" fontId="3" fillId="3" borderId="18" xfId="0" applyFont="1" applyFill="1" applyBorder="1" applyAlignment="1" applyProtection="1">
      <alignment horizontal="center" vertical="center"/>
    </xf>
    <xf numFmtId="0" fontId="3" fillId="17" borderId="32" xfId="0" applyFont="1" applyFill="1" applyBorder="1" applyAlignment="1" applyProtection="1">
      <alignment horizontal="center" vertical="center"/>
    </xf>
    <xf numFmtId="0" fontId="3" fillId="17" borderId="18" xfId="0" applyFont="1" applyFill="1" applyBorder="1" applyAlignment="1" applyProtection="1">
      <alignment horizontal="center" vertical="center"/>
    </xf>
    <xf numFmtId="166" fontId="3" fillId="3" borderId="75" xfId="0" applyNumberFormat="1" applyFont="1" applyFill="1" applyBorder="1" applyAlignment="1" applyProtection="1">
      <alignment horizontal="center" vertical="center"/>
    </xf>
    <xf numFmtId="166" fontId="3" fillId="17" borderId="1" xfId="0" applyNumberFormat="1" applyFont="1" applyFill="1" applyBorder="1" applyAlignment="1" applyProtection="1">
      <alignment horizontal="center" vertical="center" wrapText="1"/>
    </xf>
    <xf numFmtId="166" fontId="2" fillId="13" borderId="1" xfId="0" applyNumberFormat="1" applyFont="1" applyFill="1" applyBorder="1" applyAlignment="1" applyProtection="1">
      <alignment horizontal="center" vertical="center"/>
      <protection locked="0"/>
    </xf>
    <xf numFmtId="1" fontId="4" fillId="0" borderId="1" xfId="0" applyNumberFormat="1" applyFont="1" applyFill="1" applyBorder="1" applyAlignment="1" applyProtection="1">
      <alignment horizontal="center" vertical="center"/>
      <protection locked="0"/>
    </xf>
    <xf numFmtId="166" fontId="3" fillId="3" borderId="1" xfId="0" applyNumberFormat="1" applyFont="1" applyFill="1" applyBorder="1" applyAlignment="1" applyProtection="1">
      <alignment horizontal="center" vertical="center"/>
    </xf>
    <xf numFmtId="166" fontId="3" fillId="3" borderId="76" xfId="0" applyNumberFormat="1" applyFont="1" applyFill="1" applyBorder="1" applyAlignment="1" applyProtection="1">
      <alignment horizontal="center" vertical="center"/>
    </xf>
    <xf numFmtId="166" fontId="3" fillId="17" borderId="1" xfId="0" applyNumberFormat="1" applyFont="1" applyFill="1" applyBorder="1" applyAlignment="1" applyProtection="1">
      <alignment horizontal="center" vertical="center"/>
    </xf>
    <xf numFmtId="166" fontId="2" fillId="5" borderId="1" xfId="0" applyNumberFormat="1" applyFont="1" applyFill="1" applyBorder="1" applyAlignment="1" applyProtection="1">
      <alignment horizontal="left" vertical="center"/>
      <protection locked="0"/>
    </xf>
    <xf numFmtId="166" fontId="2" fillId="13" borderId="1" xfId="0" applyNumberFormat="1" applyFont="1" applyFill="1" applyBorder="1" applyAlignment="1" applyProtection="1">
      <alignment horizontal="left" vertical="center" wrapText="1"/>
      <protection locked="0"/>
    </xf>
    <xf numFmtId="166" fontId="4" fillId="5" borderId="1" xfId="0" applyNumberFormat="1" applyFont="1" applyFill="1" applyBorder="1" applyAlignment="1" applyProtection="1">
      <alignment horizontal="left" vertical="center"/>
      <protection locked="0"/>
    </xf>
    <xf numFmtId="166" fontId="3" fillId="3" borderId="32" xfId="0" applyNumberFormat="1" applyFont="1" applyFill="1" applyBorder="1" applyAlignment="1" applyProtection="1">
      <alignment horizontal="center" vertical="center"/>
    </xf>
    <xf numFmtId="166" fontId="3" fillId="3" borderId="18" xfId="0" applyNumberFormat="1" applyFont="1" applyFill="1" applyBorder="1" applyAlignment="1" applyProtection="1">
      <alignment horizontal="center" vertical="center"/>
    </xf>
    <xf numFmtId="166" fontId="4" fillId="13" borderId="1" xfId="0" applyNumberFormat="1" applyFont="1" applyFill="1" applyBorder="1" applyAlignment="1" applyProtection="1">
      <alignment horizontal="center" vertical="center"/>
      <protection locked="0"/>
    </xf>
    <xf numFmtId="166" fontId="3" fillId="3" borderId="1" xfId="0" applyNumberFormat="1" applyFont="1" applyFill="1" applyBorder="1" applyAlignment="1" applyProtection="1">
      <alignment horizontal="center" vertical="center" wrapText="1"/>
    </xf>
    <xf numFmtId="0" fontId="2" fillId="13" borderId="32" xfId="0" applyFont="1" applyFill="1" applyBorder="1" applyAlignment="1" applyProtection="1">
      <alignment horizontal="left" vertical="center"/>
      <protection locked="0"/>
    </xf>
    <xf numFmtId="0" fontId="2" fillId="13" borderId="18" xfId="0" applyFont="1" applyFill="1" applyBorder="1" applyAlignment="1" applyProtection="1">
      <alignment horizontal="left" vertical="center"/>
      <protection locked="0"/>
    </xf>
    <xf numFmtId="0" fontId="10" fillId="13" borderId="32" xfId="0" applyFont="1" applyFill="1" applyBorder="1" applyAlignment="1" applyProtection="1">
      <alignment horizontal="left" vertical="center"/>
      <protection locked="0"/>
    </xf>
    <xf numFmtId="0" fontId="10" fillId="13" borderId="18" xfId="0" applyFont="1" applyFill="1" applyBorder="1" applyAlignment="1" applyProtection="1">
      <alignment horizontal="left" vertical="center"/>
      <protection locked="0"/>
    </xf>
    <xf numFmtId="0" fontId="33" fillId="3" borderId="32" xfId="0" applyFont="1" applyFill="1" applyBorder="1" applyAlignment="1" applyProtection="1">
      <alignment horizontal="left" vertical="center" indent="3"/>
    </xf>
    <xf numFmtId="0" fontId="33" fillId="3" borderId="18" xfId="0" applyFont="1" applyFill="1" applyBorder="1" applyAlignment="1" applyProtection="1">
      <alignment horizontal="left" vertical="center" indent="3"/>
    </xf>
    <xf numFmtId="0" fontId="3" fillId="17" borderId="11" xfId="0" applyFont="1" applyFill="1" applyBorder="1" applyAlignment="1" applyProtection="1">
      <alignment horizontal="center" vertical="center"/>
    </xf>
    <xf numFmtId="0" fontId="25" fillId="12" borderId="32" xfId="0" applyFont="1" applyFill="1" applyBorder="1" applyAlignment="1" applyProtection="1">
      <alignment horizontal="center" vertical="center"/>
    </xf>
    <xf numFmtId="0" fontId="25" fillId="12" borderId="18" xfId="0" applyFont="1" applyFill="1" applyBorder="1" applyAlignment="1" applyProtection="1">
      <alignment horizontal="center" vertical="center"/>
    </xf>
    <xf numFmtId="0" fontId="5" fillId="13" borderId="32" xfId="0" applyNumberFormat="1" applyFont="1" applyFill="1" applyBorder="1" applyAlignment="1" applyProtection="1">
      <alignment horizontal="center" vertical="center"/>
    </xf>
    <xf numFmtId="0" fontId="5" fillId="13" borderId="18" xfId="0" applyNumberFormat="1" applyFont="1" applyFill="1" applyBorder="1" applyAlignment="1" applyProtection="1">
      <alignment horizontal="center" vertical="center"/>
    </xf>
    <xf numFmtId="0" fontId="45" fillId="6" borderId="30" xfId="0" applyFont="1" applyFill="1" applyBorder="1" applyAlignment="1" applyProtection="1">
      <alignment horizontal="left" vertical="top" wrapText="1"/>
      <protection locked="0"/>
    </xf>
    <xf numFmtId="0" fontId="45" fillId="6" borderId="33" xfId="0" applyFont="1" applyFill="1" applyBorder="1" applyAlignment="1" applyProtection="1">
      <alignment horizontal="left" vertical="top" wrapText="1"/>
      <protection locked="0"/>
    </xf>
    <xf numFmtId="0" fontId="45" fillId="6" borderId="34" xfId="0" applyFont="1" applyFill="1" applyBorder="1" applyAlignment="1" applyProtection="1">
      <alignment horizontal="left" vertical="top" wrapText="1"/>
      <protection locked="0"/>
    </xf>
    <xf numFmtId="0" fontId="45" fillId="6" borderId="10" xfId="0" applyFont="1" applyFill="1" applyBorder="1" applyAlignment="1" applyProtection="1">
      <alignment horizontal="left" vertical="top" wrapText="1"/>
      <protection locked="0"/>
    </xf>
    <xf numFmtId="0" fontId="45" fillId="6" borderId="25" xfId="0" applyFont="1" applyFill="1" applyBorder="1" applyAlignment="1" applyProtection="1">
      <alignment horizontal="justify" vertical="top" wrapText="1"/>
      <protection locked="0"/>
    </xf>
    <xf numFmtId="0" fontId="45" fillId="6" borderId="13" xfId="0" applyFont="1" applyFill="1" applyBorder="1" applyAlignment="1" applyProtection="1">
      <alignment horizontal="justify" vertical="top" wrapText="1"/>
      <protection locked="0"/>
    </xf>
    <xf numFmtId="0" fontId="45" fillId="6" borderId="34" xfId="0" applyFont="1" applyFill="1" applyBorder="1" applyAlignment="1" applyProtection="1">
      <alignment horizontal="justify" vertical="top" wrapText="1"/>
      <protection locked="0"/>
    </xf>
    <xf numFmtId="0" fontId="45" fillId="6" borderId="10" xfId="0" applyFont="1" applyFill="1" applyBorder="1" applyAlignment="1" applyProtection="1">
      <alignment horizontal="justify" vertical="top" wrapText="1"/>
      <protection locked="0"/>
    </xf>
    <xf numFmtId="0" fontId="5" fillId="13" borderId="34" xfId="0" applyNumberFormat="1" applyFont="1" applyFill="1" applyBorder="1" applyAlignment="1" applyProtection="1">
      <alignment horizontal="center" vertical="center"/>
    </xf>
    <xf numFmtId="0" fontId="5" fillId="13" borderId="10" xfId="0" applyNumberFormat="1" applyFont="1" applyFill="1" applyBorder="1" applyAlignment="1" applyProtection="1">
      <alignment horizontal="center" vertical="center"/>
    </xf>
    <xf numFmtId="0" fontId="45" fillId="6" borderId="25" xfId="0" applyFont="1" applyFill="1" applyBorder="1" applyAlignment="1" applyProtection="1">
      <alignment horizontal="left" vertical="top" wrapText="1"/>
      <protection locked="0"/>
    </xf>
    <xf numFmtId="0" fontId="45" fillId="6" borderId="13" xfId="0" applyFont="1" applyFill="1" applyBorder="1" applyAlignment="1" applyProtection="1">
      <alignment horizontal="left" vertical="top" wrapText="1"/>
      <protection locked="0"/>
    </xf>
    <xf numFmtId="0" fontId="3" fillId="3" borderId="1" xfId="0" applyFont="1" applyFill="1" applyBorder="1" applyAlignment="1">
      <alignment horizontal="center" vertical="center"/>
    </xf>
    <xf numFmtId="0" fontId="3" fillId="19" borderId="51" xfId="0" applyNumberFormat="1" applyFont="1" applyFill="1" applyBorder="1" applyAlignment="1" applyProtection="1">
      <alignment horizontal="center" vertical="top"/>
    </xf>
    <xf numFmtId="0" fontId="3" fillId="19" borderId="46" xfId="0" applyNumberFormat="1" applyFont="1" applyFill="1" applyBorder="1" applyAlignment="1" applyProtection="1">
      <alignment horizontal="center" vertical="top"/>
    </xf>
    <xf numFmtId="0" fontId="3" fillId="19" borderId="52" xfId="0" applyNumberFormat="1" applyFont="1" applyFill="1" applyBorder="1" applyAlignment="1" applyProtection="1">
      <alignment horizontal="center" vertical="top"/>
    </xf>
    <xf numFmtId="0" fontId="3" fillId="3" borderId="75" xfId="0" applyFont="1" applyFill="1" applyBorder="1" applyAlignment="1">
      <alignment horizontal="center" vertical="center"/>
    </xf>
    <xf numFmtId="0" fontId="3" fillId="3" borderId="31" xfId="0" applyFont="1" applyFill="1" applyBorder="1" applyAlignment="1">
      <alignment horizontal="center" vertical="center" wrapText="1"/>
    </xf>
    <xf numFmtId="0" fontId="3" fillId="3" borderId="3" xfId="0" applyFont="1" applyFill="1" applyBorder="1" applyAlignment="1">
      <alignment horizontal="center" vertical="center" wrapText="1"/>
    </xf>
    <xf numFmtId="0" fontId="3" fillId="3" borderId="77" xfId="0" applyFont="1" applyFill="1" applyBorder="1" applyAlignment="1">
      <alignment horizontal="center" vertical="center" wrapText="1"/>
    </xf>
    <xf numFmtId="0" fontId="3" fillId="3" borderId="78" xfId="0" applyFont="1" applyFill="1" applyBorder="1" applyAlignment="1">
      <alignment horizontal="center" vertical="center" wrapText="1"/>
    </xf>
    <xf numFmtId="0" fontId="3" fillId="3" borderId="76" xfId="0" applyFont="1" applyFill="1" applyBorder="1" applyAlignment="1">
      <alignment horizontal="center" vertical="center"/>
    </xf>
    <xf numFmtId="0" fontId="3" fillId="3" borderId="1" xfId="0" applyFont="1" applyFill="1" applyBorder="1" applyAlignment="1">
      <alignment horizontal="center" vertical="center" wrapText="1"/>
    </xf>
    <xf numFmtId="0" fontId="4" fillId="5" borderId="1" xfId="0" applyNumberFormat="1" applyFont="1" applyFill="1" applyBorder="1" applyAlignment="1" applyProtection="1">
      <alignment horizontal="left" vertical="center"/>
    </xf>
    <xf numFmtId="0" fontId="2" fillId="5" borderId="1" xfId="0" applyNumberFormat="1" applyFont="1" applyFill="1" applyBorder="1" applyAlignment="1" applyProtection="1">
      <alignment horizontal="left" vertical="center"/>
    </xf>
    <xf numFmtId="174" fontId="4" fillId="4" borderId="1" xfId="3" applyNumberFormat="1" applyFont="1" applyFill="1" applyBorder="1" applyAlignment="1" applyProtection="1">
      <alignment horizontal="right" vertical="center"/>
    </xf>
    <xf numFmtId="174" fontId="4" fillId="4" borderId="1" xfId="0" applyNumberFormat="1" applyFont="1" applyFill="1" applyBorder="1" applyAlignment="1" applyProtection="1">
      <alignment horizontal="right" vertical="center"/>
    </xf>
    <xf numFmtId="174" fontId="3" fillId="3" borderId="1" xfId="3" applyNumberFormat="1" applyFont="1" applyFill="1" applyBorder="1" applyAlignment="1" applyProtection="1">
      <alignment horizontal="right" vertical="center"/>
    </xf>
    <xf numFmtId="0" fontId="2" fillId="5" borderId="1" xfId="0" applyNumberFormat="1" applyFont="1" applyFill="1" applyBorder="1" applyAlignment="1" applyProtection="1">
      <alignment horizontal="left" vertical="center" wrapText="1"/>
    </xf>
    <xf numFmtId="174" fontId="12" fillId="4" borderId="1" xfId="0" applyNumberFormat="1" applyFont="1" applyFill="1" applyBorder="1" applyAlignment="1">
      <alignment horizontal="right" vertical="center"/>
    </xf>
    <xf numFmtId="0" fontId="14" fillId="17" borderId="1" xfId="0" applyFont="1" applyFill="1" applyBorder="1" applyAlignment="1">
      <alignment horizontal="center" vertical="center"/>
    </xf>
    <xf numFmtId="0" fontId="14" fillId="3" borderId="1" xfId="0" applyFont="1" applyFill="1" applyBorder="1" applyAlignment="1">
      <alignment horizontal="center" vertical="center"/>
    </xf>
    <xf numFmtId="0" fontId="12" fillId="5" borderId="1" xfId="0" applyFont="1" applyFill="1" applyBorder="1" applyAlignment="1">
      <alignment horizontal="center" vertical="center"/>
    </xf>
    <xf numFmtId="0" fontId="14" fillId="17" borderId="1" xfId="0" applyNumberFormat="1" applyFont="1" applyFill="1" applyBorder="1" applyAlignment="1" applyProtection="1">
      <alignment horizontal="center" vertical="center"/>
    </xf>
    <xf numFmtId="10" fontId="12" fillId="0" borderId="1" xfId="4" applyNumberFormat="1" applyFont="1" applyFill="1" applyBorder="1" applyAlignment="1" applyProtection="1">
      <alignment horizontal="center" vertical="center"/>
      <protection locked="0"/>
    </xf>
    <xf numFmtId="174" fontId="12" fillId="4" borderId="1" xfId="0" applyNumberFormat="1" applyFont="1" applyFill="1" applyBorder="1" applyAlignment="1">
      <alignment horizontal="center" vertical="center"/>
    </xf>
    <xf numFmtId="10" fontId="12" fillId="4" borderId="1" xfId="4" applyNumberFormat="1" applyFont="1" applyFill="1" applyBorder="1" applyAlignment="1">
      <alignment horizontal="center" vertical="center"/>
    </xf>
    <xf numFmtId="0" fontId="12" fillId="0" borderId="1" xfId="0" applyNumberFormat="1" applyFont="1" applyFill="1" applyBorder="1" applyAlignment="1" applyProtection="1">
      <alignment horizontal="center" vertical="center"/>
      <protection locked="0"/>
    </xf>
    <xf numFmtId="0" fontId="9" fillId="3" borderId="1" xfId="0" applyFont="1" applyFill="1" applyBorder="1" applyAlignment="1" applyProtection="1">
      <alignment horizontal="center" vertical="center"/>
    </xf>
    <xf numFmtId="174" fontId="8" fillId="4" borderId="1" xfId="0" applyNumberFormat="1" applyFont="1" applyFill="1" applyBorder="1" applyAlignment="1" applyProtection="1">
      <alignment horizontal="right" vertical="center"/>
    </xf>
    <xf numFmtId="0" fontId="12" fillId="5" borderId="1" xfId="0" applyNumberFormat="1" applyFont="1" applyFill="1" applyBorder="1" applyAlignment="1" applyProtection="1">
      <alignment horizontal="center" vertical="center"/>
    </xf>
    <xf numFmtId="174" fontId="9" fillId="3" borderId="1" xfId="0" applyNumberFormat="1" applyFont="1" applyFill="1" applyBorder="1" applyAlignment="1" applyProtection="1">
      <alignment horizontal="right" vertical="center"/>
    </xf>
    <xf numFmtId="0" fontId="9" fillId="3" borderId="1" xfId="0" applyFont="1" applyFill="1" applyBorder="1" applyAlignment="1" applyProtection="1">
      <alignment horizontal="center" vertical="center" wrapText="1"/>
    </xf>
    <xf numFmtId="174" fontId="10" fillId="4" borderId="1" xfId="0" applyNumberFormat="1" applyFont="1" applyFill="1" applyBorder="1" applyAlignment="1" applyProtection="1">
      <alignment horizontal="right" vertical="center"/>
    </xf>
    <xf numFmtId="174" fontId="3" fillId="16" borderId="1" xfId="0" applyNumberFormat="1" applyFont="1" applyFill="1" applyBorder="1" applyAlignment="1" applyProtection="1">
      <alignment horizontal="right" vertical="center"/>
    </xf>
    <xf numFmtId="10" fontId="9" fillId="3" borderId="1" xfId="0" applyNumberFormat="1" applyFont="1" applyFill="1" applyBorder="1" applyAlignment="1" applyProtection="1">
      <alignment horizontal="center" vertical="center"/>
    </xf>
    <xf numFmtId="0" fontId="3" fillId="16" borderId="1" xfId="0" applyFont="1" applyFill="1" applyBorder="1" applyAlignment="1" applyProtection="1">
      <alignment horizontal="center" vertical="center" wrapText="1"/>
    </xf>
    <xf numFmtId="174" fontId="3" fillId="3" borderId="1" xfId="0" applyNumberFormat="1" applyFont="1" applyFill="1" applyBorder="1" applyAlignment="1" applyProtection="1">
      <alignment horizontal="right" vertical="center"/>
    </xf>
    <xf numFmtId="0" fontId="3" fillId="3" borderId="76" xfId="0" applyFont="1" applyFill="1" applyBorder="1" applyAlignment="1" applyProtection="1">
      <alignment horizontal="center" vertical="center" wrapText="1"/>
    </xf>
    <xf numFmtId="174" fontId="10" fillId="4" borderId="76" xfId="0" applyNumberFormat="1" applyFont="1" applyFill="1" applyBorder="1" applyAlignment="1" applyProtection="1">
      <alignment horizontal="right" vertical="center"/>
    </xf>
    <xf numFmtId="0" fontId="12" fillId="4" borderId="1" xfId="0" applyFont="1" applyFill="1" applyBorder="1" applyAlignment="1">
      <alignment horizontal="center" vertical="center"/>
    </xf>
    <xf numFmtId="0" fontId="9" fillId="3" borderId="75" xfId="0" applyFont="1" applyFill="1" applyBorder="1" applyAlignment="1" applyProtection="1">
      <alignment horizontal="center" vertical="center"/>
    </xf>
    <xf numFmtId="0" fontId="4" fillId="5" borderId="75" xfId="0" applyNumberFormat="1" applyFont="1" applyFill="1" applyBorder="1" applyAlignment="1" applyProtection="1">
      <alignment horizontal="left" vertical="center"/>
    </xf>
    <xf numFmtId="0" fontId="3" fillId="3" borderId="75" xfId="0" applyNumberFormat="1" applyFont="1" applyFill="1" applyBorder="1" applyAlignment="1" applyProtection="1">
      <alignment horizontal="center" vertical="center"/>
    </xf>
    <xf numFmtId="174" fontId="3" fillId="3" borderId="76" xfId="0" applyNumberFormat="1" applyFont="1" applyFill="1" applyBorder="1" applyAlignment="1" applyProtection="1">
      <alignment horizontal="right" vertical="center"/>
    </xf>
    <xf numFmtId="0" fontId="4" fillId="5" borderId="75" xfId="0" applyNumberFormat="1" applyFont="1" applyFill="1" applyBorder="1" applyAlignment="1" applyProtection="1">
      <alignment horizontal="center" vertical="center"/>
    </xf>
    <xf numFmtId="0" fontId="4" fillId="5" borderId="1" xfId="0" applyNumberFormat="1" applyFont="1" applyFill="1" applyBorder="1" applyAlignment="1" applyProtection="1">
      <alignment horizontal="center" vertical="center"/>
    </xf>
    <xf numFmtId="0" fontId="14" fillId="3" borderId="1" xfId="0" applyFont="1" applyFill="1" applyBorder="1" applyAlignment="1" applyProtection="1">
      <alignment horizontal="left" vertical="center"/>
    </xf>
    <xf numFmtId="0" fontId="12" fillId="5" borderId="1" xfId="0" applyNumberFormat="1" applyFont="1" applyFill="1" applyBorder="1" applyAlignment="1" applyProtection="1">
      <alignment horizontal="left" vertical="center"/>
    </xf>
    <xf numFmtId="0" fontId="12" fillId="5" borderId="1" xfId="0" applyFont="1" applyFill="1" applyBorder="1" applyAlignment="1" applyProtection="1">
      <alignment horizontal="left" vertical="center"/>
    </xf>
    <xf numFmtId="0" fontId="14" fillId="16" borderId="1" xfId="0" applyFont="1" applyFill="1" applyBorder="1" applyAlignment="1" applyProtection="1">
      <alignment horizontal="left" vertical="center"/>
    </xf>
    <xf numFmtId="0" fontId="14" fillId="16" borderId="1" xfId="0" applyFont="1" applyFill="1" applyBorder="1" applyAlignment="1" applyProtection="1">
      <alignment horizontal="left" vertical="center" wrapText="1"/>
    </xf>
    <xf numFmtId="0" fontId="12" fillId="5" borderId="1" xfId="0" applyFont="1" applyFill="1" applyBorder="1" applyAlignment="1" applyProtection="1">
      <alignment horizontal="left" vertical="center" wrapText="1"/>
    </xf>
    <xf numFmtId="0" fontId="14" fillId="3" borderId="1" xfId="0" applyFont="1" applyFill="1" applyBorder="1" applyAlignment="1" applyProtection="1">
      <alignment horizontal="center" vertical="center" wrapText="1"/>
    </xf>
    <xf numFmtId="0" fontId="14" fillId="5" borderId="1" xfId="0" applyFont="1" applyFill="1" applyBorder="1" applyAlignment="1" applyProtection="1">
      <alignment horizontal="center" vertical="center" wrapText="1"/>
    </xf>
    <xf numFmtId="0" fontId="14" fillId="16" borderId="1" xfId="0" applyFont="1" applyFill="1" applyBorder="1" applyAlignment="1" applyProtection="1">
      <alignment horizontal="center" vertical="center" wrapText="1"/>
    </xf>
    <xf numFmtId="0" fontId="26" fillId="3" borderId="0" xfId="0" applyFont="1" applyFill="1" applyAlignment="1">
      <alignment horizontal="center"/>
    </xf>
    <xf numFmtId="0" fontId="14" fillId="13" borderId="1" xfId="0" applyFont="1" applyFill="1" applyBorder="1" applyAlignment="1" applyProtection="1">
      <alignment horizontal="center" vertical="center" wrapText="1"/>
    </xf>
    <xf numFmtId="0" fontId="14" fillId="16" borderId="75" xfId="0" applyFont="1" applyFill="1" applyBorder="1" applyAlignment="1">
      <alignment horizontal="center" wrapText="1"/>
    </xf>
    <xf numFmtId="0" fontId="14" fillId="16" borderId="1" xfId="0" applyFont="1" applyFill="1" applyBorder="1" applyAlignment="1">
      <alignment horizontal="center" wrapText="1"/>
    </xf>
    <xf numFmtId="0" fontId="14" fillId="17" borderId="61" xfId="0" applyFont="1" applyFill="1" applyBorder="1" applyAlignment="1" applyProtection="1">
      <alignment horizontal="center"/>
    </xf>
    <xf numFmtId="0" fontId="14" fillId="17" borderId="11" xfId="0" applyFont="1" applyFill="1" applyBorder="1" applyAlignment="1" applyProtection="1">
      <alignment horizontal="center"/>
    </xf>
    <xf numFmtId="3" fontId="3" fillId="16" borderId="61" xfId="0" applyNumberFormat="1" applyFont="1" applyFill="1" applyBorder="1" applyAlignment="1" applyProtection="1">
      <alignment horizontal="center" wrapText="1"/>
      <protection hidden="1"/>
    </xf>
    <xf numFmtId="3" fontId="3" fillId="16" borderId="11" xfId="0" applyNumberFormat="1" applyFont="1" applyFill="1" applyBorder="1" applyAlignment="1" applyProtection="1">
      <alignment horizontal="center" wrapText="1"/>
      <protection hidden="1"/>
    </xf>
    <xf numFmtId="3" fontId="3" fillId="16" borderId="18" xfId="0" applyNumberFormat="1" applyFont="1" applyFill="1" applyBorder="1" applyAlignment="1" applyProtection="1">
      <alignment horizontal="center" wrapText="1"/>
      <protection hidden="1"/>
    </xf>
    <xf numFmtId="3" fontId="3" fillId="16" borderId="31" xfId="0" applyNumberFormat="1" applyFont="1" applyFill="1" applyBorder="1" applyAlignment="1" applyProtection="1">
      <alignment horizontal="center" wrapText="1"/>
      <protection hidden="1"/>
    </xf>
    <xf numFmtId="3" fontId="3" fillId="16" borderId="3" xfId="0" applyNumberFormat="1" applyFont="1" applyFill="1" applyBorder="1" applyAlignment="1" applyProtection="1">
      <alignment horizontal="center" wrapText="1"/>
      <protection hidden="1"/>
    </xf>
    <xf numFmtId="3" fontId="3" fillId="16" borderId="31" xfId="0" applyNumberFormat="1" applyFont="1" applyFill="1" applyBorder="1" applyAlignment="1" applyProtection="1">
      <alignment horizontal="center" vertical="center" wrapText="1"/>
      <protection hidden="1"/>
    </xf>
    <xf numFmtId="3" fontId="3" fillId="16" borderId="3" xfId="0" applyNumberFormat="1" applyFont="1" applyFill="1" applyBorder="1" applyAlignment="1" applyProtection="1">
      <alignment horizontal="center" vertical="center" wrapText="1"/>
      <protection hidden="1"/>
    </xf>
    <xf numFmtId="3" fontId="4" fillId="4" borderId="75" xfId="0" applyNumberFormat="1" applyFont="1" applyFill="1" applyBorder="1" applyAlignment="1" applyProtection="1">
      <alignment horizontal="left" vertical="center" wrapText="1"/>
      <protection hidden="1"/>
    </xf>
    <xf numFmtId="3" fontId="4" fillId="4" borderId="1" xfId="0" applyNumberFormat="1" applyFont="1" applyFill="1" applyBorder="1" applyAlignment="1" applyProtection="1">
      <alignment horizontal="left" vertical="center" wrapText="1"/>
      <protection hidden="1"/>
    </xf>
    <xf numFmtId="3" fontId="3" fillId="17" borderId="1" xfId="0" applyNumberFormat="1" applyFont="1" applyFill="1" applyBorder="1" applyAlignment="1" applyProtection="1">
      <alignment horizontal="center"/>
      <protection hidden="1"/>
    </xf>
    <xf numFmtId="3" fontId="4" fillId="4" borderId="61" xfId="0" applyNumberFormat="1" applyFont="1" applyFill="1" applyBorder="1" applyAlignment="1" applyProtection="1">
      <alignment horizontal="left" vertical="center" wrapText="1"/>
      <protection hidden="1"/>
    </xf>
    <xf numFmtId="3" fontId="4" fillId="4" borderId="11" xfId="0" applyNumberFormat="1" applyFont="1" applyFill="1" applyBorder="1" applyAlignment="1" applyProtection="1">
      <alignment horizontal="left" vertical="center" wrapText="1"/>
      <protection hidden="1"/>
    </xf>
    <xf numFmtId="3" fontId="4" fillId="4" borderId="18" xfId="0" applyNumberFormat="1" applyFont="1" applyFill="1" applyBorder="1" applyAlignment="1" applyProtection="1">
      <alignment horizontal="left" vertical="center" wrapText="1"/>
      <protection hidden="1"/>
    </xf>
    <xf numFmtId="0" fontId="3" fillId="16" borderId="75" xfId="0" applyFont="1" applyFill="1" applyBorder="1" applyAlignment="1">
      <alignment horizontal="center" vertical="center"/>
    </xf>
    <xf numFmtId="0" fontId="3" fillId="16" borderId="1" xfId="0" applyFont="1" applyFill="1" applyBorder="1" applyAlignment="1">
      <alignment horizontal="center" vertical="center"/>
    </xf>
    <xf numFmtId="0" fontId="3" fillId="20" borderId="1" xfId="0" applyFont="1" applyFill="1" applyBorder="1" applyAlignment="1">
      <alignment horizontal="center" vertical="center" wrapText="1"/>
    </xf>
    <xf numFmtId="0" fontId="3" fillId="20" borderId="1" xfId="0" applyFont="1" applyFill="1" applyBorder="1" applyAlignment="1">
      <alignment horizontal="center" wrapText="1"/>
    </xf>
    <xf numFmtId="3" fontId="3" fillId="16" borderId="75" xfId="0" applyNumberFormat="1" applyFont="1" applyFill="1" applyBorder="1" applyAlignment="1" applyProtection="1">
      <alignment horizontal="center"/>
      <protection hidden="1"/>
    </xf>
    <xf numFmtId="3" fontId="3" fillId="16" borderId="1" xfId="0" applyNumberFormat="1" applyFont="1" applyFill="1" applyBorder="1" applyAlignment="1" applyProtection="1">
      <alignment horizontal="center"/>
      <protection hidden="1"/>
    </xf>
    <xf numFmtId="173" fontId="3" fillId="16" borderId="1" xfId="0" applyNumberFormat="1" applyFont="1" applyFill="1" applyBorder="1" applyAlignment="1" applyProtection="1">
      <alignment horizontal="center"/>
      <protection hidden="1"/>
    </xf>
    <xf numFmtId="3" fontId="3" fillId="16" borderId="67" xfId="0" applyNumberFormat="1" applyFont="1" applyFill="1" applyBorder="1" applyAlignment="1" applyProtection="1">
      <alignment horizontal="center" vertical="center" wrapText="1"/>
      <protection hidden="1"/>
    </xf>
    <xf numFmtId="3" fontId="3" fillId="16" borderId="45" xfId="0" applyNumberFormat="1" applyFont="1" applyFill="1" applyBorder="1" applyAlignment="1" applyProtection="1">
      <alignment horizontal="center" vertical="center" wrapText="1"/>
      <protection hidden="1"/>
    </xf>
    <xf numFmtId="3" fontId="3" fillId="16" borderId="33" xfId="0" applyNumberFormat="1" applyFont="1" applyFill="1" applyBorder="1" applyAlignment="1" applyProtection="1">
      <alignment horizontal="center" vertical="center" wrapText="1"/>
      <protection hidden="1"/>
    </xf>
    <xf numFmtId="3" fontId="3" fillId="16" borderId="79" xfId="0" applyNumberFormat="1" applyFont="1" applyFill="1" applyBorder="1" applyAlignment="1" applyProtection="1">
      <alignment horizontal="center" vertical="center" wrapText="1"/>
      <protection hidden="1"/>
    </xf>
    <xf numFmtId="3" fontId="3" fillId="16" borderId="26" xfId="0" applyNumberFormat="1" applyFont="1" applyFill="1" applyBorder="1" applyAlignment="1" applyProtection="1">
      <alignment horizontal="center" vertical="center" wrapText="1"/>
      <protection hidden="1"/>
    </xf>
    <xf numFmtId="3" fontId="3" fillId="16" borderId="10" xfId="0" applyNumberFormat="1" applyFont="1" applyFill="1" applyBorder="1" applyAlignment="1" applyProtection="1">
      <alignment horizontal="center" vertical="center" wrapText="1"/>
      <protection hidden="1"/>
    </xf>
    <xf numFmtId="0" fontId="12" fillId="5" borderId="32" xfId="0" applyFont="1" applyFill="1" applyBorder="1" applyAlignment="1" applyProtection="1">
      <alignment horizontal="left" vertical="center"/>
    </xf>
    <xf numFmtId="0" fontId="12" fillId="5" borderId="11" xfId="0" applyFont="1" applyFill="1" applyBorder="1" applyAlignment="1" applyProtection="1">
      <alignment horizontal="left" vertical="center"/>
    </xf>
    <xf numFmtId="0" fontId="12" fillId="5" borderId="18" xfId="0" applyFont="1" applyFill="1" applyBorder="1" applyAlignment="1" applyProtection="1">
      <alignment horizontal="left" vertical="center"/>
    </xf>
    <xf numFmtId="3" fontId="3" fillId="16" borderId="1" xfId="0" applyNumberFormat="1" applyFont="1" applyFill="1" applyBorder="1" applyAlignment="1" applyProtection="1">
      <alignment horizontal="center" vertical="center" wrapText="1"/>
      <protection hidden="1"/>
    </xf>
    <xf numFmtId="0" fontId="3" fillId="16" borderId="79" xfId="0" applyFont="1" applyFill="1" applyBorder="1" applyAlignment="1">
      <alignment horizontal="center" vertical="center"/>
    </xf>
    <xf numFmtId="0" fontId="3" fillId="16" borderId="26" xfId="0" applyFont="1" applyFill="1" applyBorder="1" applyAlignment="1">
      <alignment horizontal="center" vertical="center"/>
    </xf>
    <xf numFmtId="3" fontId="3" fillId="16" borderId="67" xfId="0" applyNumberFormat="1" applyFont="1" applyFill="1" applyBorder="1" applyAlignment="1" applyProtection="1">
      <alignment horizontal="center" vertical="center"/>
      <protection hidden="1"/>
    </xf>
    <xf numFmtId="3" fontId="3" fillId="16" borderId="45" xfId="0" applyNumberFormat="1" applyFont="1" applyFill="1" applyBorder="1" applyAlignment="1" applyProtection="1">
      <alignment horizontal="center" vertical="center"/>
      <protection hidden="1"/>
    </xf>
    <xf numFmtId="3" fontId="3" fillId="16" borderId="33" xfId="0" applyNumberFormat="1" applyFont="1" applyFill="1" applyBorder="1" applyAlignment="1" applyProtection="1">
      <alignment horizontal="center" vertical="center"/>
      <protection hidden="1"/>
    </xf>
    <xf numFmtId="3" fontId="3" fillId="16" borderId="79" xfId="0" applyNumberFormat="1" applyFont="1" applyFill="1" applyBorder="1" applyAlignment="1" applyProtection="1">
      <alignment horizontal="center" vertical="center"/>
      <protection hidden="1"/>
    </xf>
    <xf numFmtId="3" fontId="3" fillId="16" borderId="26" xfId="0" applyNumberFormat="1" applyFont="1" applyFill="1" applyBorder="1" applyAlignment="1" applyProtection="1">
      <alignment horizontal="center" vertical="center"/>
      <protection hidden="1"/>
    </xf>
    <xf numFmtId="3" fontId="3" fillId="16" borderId="10" xfId="0" applyNumberFormat="1" applyFont="1" applyFill="1" applyBorder="1" applyAlignment="1" applyProtection="1">
      <alignment horizontal="center" vertical="center"/>
      <protection hidden="1"/>
    </xf>
    <xf numFmtId="0" fontId="14" fillId="3" borderId="32" xfId="0" applyFont="1" applyFill="1" applyBorder="1" applyAlignment="1" applyProtection="1">
      <alignment horizontal="center" vertical="center"/>
    </xf>
    <xf numFmtId="0" fontId="14" fillId="3" borderId="11" xfId="0" applyFont="1" applyFill="1" applyBorder="1" applyAlignment="1" applyProtection="1">
      <alignment horizontal="center" vertical="center"/>
    </xf>
    <xf numFmtId="0" fontId="14" fillId="3" borderId="18" xfId="0" applyFont="1" applyFill="1" applyBorder="1" applyAlignment="1" applyProtection="1">
      <alignment horizontal="center" vertical="center"/>
    </xf>
    <xf numFmtId="4" fontId="12" fillId="5" borderId="32" xfId="0" applyNumberFormat="1" applyFont="1" applyFill="1" applyBorder="1" applyAlignment="1" applyProtection="1">
      <alignment horizontal="left" vertical="center"/>
    </xf>
    <xf numFmtId="4" fontId="12" fillId="5" borderId="11" xfId="0" applyNumberFormat="1" applyFont="1" applyFill="1" applyBorder="1" applyAlignment="1" applyProtection="1">
      <alignment horizontal="left" vertical="center"/>
    </xf>
    <xf numFmtId="4" fontId="12" fillId="5" borderId="18" xfId="0" applyNumberFormat="1" applyFont="1" applyFill="1" applyBorder="1" applyAlignment="1" applyProtection="1">
      <alignment horizontal="left" vertical="center"/>
    </xf>
  </cellXfs>
  <cellStyles count="6">
    <cellStyle name="Hipervínculo" xfId="1" builtinId="8"/>
    <cellStyle name="Millares [0]" xfId="2" builtinId="6"/>
    <cellStyle name="Moneda" xfId="3" builtinId="4"/>
    <cellStyle name="Normal" xfId="0" builtinId="0"/>
    <cellStyle name="Normal 2" xfId="5" xr:uid="{00000000-0005-0000-0000-000004000000}"/>
    <cellStyle name="Porcentaje" xfId="4"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63E184"/>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99FF33"/>
      <color rgb="FFC0C0C0"/>
      <color rgb="FF767647"/>
      <color rgb="FFFFCC99"/>
      <color rgb="FFD8CDAD"/>
      <color rgb="FFCCFFCC"/>
      <color rgb="FFFFFF99"/>
      <color rgb="FFD8DAAD"/>
      <color rgb="FFD8CDCD"/>
      <color rgb="FFC8CDC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attachedToolbars" Target="attachedToolbars.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8" Type="http://schemas.openxmlformats.org/officeDocument/2006/relationships/hyperlink" Target="#'Salida-3-Plan de Inversi&#243;n'!A1"/><Relationship Id="rId13" Type="http://schemas.openxmlformats.org/officeDocument/2006/relationships/hyperlink" Target="#'Salida-7-Punto de Equilibrio'!A1"/><Relationship Id="rId3" Type="http://schemas.openxmlformats.org/officeDocument/2006/relationships/hyperlink" Target="#'4-Pto de Costos y Gastos'!A1"/><Relationship Id="rId7" Type="http://schemas.openxmlformats.org/officeDocument/2006/relationships/hyperlink" Target="#'Salida-2-Pto Costos y Gastos'!A1"/><Relationship Id="rId12" Type="http://schemas.openxmlformats.org/officeDocument/2006/relationships/hyperlink" Target="#'Salida-1-Pto ingresos-insumos'!A1"/><Relationship Id="rId2" Type="http://schemas.openxmlformats.org/officeDocument/2006/relationships/hyperlink" Target="#'3-Pto Compras'!A1"/><Relationship Id="rId1" Type="http://schemas.openxmlformats.org/officeDocument/2006/relationships/hyperlink" Target="#'2-Pto Ventas'!A1"/><Relationship Id="rId6" Type="http://schemas.openxmlformats.org/officeDocument/2006/relationships/hyperlink" Target="#'1-Datos Generales'!A1"/><Relationship Id="rId11" Type="http://schemas.openxmlformats.org/officeDocument/2006/relationships/hyperlink" Target="#'Salida-6-Flujo Caja'!A1"/><Relationship Id="rId5" Type="http://schemas.openxmlformats.org/officeDocument/2006/relationships/hyperlink" Target="#'6-Plan de negocio'!A1"/><Relationship Id="rId15" Type="http://schemas.openxmlformats.org/officeDocument/2006/relationships/hyperlink" Target="#'Salida-8-Indicadores F.'!A1"/><Relationship Id="rId10" Type="http://schemas.openxmlformats.org/officeDocument/2006/relationships/hyperlink" Target="#'Salida-4-P &amp; G'!A1"/><Relationship Id="rId4" Type="http://schemas.openxmlformats.org/officeDocument/2006/relationships/hyperlink" Target="#'5-Plan de Inversion'!A1"/><Relationship Id="rId9" Type="http://schemas.openxmlformats.org/officeDocument/2006/relationships/hyperlink" Target="#'Salida-5-Balance'!A1"/><Relationship Id="rId14" Type="http://schemas.openxmlformats.org/officeDocument/2006/relationships/image" Target="../media/image1.jpg"/></Relationships>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hyperlink" Target="#Menu!A1"/><Relationship Id="rId1" Type="http://schemas.openxmlformats.org/officeDocument/2006/relationships/hyperlink" Target="#'1-Datos Generales'!A1"/><Relationship Id="rId4" Type="http://schemas.openxmlformats.org/officeDocument/2006/relationships/hyperlink" Target="#'1.1-Perfil-Crediticio'!A1"/></Relationships>
</file>

<file path=xl/drawings/_rels/drawing3.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hyperlink" Target="#Menu!A1"/><Relationship Id="rId1" Type="http://schemas.openxmlformats.org/officeDocument/2006/relationships/hyperlink" Target="#'1.1-Perfil-Crediticio'!A1"/></Relationships>
</file>

<file path=xl/drawings/_rels/drawing4.xml.rels><?xml version="1.0" encoding="UTF-8" standalone="yes"?>
<Relationships xmlns="http://schemas.openxmlformats.org/package/2006/relationships"><Relationship Id="rId3" Type="http://schemas.openxmlformats.org/officeDocument/2006/relationships/hyperlink" Target="#'2-Pto Ventas'!C21"/><Relationship Id="rId7" Type="http://schemas.openxmlformats.org/officeDocument/2006/relationships/image" Target="../media/image3.jpeg"/><Relationship Id="rId2" Type="http://schemas.openxmlformats.org/officeDocument/2006/relationships/hyperlink" Target="#'2-Pto Ventas'!H51"/><Relationship Id="rId1" Type="http://schemas.openxmlformats.org/officeDocument/2006/relationships/hyperlink" Target="#'2-Pto Ventas'!E36"/><Relationship Id="rId6" Type="http://schemas.openxmlformats.org/officeDocument/2006/relationships/hyperlink" Target="#Menu!A1"/><Relationship Id="rId5" Type="http://schemas.openxmlformats.org/officeDocument/2006/relationships/hyperlink" Target="#'2-Pto Ventas'!A1"/><Relationship Id="rId4" Type="http://schemas.openxmlformats.org/officeDocument/2006/relationships/hyperlink" Target="#'2-Pto Ventas'!F82"/></Relationships>
</file>

<file path=xl/drawings/_rels/drawing5.xml.rels><?xml version="1.0" encoding="UTF-8" standalone="yes"?>
<Relationships xmlns="http://schemas.openxmlformats.org/package/2006/relationships"><Relationship Id="rId3" Type="http://schemas.openxmlformats.org/officeDocument/2006/relationships/hyperlink" Target="#'3-Pto Compras'!G86"/><Relationship Id="rId2" Type="http://schemas.openxmlformats.org/officeDocument/2006/relationships/image" Target="../media/image3.jpeg"/><Relationship Id="rId1" Type="http://schemas.openxmlformats.org/officeDocument/2006/relationships/hyperlink" Target="#Menu!A1"/><Relationship Id="rId6" Type="http://schemas.openxmlformats.org/officeDocument/2006/relationships/hyperlink" Target="#'3-Pto Compras'!A1"/><Relationship Id="rId5" Type="http://schemas.openxmlformats.org/officeDocument/2006/relationships/hyperlink" Target="#'3-Pto Compras'!G22"/><Relationship Id="rId4" Type="http://schemas.openxmlformats.org/officeDocument/2006/relationships/hyperlink" Target="#'3-Pto Compras'!G117"/></Relationships>
</file>

<file path=xl/drawings/_rels/drawing6.xml.rels><?xml version="1.0" encoding="UTF-8" standalone="yes"?>
<Relationships xmlns="http://schemas.openxmlformats.org/package/2006/relationships"><Relationship Id="rId3" Type="http://schemas.openxmlformats.org/officeDocument/2006/relationships/hyperlink" Target="#'4-Pto de Costos y Gastos'!F54"/><Relationship Id="rId2" Type="http://schemas.openxmlformats.org/officeDocument/2006/relationships/hyperlink" Target="#Menu!F8"/><Relationship Id="rId1" Type="http://schemas.openxmlformats.org/officeDocument/2006/relationships/hyperlink" Target="#'4-Pto de Costos y Gastos'!F20"/><Relationship Id="rId6" Type="http://schemas.openxmlformats.org/officeDocument/2006/relationships/image" Target="../media/image3.jpeg"/><Relationship Id="rId5" Type="http://schemas.openxmlformats.org/officeDocument/2006/relationships/hyperlink" Target="#Menu!A1"/><Relationship Id="rId4" Type="http://schemas.openxmlformats.org/officeDocument/2006/relationships/hyperlink" Target="#'4-Pto de Costos y Gastos'!A1"/></Relationships>
</file>

<file path=xl/drawings/_rels/drawing7.xml.rels><?xml version="1.0" encoding="UTF-8" standalone="yes"?>
<Relationships xmlns="http://schemas.openxmlformats.org/package/2006/relationships"><Relationship Id="rId3" Type="http://schemas.openxmlformats.org/officeDocument/2006/relationships/hyperlink" Target="#'5-Plan de Inversion'!F20"/><Relationship Id="rId2" Type="http://schemas.openxmlformats.org/officeDocument/2006/relationships/image" Target="../media/image3.jpeg"/><Relationship Id="rId1" Type="http://schemas.openxmlformats.org/officeDocument/2006/relationships/hyperlink" Target="#Menu!A1"/><Relationship Id="rId6" Type="http://schemas.openxmlformats.org/officeDocument/2006/relationships/hyperlink" Target="#'5-Plan de Inversion'!A1"/><Relationship Id="rId5" Type="http://schemas.openxmlformats.org/officeDocument/2006/relationships/hyperlink" Target="#'4-Pto de Costos y Gastos'!F60"/><Relationship Id="rId4" Type="http://schemas.openxmlformats.org/officeDocument/2006/relationships/hyperlink" Target="#Menu!F8"/></Relationships>
</file>

<file path=xl/drawings/_rels/drawing8.xml.rels><?xml version="1.0" encoding="UTF-8" standalone="yes"?>
<Relationships xmlns="http://schemas.openxmlformats.org/package/2006/relationships"><Relationship Id="rId3" Type="http://schemas.openxmlformats.org/officeDocument/2006/relationships/hyperlink" Target="#'6-Plan de negocio'!A1"/><Relationship Id="rId2" Type="http://schemas.openxmlformats.org/officeDocument/2006/relationships/image" Target="../media/image3.jpeg"/><Relationship Id="rId1" Type="http://schemas.openxmlformats.org/officeDocument/2006/relationships/hyperlink" Target="#Menu!A1"/></Relationships>
</file>

<file path=xl/drawings/_rels/drawing9.xml.rels><?xml version="1.0" encoding="UTF-8" standalone="yes"?>
<Relationships xmlns="http://schemas.openxmlformats.org/package/2006/relationships"><Relationship Id="rId3" Type="http://schemas.openxmlformats.org/officeDocument/2006/relationships/hyperlink" Target="#'Salida-1-Pto ingresos-insumos'!I35"/><Relationship Id="rId2" Type="http://schemas.openxmlformats.org/officeDocument/2006/relationships/hyperlink" Target="#Menu!F8"/><Relationship Id="rId1" Type="http://schemas.openxmlformats.org/officeDocument/2006/relationships/hyperlink" Target="#'Salida-1-Pto ingresos-insumos'!I19"/><Relationship Id="rId6" Type="http://schemas.openxmlformats.org/officeDocument/2006/relationships/hyperlink" Target="#'Salida-1-Pto ingresos-insumos'!A1"/><Relationship Id="rId5" Type="http://schemas.openxmlformats.org/officeDocument/2006/relationships/image" Target="../media/image3.jpeg"/><Relationship Id="rId4" Type="http://schemas.openxmlformats.org/officeDocument/2006/relationships/hyperlink" Target="#Menu!A1"/></Relationships>
</file>

<file path=xl/drawings/_rels/drawing10.xml.rels><?xml version="1.0" encoding="UTF-8" standalone="yes"?>
<Relationships xmlns="http://schemas.openxmlformats.org/package/2006/relationships"><Relationship Id="rId3" Type="http://schemas.openxmlformats.org/officeDocument/2006/relationships/hyperlink" Target="#'Salida-2-Pto Costos y Gastos'!H55"/><Relationship Id="rId2" Type="http://schemas.openxmlformats.org/officeDocument/2006/relationships/hyperlink" Target="#Menu!F8"/><Relationship Id="rId1" Type="http://schemas.openxmlformats.org/officeDocument/2006/relationships/hyperlink" Target="#'Salida-2-Pto Costos y Gastos'!H20"/><Relationship Id="rId6" Type="http://schemas.openxmlformats.org/officeDocument/2006/relationships/hyperlink" Target="#'Salida-2-Pto Costos y Gastos'!A1"/><Relationship Id="rId5" Type="http://schemas.openxmlformats.org/officeDocument/2006/relationships/image" Target="../media/image3.jpeg"/><Relationship Id="rId4" Type="http://schemas.openxmlformats.org/officeDocument/2006/relationships/hyperlink" Target="#Menu!A1"/></Relationships>
</file>

<file path=xl/drawings/_rels/drawing11.xml.rels><?xml version="1.0" encoding="UTF-8" standalone="yes"?>
<Relationships xmlns="http://schemas.openxmlformats.org/package/2006/relationships"><Relationship Id="rId3" Type="http://schemas.openxmlformats.org/officeDocument/2006/relationships/hyperlink" Target="#'Salida-3-Plan de Inversi&#243;n'!H49"/><Relationship Id="rId7" Type="http://schemas.openxmlformats.org/officeDocument/2006/relationships/hyperlink" Target="#'Salida-3-Plan de Inversi&#243;n'!A1"/><Relationship Id="rId2" Type="http://schemas.openxmlformats.org/officeDocument/2006/relationships/hyperlink" Target="#Menu!F8"/><Relationship Id="rId1" Type="http://schemas.openxmlformats.org/officeDocument/2006/relationships/hyperlink" Target="#'Salida-3-Plan de Inversi&#243;n'!H28"/><Relationship Id="rId6" Type="http://schemas.openxmlformats.org/officeDocument/2006/relationships/hyperlink" Target="#'Salida-3-Plan de Inversi&#243;n'!H62"/><Relationship Id="rId5" Type="http://schemas.openxmlformats.org/officeDocument/2006/relationships/image" Target="../media/image3.jpeg"/><Relationship Id="rId4" Type="http://schemas.openxmlformats.org/officeDocument/2006/relationships/hyperlink" Target="#Menu!A1"/></Relationships>
</file>

<file path=xl/drawings/_rels/drawing12.xml.rels><?xml version="1.0" encoding="UTF-8" standalone="yes"?>
<Relationships xmlns="http://schemas.openxmlformats.org/package/2006/relationships"><Relationship Id="rId3" Type="http://schemas.openxmlformats.org/officeDocument/2006/relationships/hyperlink" Target="#'Salida-4-P &amp; G'!A1"/><Relationship Id="rId2" Type="http://schemas.openxmlformats.org/officeDocument/2006/relationships/image" Target="../media/image3.jpeg"/><Relationship Id="rId1" Type="http://schemas.openxmlformats.org/officeDocument/2006/relationships/hyperlink" Target="#Menu!A1"/></Relationships>
</file>

<file path=xl/drawings/_rels/drawing13.xml.rels><?xml version="1.0" encoding="UTF-8" standalone="yes"?>
<Relationships xmlns="http://schemas.openxmlformats.org/package/2006/relationships"><Relationship Id="rId3" Type="http://schemas.openxmlformats.org/officeDocument/2006/relationships/hyperlink" Target="#'Salida-5-Balance'!A1"/><Relationship Id="rId2" Type="http://schemas.openxmlformats.org/officeDocument/2006/relationships/image" Target="../media/image3.jpeg"/><Relationship Id="rId1" Type="http://schemas.openxmlformats.org/officeDocument/2006/relationships/hyperlink" Target="#Menu!A1"/></Relationships>
</file>

<file path=xl/drawings/_rels/drawing14.xml.rels><?xml version="1.0" encoding="UTF-8" standalone="yes"?>
<Relationships xmlns="http://schemas.openxmlformats.org/package/2006/relationships"><Relationship Id="rId3" Type="http://schemas.openxmlformats.org/officeDocument/2006/relationships/hyperlink" Target="#'Salida-6-Flujo Caja'!A1"/><Relationship Id="rId2" Type="http://schemas.openxmlformats.org/officeDocument/2006/relationships/image" Target="../media/image3.jpeg"/><Relationship Id="rId1" Type="http://schemas.openxmlformats.org/officeDocument/2006/relationships/hyperlink" Target="#Menu!A1"/></Relationships>
</file>

<file path=xl/drawings/_rels/drawing15.xml.rels><?xml version="1.0" encoding="UTF-8" standalone="yes"?>
<Relationships xmlns="http://schemas.openxmlformats.org/package/2006/relationships"><Relationship Id="rId3" Type="http://schemas.openxmlformats.org/officeDocument/2006/relationships/hyperlink" Target="#'Salida-7-Punto de Equilibrio'!A1"/><Relationship Id="rId2" Type="http://schemas.openxmlformats.org/officeDocument/2006/relationships/image" Target="../media/image3.jpeg"/><Relationship Id="rId1" Type="http://schemas.openxmlformats.org/officeDocument/2006/relationships/hyperlink" Target="#Menu!A1"/></Relationships>
</file>

<file path=xl/drawings/_rels/drawing16.xml.rels><?xml version="1.0" encoding="UTF-8" standalone="yes"?>
<Relationships xmlns="http://schemas.openxmlformats.org/package/2006/relationships"><Relationship Id="rId3" Type="http://schemas.openxmlformats.org/officeDocument/2006/relationships/hyperlink" Target="#'Salida-8-Indicadores F.'!G51"/><Relationship Id="rId2" Type="http://schemas.openxmlformats.org/officeDocument/2006/relationships/hyperlink" Target="#Menu!F8"/><Relationship Id="rId1" Type="http://schemas.openxmlformats.org/officeDocument/2006/relationships/hyperlink" Target="#'Salida-8-Indicadores F.'!G36"/><Relationship Id="rId6" Type="http://schemas.openxmlformats.org/officeDocument/2006/relationships/hyperlink" Target="#'Salida-8-Indicadores F.'!A1"/><Relationship Id="rId5" Type="http://schemas.openxmlformats.org/officeDocument/2006/relationships/image" Target="../media/image3.jpeg"/><Relationship Id="rId4" Type="http://schemas.openxmlformats.org/officeDocument/2006/relationships/hyperlink" Target="#Menu!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editAs="oneCell">
    <xdr:from>
      <xdr:col>1</xdr:col>
      <xdr:colOff>470535</xdr:colOff>
      <xdr:row>19</xdr:row>
      <xdr:rowOff>133350</xdr:rowOff>
    </xdr:from>
    <xdr:to>
      <xdr:col>5</xdr:col>
      <xdr:colOff>662535</xdr:colOff>
      <xdr:row>21</xdr:row>
      <xdr:rowOff>142875</xdr:rowOff>
    </xdr:to>
    <xdr:sp macro="" textlink="" fLocksText="0">
      <xdr:nvSpPr>
        <xdr:cNvPr id="17411" name="Rectangle 3">
          <a:hlinkClick xmlns:r="http://schemas.openxmlformats.org/officeDocument/2006/relationships" r:id="rId1"/>
          <a:extLst>
            <a:ext uri="{FF2B5EF4-FFF2-40B4-BE49-F238E27FC236}">
              <a16:creationId xmlns:a16="http://schemas.microsoft.com/office/drawing/2014/main" id="{00000000-0008-0000-0100-000003440000}"/>
            </a:ext>
          </a:extLst>
        </xdr:cNvPr>
        <xdr:cNvSpPr>
          <a:spLocks noChangeArrowheads="1"/>
        </xdr:cNvSpPr>
      </xdr:nvSpPr>
      <xdr:spPr bwMode="auto">
        <a:xfrm>
          <a:off x="1232535" y="3276600"/>
          <a:ext cx="3240000" cy="333375"/>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Presupuesto de Ventas Año 1 </a:t>
          </a:r>
        </a:p>
        <a:p>
          <a:pPr algn="l" rtl="0">
            <a:defRPr sz="1000"/>
          </a:pPr>
          <a:endParaRPr lang="es-ES" sz="1000" b="1" i="0" strike="noStrike">
            <a:solidFill>
              <a:srgbClr val="003300"/>
            </a:solidFill>
            <a:latin typeface="Arial"/>
            <a:cs typeface="Arial"/>
          </a:endParaRPr>
        </a:p>
        <a:p>
          <a:pPr algn="l" rtl="0">
            <a:defRPr sz="1000"/>
          </a:pPr>
          <a:endParaRPr lang="es-ES" sz="1000" b="1" i="0" strike="noStrike">
            <a:solidFill>
              <a:srgbClr val="003300"/>
            </a:solidFill>
            <a:latin typeface="Arial"/>
            <a:cs typeface="Arial"/>
          </a:endParaRPr>
        </a:p>
      </xdr:txBody>
    </xdr:sp>
    <xdr:clientData fLocksWithSheet="0"/>
  </xdr:twoCellAnchor>
  <xdr:twoCellAnchor editAs="oneCell">
    <xdr:from>
      <xdr:col>1</xdr:col>
      <xdr:colOff>472440</xdr:colOff>
      <xdr:row>23</xdr:row>
      <xdr:rowOff>19050</xdr:rowOff>
    </xdr:from>
    <xdr:to>
      <xdr:col>5</xdr:col>
      <xdr:colOff>664440</xdr:colOff>
      <xdr:row>25</xdr:row>
      <xdr:rowOff>28575</xdr:rowOff>
    </xdr:to>
    <xdr:sp macro="" textlink="" fLocksText="0">
      <xdr:nvSpPr>
        <xdr:cNvPr id="17412" name="Rectangle 4">
          <a:hlinkClick xmlns:r="http://schemas.openxmlformats.org/officeDocument/2006/relationships" r:id="rId2"/>
          <a:extLst>
            <a:ext uri="{FF2B5EF4-FFF2-40B4-BE49-F238E27FC236}">
              <a16:creationId xmlns:a16="http://schemas.microsoft.com/office/drawing/2014/main" id="{00000000-0008-0000-0100-000004440000}"/>
            </a:ext>
          </a:extLst>
        </xdr:cNvPr>
        <xdr:cNvSpPr>
          <a:spLocks noChangeArrowheads="1"/>
        </xdr:cNvSpPr>
      </xdr:nvSpPr>
      <xdr:spPr bwMode="auto">
        <a:xfrm>
          <a:off x="1234440" y="3810000"/>
          <a:ext cx="3240000" cy="333375"/>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Presupuesto</a:t>
          </a:r>
          <a:r>
            <a:rPr lang="es-ES" sz="1000" b="1" i="0" strike="noStrike" baseline="0">
              <a:solidFill>
                <a:srgbClr val="003300"/>
              </a:solidFill>
              <a:latin typeface="Arial"/>
              <a:cs typeface="Arial"/>
            </a:rPr>
            <a:t> </a:t>
          </a:r>
          <a:r>
            <a:rPr lang="es-ES" sz="1000" b="1" i="0" strike="noStrike">
              <a:solidFill>
                <a:srgbClr val="003300"/>
              </a:solidFill>
              <a:latin typeface="Arial"/>
              <a:cs typeface="Arial"/>
            </a:rPr>
            <a:t>de Compras Año 1</a:t>
          </a:r>
        </a:p>
      </xdr:txBody>
    </xdr:sp>
    <xdr:clientData fLocksWithSheet="0"/>
  </xdr:twoCellAnchor>
  <xdr:twoCellAnchor editAs="oneCell">
    <xdr:from>
      <xdr:col>1</xdr:col>
      <xdr:colOff>468630</xdr:colOff>
      <xdr:row>26</xdr:row>
      <xdr:rowOff>57150</xdr:rowOff>
    </xdr:from>
    <xdr:to>
      <xdr:col>5</xdr:col>
      <xdr:colOff>660630</xdr:colOff>
      <xdr:row>28</xdr:row>
      <xdr:rowOff>66675</xdr:rowOff>
    </xdr:to>
    <xdr:sp macro="" textlink="" fLocksText="0">
      <xdr:nvSpPr>
        <xdr:cNvPr id="17413" name="Rectangle 5">
          <a:hlinkClick xmlns:r="http://schemas.openxmlformats.org/officeDocument/2006/relationships" r:id="rId3"/>
          <a:extLst>
            <a:ext uri="{FF2B5EF4-FFF2-40B4-BE49-F238E27FC236}">
              <a16:creationId xmlns:a16="http://schemas.microsoft.com/office/drawing/2014/main" id="{00000000-0008-0000-0100-000005440000}"/>
            </a:ext>
          </a:extLst>
        </xdr:cNvPr>
        <xdr:cNvSpPr>
          <a:spLocks noChangeArrowheads="1"/>
        </xdr:cNvSpPr>
      </xdr:nvSpPr>
      <xdr:spPr bwMode="auto">
        <a:xfrm>
          <a:off x="1230630" y="4333875"/>
          <a:ext cx="3240000" cy="333375"/>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Presupuesto de Costos y Gastos Año 1</a:t>
          </a:r>
        </a:p>
      </xdr:txBody>
    </xdr:sp>
    <xdr:clientData fLocksWithSheet="0"/>
  </xdr:twoCellAnchor>
  <xdr:twoCellAnchor editAs="oneCell">
    <xdr:from>
      <xdr:col>1</xdr:col>
      <xdr:colOff>476250</xdr:colOff>
      <xdr:row>29</xdr:row>
      <xdr:rowOff>76200</xdr:rowOff>
    </xdr:from>
    <xdr:to>
      <xdr:col>5</xdr:col>
      <xdr:colOff>668250</xdr:colOff>
      <xdr:row>31</xdr:row>
      <xdr:rowOff>85725</xdr:rowOff>
    </xdr:to>
    <xdr:sp macro="" textlink="" fLocksText="0">
      <xdr:nvSpPr>
        <xdr:cNvPr id="17414" name="Rectangle 6">
          <a:hlinkClick xmlns:r="http://schemas.openxmlformats.org/officeDocument/2006/relationships" r:id="rId4"/>
          <a:extLst>
            <a:ext uri="{FF2B5EF4-FFF2-40B4-BE49-F238E27FC236}">
              <a16:creationId xmlns:a16="http://schemas.microsoft.com/office/drawing/2014/main" id="{00000000-0008-0000-0100-000006440000}"/>
            </a:ext>
          </a:extLst>
        </xdr:cNvPr>
        <xdr:cNvSpPr>
          <a:spLocks noChangeArrowheads="1"/>
        </xdr:cNvSpPr>
      </xdr:nvSpPr>
      <xdr:spPr bwMode="auto">
        <a:xfrm>
          <a:off x="1238250" y="4838700"/>
          <a:ext cx="3240000" cy="333375"/>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Plan de Inversión y Financiación</a:t>
          </a:r>
        </a:p>
      </xdr:txBody>
    </xdr:sp>
    <xdr:clientData fLocksWithSheet="0"/>
  </xdr:twoCellAnchor>
  <xdr:twoCellAnchor editAs="oneCell">
    <xdr:from>
      <xdr:col>1</xdr:col>
      <xdr:colOff>464820</xdr:colOff>
      <xdr:row>16</xdr:row>
      <xdr:rowOff>104775</xdr:rowOff>
    </xdr:from>
    <xdr:to>
      <xdr:col>5</xdr:col>
      <xdr:colOff>656820</xdr:colOff>
      <xdr:row>18</xdr:row>
      <xdr:rowOff>114300</xdr:rowOff>
    </xdr:to>
    <xdr:sp macro="" textlink="">
      <xdr:nvSpPr>
        <xdr:cNvPr id="17415" name="Rectangle 7">
          <a:hlinkClick xmlns:r="http://schemas.openxmlformats.org/officeDocument/2006/relationships" r:id="rId5"/>
          <a:extLst>
            <a:ext uri="{FF2B5EF4-FFF2-40B4-BE49-F238E27FC236}">
              <a16:creationId xmlns:a16="http://schemas.microsoft.com/office/drawing/2014/main" id="{00000000-0008-0000-0100-000007440000}"/>
            </a:ext>
          </a:extLst>
        </xdr:cNvPr>
        <xdr:cNvSpPr>
          <a:spLocks noChangeArrowheads="1"/>
        </xdr:cNvSpPr>
      </xdr:nvSpPr>
      <xdr:spPr bwMode="auto">
        <a:xfrm>
          <a:off x="1226820" y="2762250"/>
          <a:ext cx="3240000" cy="333375"/>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Literatura del Plan de Negocio</a:t>
          </a:r>
        </a:p>
      </xdr:txBody>
    </xdr:sp>
    <xdr:clientData/>
  </xdr:twoCellAnchor>
  <xdr:twoCellAnchor editAs="oneCell">
    <xdr:from>
      <xdr:col>1</xdr:col>
      <xdr:colOff>476250</xdr:colOff>
      <xdr:row>13</xdr:row>
      <xdr:rowOff>133350</xdr:rowOff>
    </xdr:from>
    <xdr:to>
      <xdr:col>5</xdr:col>
      <xdr:colOff>668250</xdr:colOff>
      <xdr:row>15</xdr:row>
      <xdr:rowOff>142875</xdr:rowOff>
    </xdr:to>
    <xdr:sp macro="" textlink="" fLocksText="0">
      <xdr:nvSpPr>
        <xdr:cNvPr id="17416" name="Rectangle 8">
          <a:hlinkClick xmlns:r="http://schemas.openxmlformats.org/officeDocument/2006/relationships" r:id="rId6"/>
          <a:extLst>
            <a:ext uri="{FF2B5EF4-FFF2-40B4-BE49-F238E27FC236}">
              <a16:creationId xmlns:a16="http://schemas.microsoft.com/office/drawing/2014/main" id="{00000000-0008-0000-0100-000008440000}"/>
            </a:ext>
          </a:extLst>
        </xdr:cNvPr>
        <xdr:cNvSpPr>
          <a:spLocks noChangeArrowheads="1"/>
        </xdr:cNvSpPr>
      </xdr:nvSpPr>
      <xdr:spPr bwMode="auto">
        <a:xfrm>
          <a:off x="1238250" y="2305050"/>
          <a:ext cx="3240000" cy="333375"/>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Datos Personales y de la Empresa</a:t>
          </a:r>
        </a:p>
      </xdr:txBody>
    </xdr:sp>
    <xdr:clientData fLocksWithSheet="0"/>
  </xdr:twoCellAnchor>
  <xdr:twoCellAnchor>
    <xdr:from>
      <xdr:col>7</xdr:col>
      <xdr:colOff>133350</xdr:colOff>
      <xdr:row>16</xdr:row>
      <xdr:rowOff>19050</xdr:rowOff>
    </xdr:from>
    <xdr:to>
      <xdr:col>11</xdr:col>
      <xdr:colOff>325350</xdr:colOff>
      <xdr:row>18</xdr:row>
      <xdr:rowOff>28575</xdr:rowOff>
    </xdr:to>
    <xdr:sp macro="" textlink="" fLocksText="0">
      <xdr:nvSpPr>
        <xdr:cNvPr id="17429" name="Rectangle 21">
          <a:hlinkClick xmlns:r="http://schemas.openxmlformats.org/officeDocument/2006/relationships" r:id="rId7"/>
          <a:extLst>
            <a:ext uri="{FF2B5EF4-FFF2-40B4-BE49-F238E27FC236}">
              <a16:creationId xmlns:a16="http://schemas.microsoft.com/office/drawing/2014/main" id="{00000000-0008-0000-0100-000015440000}"/>
            </a:ext>
          </a:extLst>
        </xdr:cNvPr>
        <xdr:cNvSpPr>
          <a:spLocks noChangeArrowheads="1"/>
        </xdr:cNvSpPr>
      </xdr:nvSpPr>
      <xdr:spPr bwMode="auto">
        <a:xfrm>
          <a:off x="5086350" y="2667000"/>
          <a:ext cx="3240000" cy="333375"/>
        </a:xfrm>
        <a:prstGeom prst="rect">
          <a:avLst/>
        </a:prstGeom>
        <a:gradFill>
          <a:gsLst>
            <a:gs pos="0">
              <a:srgbClr val="99FF33"/>
            </a:gs>
            <a:gs pos="100000">
              <a:srgbClr val="767647"/>
            </a:gs>
          </a:gsLst>
          <a:lin ang="5400000" scaled="0"/>
        </a:gradFill>
        <a:ln>
          <a:headEnd/>
          <a:tailEnd/>
        </a:ln>
        <a:scene3d>
          <a:camera prst="orthographicFront">
            <a:rot lat="0" lon="0" rev="0"/>
          </a:camera>
          <a:lightRig rig="threePt" dir="t">
            <a:rot lat="0" lon="0" rev="8700000"/>
          </a:lightRig>
        </a:scene3d>
        <a:sp3d>
          <a:bevelT w="190500" h="25400"/>
        </a:sp3d>
      </xdr:spPr>
      <xdr:style>
        <a:lnRef idx="0">
          <a:schemeClr val="accent3"/>
        </a:lnRef>
        <a:fillRef idx="3">
          <a:schemeClr val="accent3"/>
        </a:fillRef>
        <a:effectRef idx="3">
          <a:schemeClr val="accent3"/>
        </a:effectRef>
        <a:fontRef idx="minor">
          <a:schemeClr val="lt1"/>
        </a:fontRef>
      </xdr:style>
      <xdr:txBody>
        <a:bodyPr vertOverflow="clip" wrap="square" lIns="27432" tIns="22860" rIns="0" bIns="0" anchor="t" upright="1"/>
        <a:lstStyle/>
        <a:p>
          <a:pPr lvl="1" algn="l" rtl="0">
            <a:defRPr sz="1000"/>
          </a:pPr>
          <a:r>
            <a:rPr lang="es-ES" sz="1000" b="1" i="0" strike="noStrike">
              <a:solidFill>
                <a:srgbClr val="000000"/>
              </a:solidFill>
              <a:latin typeface="Arial"/>
              <a:cs typeface="Arial"/>
            </a:rPr>
            <a:t>Presupuesto Costos y Gastos Años</a:t>
          </a:r>
        </a:p>
      </xdr:txBody>
    </xdr:sp>
    <xdr:clientData fLocksWithSheet="0"/>
  </xdr:twoCellAnchor>
  <xdr:twoCellAnchor>
    <xdr:from>
      <xdr:col>7</xdr:col>
      <xdr:colOff>133350</xdr:colOff>
      <xdr:row>18</xdr:row>
      <xdr:rowOff>123825</xdr:rowOff>
    </xdr:from>
    <xdr:to>
      <xdr:col>11</xdr:col>
      <xdr:colOff>325350</xdr:colOff>
      <xdr:row>20</xdr:row>
      <xdr:rowOff>133350</xdr:rowOff>
    </xdr:to>
    <xdr:sp macro="" textlink="" fLocksText="0">
      <xdr:nvSpPr>
        <xdr:cNvPr id="17430" name="Rectangle 22">
          <a:hlinkClick xmlns:r="http://schemas.openxmlformats.org/officeDocument/2006/relationships" r:id="rId8"/>
          <a:extLst>
            <a:ext uri="{FF2B5EF4-FFF2-40B4-BE49-F238E27FC236}">
              <a16:creationId xmlns:a16="http://schemas.microsoft.com/office/drawing/2014/main" id="{00000000-0008-0000-0100-000016440000}"/>
            </a:ext>
          </a:extLst>
        </xdr:cNvPr>
        <xdr:cNvSpPr>
          <a:spLocks noChangeArrowheads="1"/>
        </xdr:cNvSpPr>
      </xdr:nvSpPr>
      <xdr:spPr bwMode="auto">
        <a:xfrm>
          <a:off x="5086350" y="3095625"/>
          <a:ext cx="3240000" cy="333375"/>
        </a:xfrm>
        <a:prstGeom prst="rect">
          <a:avLst/>
        </a:prstGeom>
        <a:gradFill>
          <a:gsLst>
            <a:gs pos="0">
              <a:srgbClr val="99FF33"/>
            </a:gs>
            <a:gs pos="100000">
              <a:srgbClr val="767647"/>
            </a:gs>
          </a:gsLst>
          <a:lin ang="5400000" scaled="0"/>
        </a:gradFill>
        <a:ln>
          <a:headEnd/>
          <a:tailEnd/>
        </a:ln>
        <a:scene3d>
          <a:camera prst="orthographicFront">
            <a:rot lat="0" lon="0" rev="0"/>
          </a:camera>
          <a:lightRig rig="threePt" dir="t">
            <a:rot lat="0" lon="0" rev="8700000"/>
          </a:lightRig>
        </a:scene3d>
        <a:sp3d>
          <a:bevelT w="190500" h="25400"/>
        </a:sp3d>
      </xdr:spPr>
      <xdr:style>
        <a:lnRef idx="0">
          <a:schemeClr val="accent3"/>
        </a:lnRef>
        <a:fillRef idx="3">
          <a:schemeClr val="accent3"/>
        </a:fillRef>
        <a:effectRef idx="3">
          <a:schemeClr val="accent3"/>
        </a:effectRef>
        <a:fontRef idx="minor">
          <a:schemeClr val="lt1"/>
        </a:fontRef>
      </xdr:style>
      <xdr:txBody>
        <a:bodyPr vertOverflow="clip" wrap="square" lIns="27432" tIns="22860" rIns="0" bIns="0" anchor="t" upright="1"/>
        <a:lstStyle/>
        <a:p>
          <a:pPr lvl="1" algn="l" rtl="0">
            <a:defRPr sz="1000"/>
          </a:pPr>
          <a:r>
            <a:rPr lang="es-ES" sz="1000" b="1" i="0" strike="noStrike">
              <a:solidFill>
                <a:srgbClr val="000000"/>
              </a:solidFill>
              <a:latin typeface="Arial"/>
              <a:cs typeface="Arial"/>
            </a:rPr>
            <a:t>Resumen Plan de Inversión y Financiación - Tabla de Amortización</a:t>
          </a:r>
        </a:p>
      </xdr:txBody>
    </xdr:sp>
    <xdr:clientData fLocksWithSheet="0"/>
  </xdr:twoCellAnchor>
  <xdr:twoCellAnchor>
    <xdr:from>
      <xdr:col>7</xdr:col>
      <xdr:colOff>133350</xdr:colOff>
      <xdr:row>24</xdr:row>
      <xdr:rowOff>19050</xdr:rowOff>
    </xdr:from>
    <xdr:to>
      <xdr:col>11</xdr:col>
      <xdr:colOff>325350</xdr:colOff>
      <xdr:row>26</xdr:row>
      <xdr:rowOff>28575</xdr:rowOff>
    </xdr:to>
    <xdr:sp macro="" textlink="" fLocksText="0">
      <xdr:nvSpPr>
        <xdr:cNvPr id="17431" name="Rectangle 23">
          <a:hlinkClick xmlns:r="http://schemas.openxmlformats.org/officeDocument/2006/relationships" r:id="rId9"/>
          <a:extLst>
            <a:ext uri="{FF2B5EF4-FFF2-40B4-BE49-F238E27FC236}">
              <a16:creationId xmlns:a16="http://schemas.microsoft.com/office/drawing/2014/main" id="{00000000-0008-0000-0100-000017440000}"/>
            </a:ext>
          </a:extLst>
        </xdr:cNvPr>
        <xdr:cNvSpPr>
          <a:spLocks noChangeArrowheads="1"/>
        </xdr:cNvSpPr>
      </xdr:nvSpPr>
      <xdr:spPr bwMode="auto">
        <a:xfrm>
          <a:off x="5086350" y="3962400"/>
          <a:ext cx="3240000" cy="333375"/>
        </a:xfrm>
        <a:prstGeom prst="rect">
          <a:avLst/>
        </a:prstGeom>
        <a:gradFill>
          <a:gsLst>
            <a:gs pos="0">
              <a:srgbClr val="99FF33"/>
            </a:gs>
            <a:gs pos="100000">
              <a:srgbClr val="767647"/>
            </a:gs>
          </a:gsLst>
          <a:lin ang="5400000" scaled="0"/>
        </a:gradFill>
        <a:ln>
          <a:headEnd/>
          <a:tailEnd/>
        </a:ln>
        <a:scene3d>
          <a:camera prst="orthographicFront">
            <a:rot lat="0" lon="0" rev="0"/>
          </a:camera>
          <a:lightRig rig="threePt" dir="t">
            <a:rot lat="0" lon="0" rev="8700000"/>
          </a:lightRig>
        </a:scene3d>
        <a:sp3d>
          <a:bevelT w="190500" h="25400"/>
        </a:sp3d>
      </xdr:spPr>
      <xdr:style>
        <a:lnRef idx="0">
          <a:schemeClr val="accent3"/>
        </a:lnRef>
        <a:fillRef idx="3">
          <a:schemeClr val="accent3"/>
        </a:fillRef>
        <a:effectRef idx="3">
          <a:schemeClr val="accent3"/>
        </a:effectRef>
        <a:fontRef idx="minor">
          <a:schemeClr val="lt1"/>
        </a:fontRef>
      </xdr:style>
      <xdr:txBody>
        <a:bodyPr vertOverflow="clip" wrap="square" lIns="27432" tIns="22860" rIns="0" bIns="0" anchor="t" upright="1"/>
        <a:lstStyle/>
        <a:p>
          <a:pPr lvl="1" algn="l" rtl="0">
            <a:defRPr sz="1000"/>
          </a:pPr>
          <a:r>
            <a:rPr lang="es-ES" sz="1000" b="1" i="0" strike="noStrike">
              <a:solidFill>
                <a:srgbClr val="000000"/>
              </a:solidFill>
              <a:latin typeface="Arial"/>
              <a:cs typeface="Arial"/>
            </a:rPr>
            <a:t>Balance General</a:t>
          </a:r>
        </a:p>
      </xdr:txBody>
    </xdr:sp>
    <xdr:clientData fLocksWithSheet="0"/>
  </xdr:twoCellAnchor>
  <xdr:twoCellAnchor>
    <xdr:from>
      <xdr:col>7</xdr:col>
      <xdr:colOff>133350</xdr:colOff>
      <xdr:row>21</xdr:row>
      <xdr:rowOff>66675</xdr:rowOff>
    </xdr:from>
    <xdr:to>
      <xdr:col>11</xdr:col>
      <xdr:colOff>325350</xdr:colOff>
      <xdr:row>23</xdr:row>
      <xdr:rowOff>76200</xdr:rowOff>
    </xdr:to>
    <xdr:sp macro="" textlink="" fLocksText="0">
      <xdr:nvSpPr>
        <xdr:cNvPr id="17432" name="Rectangle 24">
          <a:hlinkClick xmlns:r="http://schemas.openxmlformats.org/officeDocument/2006/relationships" r:id="rId10"/>
          <a:extLst>
            <a:ext uri="{FF2B5EF4-FFF2-40B4-BE49-F238E27FC236}">
              <a16:creationId xmlns:a16="http://schemas.microsoft.com/office/drawing/2014/main" id="{00000000-0008-0000-0100-000018440000}"/>
            </a:ext>
          </a:extLst>
        </xdr:cNvPr>
        <xdr:cNvSpPr>
          <a:spLocks noChangeArrowheads="1"/>
        </xdr:cNvSpPr>
      </xdr:nvSpPr>
      <xdr:spPr bwMode="auto">
        <a:xfrm>
          <a:off x="5086350" y="3524250"/>
          <a:ext cx="3240000" cy="333375"/>
        </a:xfrm>
        <a:prstGeom prst="rect">
          <a:avLst/>
        </a:prstGeom>
        <a:gradFill>
          <a:gsLst>
            <a:gs pos="0">
              <a:srgbClr val="99FF33"/>
            </a:gs>
            <a:gs pos="100000">
              <a:srgbClr val="767647"/>
            </a:gs>
          </a:gsLst>
          <a:lin ang="5400000" scaled="0"/>
        </a:gradFill>
        <a:ln>
          <a:headEnd/>
          <a:tailEnd/>
        </a:ln>
        <a:scene3d>
          <a:camera prst="orthographicFront">
            <a:rot lat="0" lon="0" rev="0"/>
          </a:camera>
          <a:lightRig rig="threePt" dir="t">
            <a:rot lat="0" lon="0" rev="8700000"/>
          </a:lightRig>
        </a:scene3d>
        <a:sp3d>
          <a:bevelT w="190500" h="25400"/>
        </a:sp3d>
      </xdr:spPr>
      <xdr:style>
        <a:lnRef idx="0">
          <a:schemeClr val="accent3"/>
        </a:lnRef>
        <a:fillRef idx="3">
          <a:schemeClr val="accent3"/>
        </a:fillRef>
        <a:effectRef idx="3">
          <a:schemeClr val="accent3"/>
        </a:effectRef>
        <a:fontRef idx="minor">
          <a:schemeClr val="lt1"/>
        </a:fontRef>
      </xdr:style>
      <xdr:txBody>
        <a:bodyPr vertOverflow="clip" wrap="square" lIns="27432" tIns="22860" rIns="0" bIns="0" anchor="t" upright="1"/>
        <a:lstStyle/>
        <a:p>
          <a:pPr lvl="1" algn="l" rtl="0">
            <a:defRPr sz="1000"/>
          </a:pPr>
          <a:r>
            <a:rPr lang="es-ES" sz="1000" b="1" i="0" strike="noStrike">
              <a:solidFill>
                <a:srgbClr val="000000"/>
              </a:solidFill>
              <a:latin typeface="Arial"/>
              <a:cs typeface="Arial"/>
            </a:rPr>
            <a:t>Estados de Resultados</a:t>
          </a:r>
        </a:p>
      </xdr:txBody>
    </xdr:sp>
    <xdr:clientData fLocksWithSheet="0"/>
  </xdr:twoCellAnchor>
  <xdr:twoCellAnchor>
    <xdr:from>
      <xdr:col>7</xdr:col>
      <xdr:colOff>133350</xdr:colOff>
      <xdr:row>26</xdr:row>
      <xdr:rowOff>123825</xdr:rowOff>
    </xdr:from>
    <xdr:to>
      <xdr:col>11</xdr:col>
      <xdr:colOff>325350</xdr:colOff>
      <xdr:row>28</xdr:row>
      <xdr:rowOff>133350</xdr:rowOff>
    </xdr:to>
    <xdr:sp macro="" textlink="" fLocksText="0">
      <xdr:nvSpPr>
        <xdr:cNvPr id="17433" name="Rectangle 25">
          <a:hlinkClick xmlns:r="http://schemas.openxmlformats.org/officeDocument/2006/relationships" r:id="rId11"/>
          <a:extLst>
            <a:ext uri="{FF2B5EF4-FFF2-40B4-BE49-F238E27FC236}">
              <a16:creationId xmlns:a16="http://schemas.microsoft.com/office/drawing/2014/main" id="{00000000-0008-0000-0100-000019440000}"/>
            </a:ext>
          </a:extLst>
        </xdr:cNvPr>
        <xdr:cNvSpPr>
          <a:spLocks noChangeArrowheads="1"/>
        </xdr:cNvSpPr>
      </xdr:nvSpPr>
      <xdr:spPr bwMode="auto">
        <a:xfrm>
          <a:off x="5086350" y="4391025"/>
          <a:ext cx="3240000" cy="333375"/>
        </a:xfrm>
        <a:prstGeom prst="rect">
          <a:avLst/>
        </a:prstGeom>
        <a:gradFill>
          <a:gsLst>
            <a:gs pos="0">
              <a:srgbClr val="99FF33"/>
            </a:gs>
            <a:gs pos="100000">
              <a:srgbClr val="767647"/>
            </a:gs>
          </a:gsLst>
          <a:lin ang="5400000" scaled="0"/>
        </a:gradFill>
        <a:ln>
          <a:headEnd/>
          <a:tailEnd/>
        </a:ln>
        <a:scene3d>
          <a:camera prst="orthographicFront">
            <a:rot lat="0" lon="0" rev="0"/>
          </a:camera>
          <a:lightRig rig="threePt" dir="t">
            <a:rot lat="0" lon="0" rev="8700000"/>
          </a:lightRig>
        </a:scene3d>
        <a:sp3d>
          <a:bevelT w="190500" h="25400"/>
        </a:sp3d>
      </xdr:spPr>
      <xdr:style>
        <a:lnRef idx="0">
          <a:schemeClr val="accent3"/>
        </a:lnRef>
        <a:fillRef idx="3">
          <a:schemeClr val="accent3"/>
        </a:fillRef>
        <a:effectRef idx="3">
          <a:schemeClr val="accent3"/>
        </a:effectRef>
        <a:fontRef idx="minor">
          <a:schemeClr val="lt1"/>
        </a:fontRef>
      </xdr:style>
      <xdr:txBody>
        <a:bodyPr vertOverflow="clip" wrap="square" lIns="27432" tIns="22860" rIns="0" bIns="0" anchor="t" upright="1"/>
        <a:lstStyle/>
        <a:p>
          <a:pPr lvl="1" algn="l" rtl="0">
            <a:defRPr sz="1000"/>
          </a:pPr>
          <a:r>
            <a:rPr lang="es-ES" sz="1000" b="1" i="0" strike="noStrike">
              <a:solidFill>
                <a:srgbClr val="000000"/>
              </a:solidFill>
              <a:latin typeface="Arial"/>
              <a:cs typeface="Arial"/>
            </a:rPr>
            <a:t>Flujo de Caja</a:t>
          </a:r>
        </a:p>
      </xdr:txBody>
    </xdr:sp>
    <xdr:clientData fLocksWithSheet="0"/>
  </xdr:twoCellAnchor>
  <xdr:twoCellAnchor>
    <xdr:from>
      <xdr:col>7</xdr:col>
      <xdr:colOff>133350</xdr:colOff>
      <xdr:row>13</xdr:row>
      <xdr:rowOff>76200</xdr:rowOff>
    </xdr:from>
    <xdr:to>
      <xdr:col>11</xdr:col>
      <xdr:colOff>325350</xdr:colOff>
      <xdr:row>15</xdr:row>
      <xdr:rowOff>85725</xdr:rowOff>
    </xdr:to>
    <xdr:sp macro="" textlink="" fLocksText="0">
      <xdr:nvSpPr>
        <xdr:cNvPr id="17434" name="Rectangle 26">
          <a:hlinkClick xmlns:r="http://schemas.openxmlformats.org/officeDocument/2006/relationships" r:id="rId12"/>
          <a:extLst>
            <a:ext uri="{FF2B5EF4-FFF2-40B4-BE49-F238E27FC236}">
              <a16:creationId xmlns:a16="http://schemas.microsoft.com/office/drawing/2014/main" id="{00000000-0008-0000-0100-00001A440000}"/>
            </a:ext>
          </a:extLst>
        </xdr:cNvPr>
        <xdr:cNvSpPr>
          <a:spLocks noChangeArrowheads="1"/>
        </xdr:cNvSpPr>
      </xdr:nvSpPr>
      <xdr:spPr bwMode="auto">
        <a:xfrm>
          <a:off x="5086350" y="2238375"/>
          <a:ext cx="3240000" cy="333375"/>
        </a:xfrm>
        <a:prstGeom prst="rect">
          <a:avLst/>
        </a:prstGeom>
        <a:gradFill>
          <a:gsLst>
            <a:gs pos="100000">
              <a:srgbClr val="767647"/>
            </a:gs>
            <a:gs pos="0">
              <a:srgbClr val="99FF33"/>
            </a:gs>
          </a:gsLst>
          <a:lin ang="5400000" scaled="0"/>
        </a:gradFill>
        <a:ln>
          <a:headEnd/>
          <a:tailEnd/>
        </a:ln>
        <a:scene3d>
          <a:camera prst="orthographicFront">
            <a:rot lat="0" lon="0" rev="0"/>
          </a:camera>
          <a:lightRig rig="threePt" dir="t">
            <a:rot lat="0" lon="0" rev="8700000"/>
          </a:lightRig>
        </a:scene3d>
        <a:sp3d>
          <a:bevelT w="190500" h="25400"/>
        </a:sp3d>
      </xdr:spPr>
      <xdr:style>
        <a:lnRef idx="0">
          <a:schemeClr val="accent3"/>
        </a:lnRef>
        <a:fillRef idx="3">
          <a:schemeClr val="accent3"/>
        </a:fillRef>
        <a:effectRef idx="3">
          <a:schemeClr val="accent3"/>
        </a:effectRef>
        <a:fontRef idx="minor">
          <a:schemeClr val="lt1"/>
        </a:fontRef>
      </xdr:style>
      <xdr:txBody>
        <a:bodyPr vertOverflow="clip" wrap="square" lIns="27432" tIns="22860" rIns="0" bIns="0" anchor="t" upright="1"/>
        <a:lstStyle/>
        <a:p>
          <a:pPr lvl="1" algn="l" rtl="0">
            <a:defRPr sz="1000"/>
          </a:pPr>
          <a:r>
            <a:rPr lang="es-ES" sz="1000" b="1" i="0" strike="noStrike">
              <a:solidFill>
                <a:srgbClr val="000000"/>
              </a:solidFill>
              <a:latin typeface="Arial"/>
              <a:cs typeface="Arial"/>
            </a:rPr>
            <a:t>Presupuesto de Compras y Ventas Años</a:t>
          </a:r>
        </a:p>
      </xdr:txBody>
    </xdr:sp>
    <xdr:clientData fLocksWithSheet="0"/>
  </xdr:twoCellAnchor>
  <xdr:twoCellAnchor>
    <xdr:from>
      <xdr:col>7</xdr:col>
      <xdr:colOff>133350</xdr:colOff>
      <xdr:row>29</xdr:row>
      <xdr:rowOff>66675</xdr:rowOff>
    </xdr:from>
    <xdr:to>
      <xdr:col>11</xdr:col>
      <xdr:colOff>325350</xdr:colOff>
      <xdr:row>31</xdr:row>
      <xdr:rowOff>95250</xdr:rowOff>
    </xdr:to>
    <xdr:sp macro="" textlink="" fLocksText="0">
      <xdr:nvSpPr>
        <xdr:cNvPr id="17435" name="Rectangle 27">
          <a:hlinkClick xmlns:r="http://schemas.openxmlformats.org/officeDocument/2006/relationships" r:id="rId13"/>
          <a:extLst>
            <a:ext uri="{FF2B5EF4-FFF2-40B4-BE49-F238E27FC236}">
              <a16:creationId xmlns:a16="http://schemas.microsoft.com/office/drawing/2014/main" id="{00000000-0008-0000-0100-00001B440000}"/>
            </a:ext>
          </a:extLst>
        </xdr:cNvPr>
        <xdr:cNvSpPr>
          <a:spLocks noChangeArrowheads="1"/>
        </xdr:cNvSpPr>
      </xdr:nvSpPr>
      <xdr:spPr bwMode="auto">
        <a:xfrm>
          <a:off x="5086350" y="4819650"/>
          <a:ext cx="3240000" cy="352425"/>
        </a:xfrm>
        <a:prstGeom prst="rect">
          <a:avLst/>
        </a:prstGeom>
        <a:gradFill>
          <a:gsLst>
            <a:gs pos="0">
              <a:srgbClr val="99FF33"/>
            </a:gs>
            <a:gs pos="100000">
              <a:srgbClr val="767647"/>
            </a:gs>
          </a:gsLst>
          <a:lin ang="5400000" scaled="0"/>
        </a:gradFill>
        <a:ln>
          <a:headEnd/>
          <a:tailEnd/>
        </a:ln>
        <a:scene3d>
          <a:camera prst="orthographicFront">
            <a:rot lat="0" lon="0" rev="0"/>
          </a:camera>
          <a:lightRig rig="threePt" dir="t">
            <a:rot lat="0" lon="0" rev="8700000"/>
          </a:lightRig>
        </a:scene3d>
        <a:sp3d>
          <a:bevelT w="190500" h="25400"/>
        </a:sp3d>
      </xdr:spPr>
      <xdr:style>
        <a:lnRef idx="0">
          <a:schemeClr val="accent3"/>
        </a:lnRef>
        <a:fillRef idx="3">
          <a:schemeClr val="accent3"/>
        </a:fillRef>
        <a:effectRef idx="3">
          <a:schemeClr val="accent3"/>
        </a:effectRef>
        <a:fontRef idx="minor">
          <a:schemeClr val="lt1"/>
        </a:fontRef>
      </xdr:style>
      <xdr:txBody>
        <a:bodyPr vertOverflow="clip" wrap="square" lIns="27432" tIns="22860" rIns="0" bIns="0" anchor="t" upright="1"/>
        <a:lstStyle/>
        <a:p>
          <a:pPr lvl="1" algn="l" rtl="0">
            <a:defRPr sz="1000"/>
          </a:pPr>
          <a:r>
            <a:rPr lang="es-ES" sz="1000" b="1" i="0" strike="noStrike">
              <a:solidFill>
                <a:srgbClr val="000000"/>
              </a:solidFill>
              <a:latin typeface="Arial"/>
              <a:cs typeface="Arial"/>
            </a:rPr>
            <a:t>Punto</a:t>
          </a:r>
          <a:r>
            <a:rPr lang="es-ES" sz="1000" b="1" i="0" strike="noStrike" baseline="0">
              <a:solidFill>
                <a:srgbClr val="000000"/>
              </a:solidFill>
              <a:latin typeface="Arial"/>
              <a:cs typeface="Arial"/>
            </a:rPr>
            <a:t> de Equilibrio</a:t>
          </a:r>
          <a:endParaRPr lang="es-ES" sz="1000" b="1" i="0" strike="noStrike">
            <a:solidFill>
              <a:srgbClr val="000000"/>
            </a:solidFill>
            <a:latin typeface="Arial"/>
            <a:cs typeface="Arial"/>
          </a:endParaRPr>
        </a:p>
      </xdr:txBody>
    </xdr:sp>
    <xdr:clientData fLocksWithSheet="0"/>
  </xdr:twoCellAnchor>
  <xdr:twoCellAnchor>
    <xdr:from>
      <xdr:col>4</xdr:col>
      <xdr:colOff>161924</xdr:colOff>
      <xdr:row>6</xdr:row>
      <xdr:rowOff>57150</xdr:rowOff>
    </xdr:from>
    <xdr:to>
      <xdr:col>9</xdr:col>
      <xdr:colOff>161924</xdr:colOff>
      <xdr:row>8</xdr:row>
      <xdr:rowOff>19050</xdr:rowOff>
    </xdr:to>
    <xdr:sp macro="" textlink="">
      <xdr:nvSpPr>
        <xdr:cNvPr id="19" name="18 Rectángulo redondeado">
          <a:extLst>
            <a:ext uri="{FF2B5EF4-FFF2-40B4-BE49-F238E27FC236}">
              <a16:creationId xmlns:a16="http://schemas.microsoft.com/office/drawing/2014/main" id="{00000000-0008-0000-0100-000013000000}"/>
            </a:ext>
          </a:extLst>
        </xdr:cNvPr>
        <xdr:cNvSpPr/>
      </xdr:nvSpPr>
      <xdr:spPr bwMode="auto">
        <a:xfrm>
          <a:off x="3209924" y="1047750"/>
          <a:ext cx="3429000" cy="285750"/>
        </a:xfrm>
        <a:prstGeom prst="roundRect">
          <a:avLst/>
        </a:prstGeom>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txBody>
        <a:bodyPr vertOverflow="clip" wrap="square" lIns="18288" tIns="0" rIns="0" bIns="0" rtlCol="0" anchor="ctr" upright="1"/>
        <a:lstStyle/>
        <a:p>
          <a:pPr algn="ctr"/>
          <a:r>
            <a:rPr lang="es-CO" sz="1100" b="1"/>
            <a:t>PROGRAMA : EMPRENDIMIENTO</a:t>
          </a:r>
        </a:p>
      </xdr:txBody>
    </xdr:sp>
    <xdr:clientData/>
  </xdr:twoCellAnchor>
  <xdr:twoCellAnchor editAs="oneCell">
    <xdr:from>
      <xdr:col>1</xdr:col>
      <xdr:colOff>752475</xdr:colOff>
      <xdr:row>2</xdr:row>
      <xdr:rowOff>0</xdr:rowOff>
    </xdr:from>
    <xdr:to>
      <xdr:col>3</xdr:col>
      <xdr:colOff>19050</xdr:colOff>
      <xdr:row>6</xdr:row>
      <xdr:rowOff>76200</xdr:rowOff>
    </xdr:to>
    <xdr:pic>
      <xdr:nvPicPr>
        <xdr:cNvPr id="5" name="4 Imagen">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514475" y="342900"/>
          <a:ext cx="790575" cy="723900"/>
        </a:xfrm>
        <a:prstGeom prst="rect">
          <a:avLst/>
        </a:prstGeom>
        <a:effectLst>
          <a:outerShdw blurRad="152400" dist="254000" dir="8400000" algn="ctr" rotWithShape="0">
            <a:srgbClr val="000000">
              <a:alpha val="28000"/>
            </a:srgbClr>
          </a:outerShdw>
        </a:effectLst>
      </xdr:spPr>
    </xdr:pic>
    <xdr:clientData/>
  </xdr:twoCellAnchor>
  <xdr:twoCellAnchor editAs="oneCell">
    <xdr:from>
      <xdr:col>2</xdr:col>
      <xdr:colOff>524250</xdr:colOff>
      <xdr:row>10</xdr:row>
      <xdr:rowOff>123825</xdr:rowOff>
    </xdr:from>
    <xdr:to>
      <xdr:col>4</xdr:col>
      <xdr:colOff>620250</xdr:colOff>
      <xdr:row>12</xdr:row>
      <xdr:rowOff>133350</xdr:rowOff>
    </xdr:to>
    <xdr:sp macro="" textlink="">
      <xdr:nvSpPr>
        <xdr:cNvPr id="24" name="Rectangle 8">
          <a:extLst>
            <a:ext uri="{FF2B5EF4-FFF2-40B4-BE49-F238E27FC236}">
              <a16:creationId xmlns:a16="http://schemas.microsoft.com/office/drawing/2014/main" id="{00000000-0008-0000-0100-000018000000}"/>
            </a:ext>
          </a:extLst>
        </xdr:cNvPr>
        <xdr:cNvSpPr>
          <a:spLocks noChangeArrowheads="1"/>
        </xdr:cNvSpPr>
      </xdr:nvSpPr>
      <xdr:spPr bwMode="auto">
        <a:xfrm>
          <a:off x="2048250" y="1800225"/>
          <a:ext cx="1620000" cy="333375"/>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vertOverflow="clip" wrap="square" lIns="27432" tIns="22860" rIns="0" bIns="0" anchor="t" upright="1"/>
        <a:lstStyle/>
        <a:p>
          <a:pPr algn="ctr" rtl="0">
            <a:defRPr sz="1000"/>
          </a:pPr>
          <a:r>
            <a:rPr lang="es-ES" sz="1000" b="1" i="0" strike="noStrike">
              <a:solidFill>
                <a:srgbClr val="003300"/>
              </a:solidFill>
              <a:latin typeface="Arial"/>
              <a:cs typeface="Arial"/>
            </a:rPr>
            <a:t>DATOS DE ENTRADA</a:t>
          </a:r>
        </a:p>
      </xdr:txBody>
    </xdr:sp>
    <xdr:clientData/>
  </xdr:twoCellAnchor>
  <xdr:twoCellAnchor>
    <xdr:from>
      <xdr:col>8</xdr:col>
      <xdr:colOff>181350</xdr:colOff>
      <xdr:row>10</xdr:row>
      <xdr:rowOff>123825</xdr:rowOff>
    </xdr:from>
    <xdr:to>
      <xdr:col>10</xdr:col>
      <xdr:colOff>277350</xdr:colOff>
      <xdr:row>12</xdr:row>
      <xdr:rowOff>133350</xdr:rowOff>
    </xdr:to>
    <xdr:sp macro="" textlink="">
      <xdr:nvSpPr>
        <xdr:cNvPr id="25" name="Rectangle 26">
          <a:extLst>
            <a:ext uri="{FF2B5EF4-FFF2-40B4-BE49-F238E27FC236}">
              <a16:creationId xmlns:a16="http://schemas.microsoft.com/office/drawing/2014/main" id="{00000000-0008-0000-0100-000019000000}"/>
            </a:ext>
          </a:extLst>
        </xdr:cNvPr>
        <xdr:cNvSpPr>
          <a:spLocks noChangeArrowheads="1"/>
        </xdr:cNvSpPr>
      </xdr:nvSpPr>
      <xdr:spPr bwMode="auto">
        <a:xfrm>
          <a:off x="5896350" y="1800225"/>
          <a:ext cx="1620000" cy="333375"/>
        </a:xfrm>
        <a:prstGeom prst="rect">
          <a:avLst/>
        </a:prstGeom>
        <a:gradFill>
          <a:gsLst>
            <a:gs pos="100000">
              <a:srgbClr val="767647"/>
            </a:gs>
            <a:gs pos="0">
              <a:srgbClr val="99FF33"/>
            </a:gs>
          </a:gsLst>
          <a:lin ang="5400000" scaled="0"/>
        </a:gradFill>
        <a:ln>
          <a:headEnd/>
          <a:tailEnd/>
        </a:ln>
        <a:scene3d>
          <a:camera prst="orthographicFront">
            <a:rot lat="0" lon="0" rev="0"/>
          </a:camera>
          <a:lightRig rig="threePt" dir="t">
            <a:rot lat="0" lon="0" rev="8700000"/>
          </a:lightRig>
        </a:scene3d>
        <a:sp3d>
          <a:bevelT w="190500" h="25400"/>
        </a:sp3d>
      </xdr:spPr>
      <xdr:style>
        <a:lnRef idx="0">
          <a:schemeClr val="accent3"/>
        </a:lnRef>
        <a:fillRef idx="3">
          <a:schemeClr val="accent3"/>
        </a:fillRef>
        <a:effectRef idx="3">
          <a:schemeClr val="accent3"/>
        </a:effectRef>
        <a:fontRef idx="minor">
          <a:schemeClr val="lt1"/>
        </a:fontRef>
      </xdr:style>
      <xdr:txBody>
        <a:bodyPr vertOverflow="clip" wrap="square" lIns="27432" tIns="22860" rIns="0" bIns="0" anchor="t" upright="1"/>
        <a:lstStyle/>
        <a:p>
          <a:pPr algn="ctr" rtl="0">
            <a:defRPr sz="1000"/>
          </a:pPr>
          <a:r>
            <a:rPr lang="es-ES" sz="1000" b="1" i="0" strike="noStrike">
              <a:solidFill>
                <a:srgbClr val="000000"/>
              </a:solidFill>
              <a:latin typeface="Arial"/>
              <a:cs typeface="Arial"/>
            </a:rPr>
            <a:t>DATOS</a:t>
          </a:r>
          <a:r>
            <a:rPr lang="es-ES" sz="1000" b="1" i="0" strike="noStrike" baseline="0">
              <a:solidFill>
                <a:srgbClr val="000000"/>
              </a:solidFill>
              <a:latin typeface="Arial"/>
              <a:cs typeface="Arial"/>
            </a:rPr>
            <a:t> DE SALIDA</a:t>
          </a:r>
          <a:endParaRPr lang="es-ES" sz="1000" b="1" i="0" strike="noStrike">
            <a:solidFill>
              <a:srgbClr val="000000"/>
            </a:solidFill>
            <a:latin typeface="Arial"/>
            <a:cs typeface="Arial"/>
          </a:endParaRPr>
        </a:p>
      </xdr:txBody>
    </xdr:sp>
    <xdr:clientData/>
  </xdr:twoCellAnchor>
  <xdr:twoCellAnchor editAs="oneCell">
    <xdr:from>
      <xdr:col>1</xdr:col>
      <xdr:colOff>733425</xdr:colOff>
      <xdr:row>8</xdr:row>
      <xdr:rowOff>57150</xdr:rowOff>
    </xdr:from>
    <xdr:to>
      <xdr:col>11</xdr:col>
      <xdr:colOff>76200</xdr:colOff>
      <xdr:row>10</xdr:row>
      <xdr:rowOff>28575</xdr:rowOff>
    </xdr:to>
    <xdr:sp macro="" textlink="">
      <xdr:nvSpPr>
        <xdr:cNvPr id="26" name="Rectangle 8">
          <a:extLst>
            <a:ext uri="{FF2B5EF4-FFF2-40B4-BE49-F238E27FC236}">
              <a16:creationId xmlns:a16="http://schemas.microsoft.com/office/drawing/2014/main" id="{00000000-0008-0000-0100-00001A000000}"/>
            </a:ext>
          </a:extLst>
        </xdr:cNvPr>
        <xdr:cNvSpPr>
          <a:spLocks noChangeArrowheads="1"/>
        </xdr:cNvSpPr>
      </xdr:nvSpPr>
      <xdr:spPr bwMode="auto">
        <a:xfrm>
          <a:off x="1495425" y="1371600"/>
          <a:ext cx="6581775" cy="333375"/>
        </a:xfrm>
        <a:prstGeom prst="rect">
          <a:avLst/>
        </a:prstGeom>
        <a:gradFill rotWithShape="1">
          <a:gsLst>
            <a:gs pos="0">
              <a:srgbClr val="FF9900"/>
            </a:gs>
            <a:gs pos="100000">
              <a:srgbClr val="FFFF99">
                <a:gamma/>
                <a:shade val="46275"/>
                <a:invGamma/>
              </a:srgbClr>
            </a:gs>
          </a:gsLst>
          <a:lin ang="5400000" scaled="1"/>
        </a:gradFill>
        <a:ln w="9525">
          <a:noFill/>
          <a:miter lim="800000"/>
          <a:headEnd/>
          <a:tailEn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vertOverflow="clip" wrap="square" lIns="27432" tIns="22860" rIns="0" bIns="0" anchor="t" upright="1"/>
        <a:lstStyle/>
        <a:p>
          <a:pPr algn="ctr" rtl="0">
            <a:defRPr sz="1000"/>
          </a:pPr>
          <a:r>
            <a:rPr lang="es-ES" sz="1000" b="1" i="0" strike="noStrike">
              <a:solidFill>
                <a:srgbClr val="003300"/>
              </a:solidFill>
              <a:latin typeface="Arial"/>
              <a:cs typeface="Arial"/>
            </a:rPr>
            <a:t>MENU PRINCIPAL</a:t>
          </a:r>
        </a:p>
      </xdr:txBody>
    </xdr:sp>
    <xdr:clientData/>
  </xdr:twoCellAnchor>
  <xdr:twoCellAnchor>
    <xdr:from>
      <xdr:col>3</xdr:col>
      <xdr:colOff>171450</xdr:colOff>
      <xdr:row>2</xdr:row>
      <xdr:rowOff>66673</xdr:rowOff>
    </xdr:from>
    <xdr:to>
      <xdr:col>11</xdr:col>
      <xdr:colOff>76199</xdr:colOff>
      <xdr:row>6</xdr:row>
      <xdr:rowOff>19050</xdr:rowOff>
    </xdr:to>
    <xdr:sp macro="" textlink="">
      <xdr:nvSpPr>
        <xdr:cNvPr id="2" name="1 CuadroTexto">
          <a:extLst>
            <a:ext uri="{FF2B5EF4-FFF2-40B4-BE49-F238E27FC236}">
              <a16:creationId xmlns:a16="http://schemas.microsoft.com/office/drawing/2014/main" id="{00000000-0008-0000-0100-000002000000}"/>
            </a:ext>
          </a:extLst>
        </xdr:cNvPr>
        <xdr:cNvSpPr txBox="1"/>
      </xdr:nvSpPr>
      <xdr:spPr>
        <a:xfrm>
          <a:off x="2457450" y="409573"/>
          <a:ext cx="5619749" cy="600077"/>
        </a:xfrm>
        <a:prstGeom prst="rect">
          <a:avLst/>
        </a:prstGeom>
        <a:gradFill flip="none" rotWithShape="1">
          <a:gsLst>
            <a:gs pos="0">
              <a:srgbClr val="D8DAAD"/>
            </a:gs>
            <a:gs pos="100000">
              <a:schemeClr val="accent1">
                <a:tint val="23500"/>
                <a:satMod val="160000"/>
              </a:schemeClr>
            </a:gs>
          </a:gsLst>
          <a:lin ang="2700000" scaled="1"/>
          <a:tileRect/>
        </a:gradFill>
        <a:ln w="9525" cap="flat" cmpd="sng">
          <a:solidFill>
            <a:schemeClr val="lt1">
              <a:shade val="50000"/>
            </a:schemeClr>
          </a:solidFill>
          <a:bevel/>
        </a:ln>
        <a:effectLst>
          <a:outerShdw blurRad="152400" dist="254000" dir="8400000" algn="ctr" rotWithShape="0">
            <a:schemeClr val="tx1">
              <a:alpha val="28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600" b="1">
              <a:solidFill>
                <a:schemeClr val="dk1"/>
              </a:solidFill>
              <a:effectLst/>
              <a:latin typeface="+mn-lt"/>
              <a:ea typeface="+mn-ea"/>
              <a:cs typeface="+mn-cs"/>
            </a:rPr>
            <a:t>PLATAFORMA FORMULACIÓN PLAN DE NEGOCIO OTRAS FUENTES DE FINANCIACIÓN</a:t>
          </a:r>
        </a:p>
      </xdr:txBody>
    </xdr:sp>
    <xdr:clientData/>
  </xdr:twoCellAnchor>
  <xdr:twoCellAnchor>
    <xdr:from>
      <xdr:col>7</xdr:col>
      <xdr:colOff>133350</xdr:colOff>
      <xdr:row>32</xdr:row>
      <xdr:rowOff>19050</xdr:rowOff>
    </xdr:from>
    <xdr:to>
      <xdr:col>11</xdr:col>
      <xdr:colOff>325350</xdr:colOff>
      <xdr:row>34</xdr:row>
      <xdr:rowOff>47625</xdr:rowOff>
    </xdr:to>
    <xdr:sp macro="" textlink="" fLocksText="0">
      <xdr:nvSpPr>
        <xdr:cNvPr id="22" name="Rectangle 27">
          <a:hlinkClick xmlns:r="http://schemas.openxmlformats.org/officeDocument/2006/relationships" r:id="rId15"/>
          <a:extLst>
            <a:ext uri="{FF2B5EF4-FFF2-40B4-BE49-F238E27FC236}">
              <a16:creationId xmlns:a16="http://schemas.microsoft.com/office/drawing/2014/main" id="{00000000-0008-0000-0100-000016000000}"/>
            </a:ext>
          </a:extLst>
        </xdr:cNvPr>
        <xdr:cNvSpPr>
          <a:spLocks noChangeArrowheads="1"/>
        </xdr:cNvSpPr>
      </xdr:nvSpPr>
      <xdr:spPr bwMode="auto">
        <a:xfrm>
          <a:off x="5086350" y="5257800"/>
          <a:ext cx="3240000" cy="352425"/>
        </a:xfrm>
        <a:prstGeom prst="rect">
          <a:avLst/>
        </a:prstGeom>
        <a:gradFill>
          <a:gsLst>
            <a:gs pos="0">
              <a:srgbClr val="99FF33"/>
            </a:gs>
            <a:gs pos="100000">
              <a:srgbClr val="767647"/>
            </a:gs>
          </a:gsLst>
          <a:lin ang="5400000" scaled="0"/>
        </a:gradFill>
        <a:ln>
          <a:headEnd/>
          <a:tailEnd/>
        </a:ln>
        <a:scene3d>
          <a:camera prst="orthographicFront">
            <a:rot lat="0" lon="0" rev="0"/>
          </a:camera>
          <a:lightRig rig="threePt" dir="t">
            <a:rot lat="0" lon="0" rev="8700000"/>
          </a:lightRig>
        </a:scene3d>
        <a:sp3d>
          <a:bevelT w="190500" h="25400"/>
        </a:sp3d>
      </xdr:spPr>
      <xdr:style>
        <a:lnRef idx="0">
          <a:schemeClr val="accent3"/>
        </a:lnRef>
        <a:fillRef idx="3">
          <a:schemeClr val="accent3"/>
        </a:fillRef>
        <a:effectRef idx="3">
          <a:schemeClr val="accent3"/>
        </a:effectRef>
        <a:fontRef idx="minor">
          <a:schemeClr val="lt1"/>
        </a:fontRef>
      </xdr:style>
      <xdr:txBody>
        <a:bodyPr vertOverflow="clip" wrap="square" lIns="27432" tIns="22860" rIns="0" bIns="0" anchor="t" upright="1"/>
        <a:lstStyle/>
        <a:p>
          <a:pPr lvl="1" algn="l" rtl="0">
            <a:defRPr sz="1000"/>
          </a:pPr>
          <a:r>
            <a:rPr lang="es-ES" sz="1000" b="1" i="0" strike="noStrike">
              <a:solidFill>
                <a:srgbClr val="000000"/>
              </a:solidFill>
              <a:latin typeface="Arial"/>
              <a:cs typeface="Arial"/>
            </a:rPr>
            <a:t>Indicadores Financieros</a:t>
          </a:r>
        </a:p>
      </xdr:txBody>
    </xdr:sp>
    <xdr:clientData fLocksWithSheet="0"/>
  </xdr:twoCellAnchor>
  <xdr:twoCellAnchor>
    <xdr:from>
      <xdr:col>10</xdr:col>
      <xdr:colOff>400050</xdr:colOff>
      <xdr:row>6</xdr:row>
      <xdr:rowOff>57150</xdr:rowOff>
    </xdr:from>
    <xdr:to>
      <xdr:col>11</xdr:col>
      <xdr:colOff>57150</xdr:colOff>
      <xdr:row>8</xdr:row>
      <xdr:rowOff>19050</xdr:rowOff>
    </xdr:to>
    <xdr:sp macro="" textlink="">
      <xdr:nvSpPr>
        <xdr:cNvPr id="23" name="18 Rectángulo redondeado">
          <a:extLst>
            <a:ext uri="{FF2B5EF4-FFF2-40B4-BE49-F238E27FC236}">
              <a16:creationId xmlns:a16="http://schemas.microsoft.com/office/drawing/2014/main" id="{00000000-0008-0000-0100-000017000000}"/>
            </a:ext>
          </a:extLst>
        </xdr:cNvPr>
        <xdr:cNvSpPr/>
      </xdr:nvSpPr>
      <xdr:spPr bwMode="auto">
        <a:xfrm>
          <a:off x="7639050" y="1047750"/>
          <a:ext cx="419100" cy="285750"/>
        </a:xfrm>
        <a:prstGeom prst="roundRect">
          <a:avLst/>
        </a:prstGeom>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txBody>
        <a:bodyPr vertOverflow="clip" wrap="square" lIns="18288" tIns="0" rIns="0" bIns="0" rtlCol="0" anchor="ctr" upright="1"/>
        <a:lstStyle/>
        <a:p>
          <a:pPr algn="ctr"/>
          <a:r>
            <a:rPr lang="es-CO" sz="800" b="1"/>
            <a:t>v1.4</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63500</xdr:colOff>
      <xdr:row>48</xdr:row>
      <xdr:rowOff>79400</xdr:rowOff>
    </xdr:from>
    <xdr:to>
      <xdr:col>14</xdr:col>
      <xdr:colOff>0</xdr:colOff>
      <xdr:row>757</xdr:row>
      <xdr:rowOff>31747</xdr:rowOff>
    </xdr:to>
    <xdr:sp macro="" textlink="">
      <xdr:nvSpPr>
        <xdr:cNvPr id="4121" name="AutoShape 25">
          <a:hlinkClick xmlns:r="http://schemas.openxmlformats.org/officeDocument/2006/relationships" r:id="rId1"/>
          <a:extLst>
            <a:ext uri="{FF2B5EF4-FFF2-40B4-BE49-F238E27FC236}">
              <a16:creationId xmlns:a16="http://schemas.microsoft.com/office/drawing/2014/main" id="{00000000-0008-0000-0200-000019100000}"/>
            </a:ext>
          </a:extLst>
        </xdr:cNvPr>
        <xdr:cNvSpPr>
          <a:spLocks noChangeArrowheads="1"/>
        </xdr:cNvSpPr>
      </xdr:nvSpPr>
      <xdr:spPr bwMode="auto">
        <a:xfrm>
          <a:off x="13176250" y="6556400"/>
          <a:ext cx="698500" cy="375680"/>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anchorCtr="0" upright="1"/>
        <a:lstStyle/>
        <a:p>
          <a:pPr algn="ctr" rtl="0">
            <a:defRPr sz="1000"/>
          </a:pPr>
          <a:r>
            <a:rPr lang="es-ES" sz="900" b="1" i="0" strike="noStrike">
              <a:solidFill>
                <a:srgbClr val="003300"/>
              </a:solidFill>
              <a:latin typeface="Arial"/>
              <a:cs typeface="Arial"/>
            </a:rPr>
            <a:t>Subir</a:t>
          </a:r>
        </a:p>
      </xdr:txBody>
    </xdr:sp>
    <xdr:clientData/>
  </xdr:twoCellAnchor>
  <xdr:twoCellAnchor editAs="oneCell">
    <xdr:from>
      <xdr:col>13</xdr:col>
      <xdr:colOff>47625</xdr:colOff>
      <xdr:row>0</xdr:row>
      <xdr:rowOff>38081</xdr:rowOff>
    </xdr:from>
    <xdr:to>
      <xdr:col>14</xdr:col>
      <xdr:colOff>0</xdr:colOff>
      <xdr:row>4</xdr:row>
      <xdr:rowOff>197165</xdr:rowOff>
    </xdr:to>
    <xdr:pic>
      <xdr:nvPicPr>
        <xdr:cNvPr id="2" name="1 Imagen">
          <a:hlinkClick xmlns:r="http://schemas.openxmlformats.org/officeDocument/2006/relationships" r:id="rId2"/>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043958" y="38081"/>
          <a:ext cx="720000" cy="709417"/>
        </a:xfrm>
        <a:prstGeom prst="rect">
          <a:avLst/>
        </a:prstGeom>
      </xdr:spPr>
    </xdr:pic>
    <xdr:clientData/>
  </xdr:twoCellAnchor>
  <xdr:twoCellAnchor editAs="oneCell">
    <xdr:from>
      <xdr:col>13</xdr:col>
      <xdr:colOff>114300</xdr:colOff>
      <xdr:row>4</xdr:row>
      <xdr:rowOff>115339</xdr:rowOff>
    </xdr:from>
    <xdr:to>
      <xdr:col>13</xdr:col>
      <xdr:colOff>685800</xdr:colOff>
      <xdr:row>6</xdr:row>
      <xdr:rowOff>58188</xdr:rowOff>
    </xdr:to>
    <xdr:sp macro="" textlink="">
      <xdr:nvSpPr>
        <xdr:cNvPr id="3" name="2 CuadroTexto">
          <a:extLst>
            <a:ext uri="{FF2B5EF4-FFF2-40B4-BE49-F238E27FC236}">
              <a16:creationId xmlns:a16="http://schemas.microsoft.com/office/drawing/2014/main" id="{00000000-0008-0000-0200-000003000000}"/>
            </a:ext>
          </a:extLst>
        </xdr:cNvPr>
        <xdr:cNvSpPr txBox="1"/>
      </xdr:nvSpPr>
      <xdr:spPr>
        <a:xfrm>
          <a:off x="13110633" y="665672"/>
          <a:ext cx="571500" cy="2074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mc:AlternateContent xmlns:mc="http://schemas.openxmlformats.org/markup-compatibility/2006">
    <mc:Choice xmlns:a14="http://schemas.microsoft.com/office/drawing/2010/main" Requires="a14">
      <xdr:twoCellAnchor editAs="oneCell">
        <xdr:from>
          <xdr:col>13</xdr:col>
          <xdr:colOff>85725</xdr:colOff>
          <xdr:row>7</xdr:row>
          <xdr:rowOff>47625</xdr:rowOff>
        </xdr:from>
        <xdr:to>
          <xdr:col>13</xdr:col>
          <xdr:colOff>676275</xdr:colOff>
          <xdr:row>12</xdr:row>
          <xdr:rowOff>161925</xdr:rowOff>
        </xdr:to>
        <xdr:sp macro="" textlink="">
          <xdr:nvSpPr>
            <xdr:cNvPr id="9249" name="CommandButton1" hidden="1">
              <a:extLst>
                <a:ext uri="{63B3BB69-23CF-44E3-9099-C40C66FF867C}">
                  <a14:compatExt spid="_x0000_s9249"/>
                </a:ext>
                <a:ext uri="{FF2B5EF4-FFF2-40B4-BE49-F238E27FC236}">
                  <a16:creationId xmlns:a16="http://schemas.microsoft.com/office/drawing/2014/main" id="{00000000-0008-0000-0200-000021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twoCellAnchor>
    <xdr:from>
      <xdr:col>7</xdr:col>
      <xdr:colOff>1502834</xdr:colOff>
      <xdr:row>48</xdr:row>
      <xdr:rowOff>42336</xdr:rowOff>
    </xdr:from>
    <xdr:to>
      <xdr:col>8</xdr:col>
      <xdr:colOff>677334</xdr:colOff>
      <xdr:row>757</xdr:row>
      <xdr:rowOff>47635</xdr:rowOff>
    </xdr:to>
    <xdr:sp macro="" textlink="">
      <xdr:nvSpPr>
        <xdr:cNvPr id="6" name="AutoShape 25">
          <a:hlinkClick xmlns:r="http://schemas.openxmlformats.org/officeDocument/2006/relationships" r:id="rId4"/>
          <a:extLst>
            <a:ext uri="{FF2B5EF4-FFF2-40B4-BE49-F238E27FC236}">
              <a16:creationId xmlns:a16="http://schemas.microsoft.com/office/drawing/2014/main" id="{00000000-0008-0000-0200-000006000000}"/>
            </a:ext>
          </a:extLst>
        </xdr:cNvPr>
        <xdr:cNvSpPr>
          <a:spLocks noChangeArrowheads="1"/>
        </xdr:cNvSpPr>
      </xdr:nvSpPr>
      <xdr:spPr bwMode="auto">
        <a:xfrm>
          <a:off x="8233834" y="6529919"/>
          <a:ext cx="698500" cy="428633"/>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anchorCtr="0" upright="1"/>
        <a:lstStyle/>
        <a:p>
          <a:pPr algn="ctr" rtl="0">
            <a:defRPr sz="1000"/>
          </a:pPr>
          <a:r>
            <a:rPr lang="es-ES" sz="900" b="1" i="0" strike="noStrike">
              <a:solidFill>
                <a:srgbClr val="003300"/>
              </a:solidFill>
              <a:latin typeface="Arial"/>
              <a:cs typeface="Arial"/>
            </a:rPr>
            <a:t>Perfil</a:t>
          </a:r>
        </a:p>
        <a:p>
          <a:pPr algn="ctr" rtl="0">
            <a:defRPr sz="1000"/>
          </a:pPr>
          <a:r>
            <a:rPr lang="es-ES" sz="900" b="1" i="0" strike="noStrike">
              <a:solidFill>
                <a:srgbClr val="003300"/>
              </a:solidFill>
              <a:latin typeface="Arial"/>
              <a:cs typeface="Arial"/>
            </a:rPr>
            <a:t>Crediticio</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63500</xdr:colOff>
      <xdr:row>66</xdr:row>
      <xdr:rowOff>0</xdr:rowOff>
    </xdr:from>
    <xdr:to>
      <xdr:col>14</xdr:col>
      <xdr:colOff>68791</xdr:colOff>
      <xdr:row>68</xdr:row>
      <xdr:rowOff>137613</xdr:rowOff>
    </xdr:to>
    <xdr:sp macro="" textlink="">
      <xdr:nvSpPr>
        <xdr:cNvPr id="2" name="AutoShape 25">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13179425" y="12344429"/>
          <a:ext cx="698500" cy="385234"/>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anchorCtr="0" upright="1"/>
        <a:lstStyle/>
        <a:p>
          <a:pPr algn="ctr" rtl="0">
            <a:defRPr sz="1000"/>
          </a:pPr>
          <a:r>
            <a:rPr lang="es-ES" sz="900" b="1" i="0" strike="noStrike">
              <a:solidFill>
                <a:srgbClr val="003300"/>
              </a:solidFill>
              <a:latin typeface="Arial"/>
              <a:cs typeface="Arial"/>
            </a:rPr>
            <a:t>Subir</a:t>
          </a:r>
        </a:p>
      </xdr:txBody>
    </xdr:sp>
    <xdr:clientData/>
  </xdr:twoCellAnchor>
  <xdr:twoCellAnchor editAs="oneCell">
    <xdr:from>
      <xdr:col>13</xdr:col>
      <xdr:colOff>47625</xdr:colOff>
      <xdr:row>0</xdr:row>
      <xdr:rowOff>38081</xdr:rowOff>
    </xdr:from>
    <xdr:to>
      <xdr:col>14</xdr:col>
      <xdr:colOff>0</xdr:colOff>
      <xdr:row>6</xdr:row>
      <xdr:rowOff>70165</xdr:rowOff>
    </xdr:to>
    <xdr:pic>
      <xdr:nvPicPr>
        <xdr:cNvPr id="3" name="1 Imagen">
          <a:hlinkClick xmlns:r="http://schemas.openxmlformats.org/officeDocument/2006/relationships" r:id="rId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163550" y="38081"/>
          <a:ext cx="714375" cy="711534"/>
        </a:xfrm>
        <a:prstGeom prst="rect">
          <a:avLst/>
        </a:prstGeom>
      </xdr:spPr>
    </xdr:pic>
    <xdr:clientData/>
  </xdr:twoCellAnchor>
  <xdr:twoCellAnchor editAs="oneCell">
    <xdr:from>
      <xdr:col>13</xdr:col>
      <xdr:colOff>114300</xdr:colOff>
      <xdr:row>4</xdr:row>
      <xdr:rowOff>115339</xdr:rowOff>
    </xdr:from>
    <xdr:to>
      <xdr:col>13</xdr:col>
      <xdr:colOff>685800</xdr:colOff>
      <xdr:row>6</xdr:row>
      <xdr:rowOff>128037</xdr:rowOff>
    </xdr:to>
    <xdr:sp macro="" textlink="">
      <xdr:nvSpPr>
        <xdr:cNvPr id="4" name="2 CuadroTexto">
          <a:extLst>
            <a:ext uri="{FF2B5EF4-FFF2-40B4-BE49-F238E27FC236}">
              <a16:creationId xmlns:a16="http://schemas.microsoft.com/office/drawing/2014/main" id="{00000000-0008-0000-0300-000004000000}"/>
            </a:ext>
          </a:extLst>
        </xdr:cNvPr>
        <xdr:cNvSpPr txBox="1"/>
      </xdr:nvSpPr>
      <xdr:spPr>
        <a:xfrm>
          <a:off x="13230225" y="667789"/>
          <a:ext cx="571500" cy="2095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mc:AlternateContent xmlns:mc="http://schemas.openxmlformats.org/markup-compatibility/2006">
    <mc:Choice xmlns:a14="http://schemas.microsoft.com/office/drawing/2010/main" Requires="a14">
      <xdr:twoCellAnchor editAs="oneCell">
        <xdr:from>
          <xdr:col>13</xdr:col>
          <xdr:colOff>85725</xdr:colOff>
          <xdr:row>8</xdr:row>
          <xdr:rowOff>47625</xdr:rowOff>
        </xdr:from>
        <xdr:to>
          <xdr:col>13</xdr:col>
          <xdr:colOff>676275</xdr:colOff>
          <xdr:row>12</xdr:row>
          <xdr:rowOff>228600</xdr:rowOff>
        </xdr:to>
        <xdr:sp macro="" textlink="">
          <xdr:nvSpPr>
            <xdr:cNvPr id="27652" name="CommandButton1" hidden="1">
              <a:extLst>
                <a:ext uri="{63B3BB69-23CF-44E3-9099-C40C66FF867C}">
                  <a14:compatExt spid="_x0000_s27652"/>
                </a:ext>
                <a:ext uri="{FF2B5EF4-FFF2-40B4-BE49-F238E27FC236}">
                  <a16:creationId xmlns:a16="http://schemas.microsoft.com/office/drawing/2014/main" id="{00000000-0008-0000-0300-0000046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6</xdr:col>
      <xdr:colOff>371475</xdr:colOff>
      <xdr:row>13</xdr:row>
      <xdr:rowOff>31749</xdr:rowOff>
    </xdr:from>
    <xdr:to>
      <xdr:col>9</xdr:col>
      <xdr:colOff>774225</xdr:colOff>
      <xdr:row>13</xdr:row>
      <xdr:rowOff>308949</xdr:rowOff>
    </xdr:to>
    <xdr:sp macro="" textlink="">
      <xdr:nvSpPr>
        <xdr:cNvPr id="5124" name="Rectangle 4">
          <a:hlinkClick xmlns:r="http://schemas.openxmlformats.org/officeDocument/2006/relationships" r:id="rId1"/>
          <a:extLst>
            <a:ext uri="{FF2B5EF4-FFF2-40B4-BE49-F238E27FC236}">
              <a16:creationId xmlns:a16="http://schemas.microsoft.com/office/drawing/2014/main" id="{00000000-0008-0000-0400-000004140000}"/>
            </a:ext>
          </a:extLst>
        </xdr:cNvPr>
        <xdr:cNvSpPr>
          <a:spLocks noChangeArrowheads="1"/>
        </xdr:cNvSpPr>
      </xdr:nvSpPr>
      <xdr:spPr bwMode="auto">
        <a:xfrm>
          <a:off x="5667375" y="1574799"/>
          <a:ext cx="3546000" cy="277200"/>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CAPACIDAD MANO DE OBRA INSTALADA</a:t>
          </a:r>
        </a:p>
        <a:p>
          <a:pPr algn="l" rtl="0">
            <a:defRPr sz="1000"/>
          </a:pPr>
          <a:endParaRPr lang="es-ES" sz="1000" b="1" i="0" strike="noStrike">
            <a:solidFill>
              <a:srgbClr val="003300"/>
            </a:solidFill>
            <a:latin typeface="Arial"/>
            <a:cs typeface="Arial"/>
          </a:endParaRPr>
        </a:p>
        <a:p>
          <a:pPr algn="l" rtl="0">
            <a:defRPr sz="1000"/>
          </a:pPr>
          <a:endParaRPr lang="es-ES" sz="1000" b="1" i="0" strike="noStrike">
            <a:solidFill>
              <a:srgbClr val="003300"/>
            </a:solidFill>
            <a:latin typeface="Arial"/>
            <a:cs typeface="Arial"/>
          </a:endParaRPr>
        </a:p>
      </xdr:txBody>
    </xdr:sp>
    <xdr:clientData/>
  </xdr:twoCellAnchor>
  <xdr:twoCellAnchor>
    <xdr:from>
      <xdr:col>6</xdr:col>
      <xdr:colOff>370232</xdr:colOff>
      <xdr:row>13</xdr:row>
      <xdr:rowOff>434974</xdr:rowOff>
    </xdr:from>
    <xdr:to>
      <xdr:col>9</xdr:col>
      <xdr:colOff>772982</xdr:colOff>
      <xdr:row>14</xdr:row>
      <xdr:rowOff>150199</xdr:rowOff>
    </xdr:to>
    <xdr:sp macro="" textlink="">
      <xdr:nvSpPr>
        <xdr:cNvPr id="5125" name="Rectangle 5">
          <a:hlinkClick xmlns:r="http://schemas.openxmlformats.org/officeDocument/2006/relationships" r:id="rId2"/>
          <a:extLst>
            <a:ext uri="{FF2B5EF4-FFF2-40B4-BE49-F238E27FC236}">
              <a16:creationId xmlns:a16="http://schemas.microsoft.com/office/drawing/2014/main" id="{00000000-0008-0000-0400-000005140000}"/>
            </a:ext>
          </a:extLst>
        </xdr:cNvPr>
        <xdr:cNvSpPr>
          <a:spLocks noChangeArrowheads="1"/>
        </xdr:cNvSpPr>
      </xdr:nvSpPr>
      <xdr:spPr bwMode="auto">
        <a:xfrm>
          <a:off x="5666132" y="1978024"/>
          <a:ext cx="3546000" cy="277200"/>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VENTAS ANUALES POR PRODUCTO</a:t>
          </a:r>
        </a:p>
      </xdr:txBody>
    </xdr:sp>
    <xdr:clientData/>
  </xdr:twoCellAnchor>
  <xdr:twoCellAnchor>
    <xdr:from>
      <xdr:col>6</xdr:col>
      <xdr:colOff>388659</xdr:colOff>
      <xdr:row>10</xdr:row>
      <xdr:rowOff>104774</xdr:rowOff>
    </xdr:from>
    <xdr:to>
      <xdr:col>9</xdr:col>
      <xdr:colOff>791409</xdr:colOff>
      <xdr:row>12</xdr:row>
      <xdr:rowOff>58124</xdr:rowOff>
    </xdr:to>
    <xdr:sp macro="" textlink="">
      <xdr:nvSpPr>
        <xdr:cNvPr id="5126" name="Rectangle 6">
          <a:hlinkClick xmlns:r="http://schemas.openxmlformats.org/officeDocument/2006/relationships" r:id="rId3"/>
          <a:extLst>
            <a:ext uri="{FF2B5EF4-FFF2-40B4-BE49-F238E27FC236}">
              <a16:creationId xmlns:a16="http://schemas.microsoft.com/office/drawing/2014/main" id="{00000000-0008-0000-0400-000006140000}"/>
            </a:ext>
          </a:extLst>
        </xdr:cNvPr>
        <xdr:cNvSpPr>
          <a:spLocks noChangeArrowheads="1"/>
        </xdr:cNvSpPr>
      </xdr:nvSpPr>
      <xdr:spPr bwMode="auto">
        <a:xfrm>
          <a:off x="5684559" y="1162049"/>
          <a:ext cx="3546000" cy="277200"/>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ESTRUCTURA DEL MERCADO - UNIDADES</a:t>
          </a:r>
        </a:p>
      </xdr:txBody>
    </xdr:sp>
    <xdr:clientData/>
  </xdr:twoCellAnchor>
  <xdr:twoCellAnchor>
    <xdr:from>
      <xdr:col>1</xdr:col>
      <xdr:colOff>666750</xdr:colOff>
      <xdr:row>13</xdr:row>
      <xdr:rowOff>57150</xdr:rowOff>
    </xdr:from>
    <xdr:to>
      <xdr:col>5</xdr:col>
      <xdr:colOff>333375</xdr:colOff>
      <xdr:row>14</xdr:row>
      <xdr:rowOff>0</xdr:rowOff>
    </xdr:to>
    <xdr:sp macro="" textlink="">
      <xdr:nvSpPr>
        <xdr:cNvPr id="5131" name="Rectangle 11">
          <a:extLst>
            <a:ext uri="{FF2B5EF4-FFF2-40B4-BE49-F238E27FC236}">
              <a16:creationId xmlns:a16="http://schemas.microsoft.com/office/drawing/2014/main" id="{00000000-0008-0000-0400-00000B140000}"/>
            </a:ext>
          </a:extLst>
        </xdr:cNvPr>
        <xdr:cNvSpPr>
          <a:spLocks noChangeArrowheads="1"/>
        </xdr:cNvSpPr>
      </xdr:nvSpPr>
      <xdr:spPr bwMode="auto">
        <a:xfrm>
          <a:off x="771525" y="1600200"/>
          <a:ext cx="3695700" cy="504825"/>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27432" bIns="22860" anchor="t" anchorCtr="0" upright="1"/>
        <a:lstStyle/>
        <a:p>
          <a:pPr algn="ctr" rtl="0">
            <a:defRPr sz="1000"/>
          </a:pPr>
          <a:r>
            <a:rPr lang="es-ES" sz="1200" b="1" i="0" strike="noStrike">
              <a:solidFill>
                <a:srgbClr val="003300"/>
              </a:solidFill>
              <a:latin typeface="Arial"/>
              <a:cs typeface="Arial"/>
            </a:rPr>
            <a:t>PRESUPUESTO DE VENTAS AÑO 1 </a:t>
          </a:r>
        </a:p>
      </xdr:txBody>
    </xdr:sp>
    <xdr:clientData/>
  </xdr:twoCellAnchor>
  <xdr:twoCellAnchor>
    <xdr:from>
      <xdr:col>5</xdr:col>
      <xdr:colOff>914400</xdr:colOff>
      <xdr:row>10</xdr:row>
      <xdr:rowOff>104775</xdr:rowOff>
    </xdr:from>
    <xdr:to>
      <xdr:col>6</xdr:col>
      <xdr:colOff>0</xdr:colOff>
      <xdr:row>15</xdr:row>
      <xdr:rowOff>0</xdr:rowOff>
    </xdr:to>
    <xdr:sp macro="" textlink="">
      <xdr:nvSpPr>
        <xdr:cNvPr id="6029" name="AutoShape 12">
          <a:extLst>
            <a:ext uri="{FF2B5EF4-FFF2-40B4-BE49-F238E27FC236}">
              <a16:creationId xmlns:a16="http://schemas.microsoft.com/office/drawing/2014/main" id="{00000000-0008-0000-0400-00008D170000}"/>
            </a:ext>
          </a:extLst>
        </xdr:cNvPr>
        <xdr:cNvSpPr>
          <a:spLocks/>
        </xdr:cNvSpPr>
      </xdr:nvSpPr>
      <xdr:spPr bwMode="auto">
        <a:xfrm>
          <a:off x="5048250" y="1162050"/>
          <a:ext cx="247650" cy="1504950"/>
        </a:xfrm>
        <a:prstGeom prst="leftBrace">
          <a:avLst>
            <a:gd name="adj1" fmla="val 54167"/>
            <a:gd name="adj2" fmla="val 50000"/>
          </a:avLst>
        </a:prstGeom>
        <a:noFill/>
        <a:ln w="25400">
          <a:solidFill>
            <a:srgbClr val="000000"/>
          </a:solidFill>
          <a:round/>
          <a:headEnd/>
          <a:tailEnd/>
        </a:ln>
      </xdr:spPr>
    </xdr:sp>
    <xdr:clientData/>
  </xdr:twoCellAnchor>
  <xdr:twoCellAnchor>
    <xdr:from>
      <xdr:col>6</xdr:col>
      <xdr:colOff>379446</xdr:colOff>
      <xdr:row>14</xdr:row>
      <xdr:rowOff>285749</xdr:rowOff>
    </xdr:from>
    <xdr:to>
      <xdr:col>9</xdr:col>
      <xdr:colOff>782196</xdr:colOff>
      <xdr:row>15</xdr:row>
      <xdr:rowOff>974</xdr:rowOff>
    </xdr:to>
    <xdr:sp macro="" textlink="">
      <xdr:nvSpPr>
        <xdr:cNvPr id="5134" name="Rectangle 14">
          <a:hlinkClick xmlns:r="http://schemas.openxmlformats.org/officeDocument/2006/relationships" r:id="rId4"/>
          <a:extLst>
            <a:ext uri="{FF2B5EF4-FFF2-40B4-BE49-F238E27FC236}">
              <a16:creationId xmlns:a16="http://schemas.microsoft.com/office/drawing/2014/main" id="{00000000-0008-0000-0400-00000E140000}"/>
            </a:ext>
          </a:extLst>
        </xdr:cNvPr>
        <xdr:cNvSpPr>
          <a:spLocks noChangeArrowheads="1"/>
        </xdr:cNvSpPr>
      </xdr:nvSpPr>
      <xdr:spPr bwMode="auto">
        <a:xfrm>
          <a:off x="5675346" y="2390774"/>
          <a:ext cx="3546000" cy="277200"/>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CICLICIDAD VENTAS EN EL AÑO</a:t>
          </a:r>
        </a:p>
      </xdr:txBody>
    </xdr:sp>
    <xdr:clientData/>
  </xdr:twoCellAnchor>
  <xdr:twoCellAnchor editAs="oneCell">
    <xdr:from>
      <xdr:col>9</xdr:col>
      <xdr:colOff>0</xdr:colOff>
      <xdr:row>28</xdr:row>
      <xdr:rowOff>0</xdr:rowOff>
    </xdr:from>
    <xdr:to>
      <xdr:col>10</xdr:col>
      <xdr:colOff>76200</xdr:colOff>
      <xdr:row>30</xdr:row>
      <xdr:rowOff>85725</xdr:rowOff>
    </xdr:to>
    <xdr:sp macro="" textlink="" fLocksText="0">
      <xdr:nvSpPr>
        <xdr:cNvPr id="5135" name="AutoShape 15">
          <a:hlinkClick xmlns:r="http://schemas.openxmlformats.org/officeDocument/2006/relationships" r:id="rId5"/>
          <a:extLst>
            <a:ext uri="{FF2B5EF4-FFF2-40B4-BE49-F238E27FC236}">
              <a16:creationId xmlns:a16="http://schemas.microsoft.com/office/drawing/2014/main" id="{00000000-0008-0000-0400-00000F140000}"/>
            </a:ext>
          </a:extLst>
        </xdr:cNvPr>
        <xdr:cNvSpPr>
          <a:spLocks noChangeArrowheads="1"/>
        </xdr:cNvSpPr>
      </xdr:nvSpPr>
      <xdr:spPr bwMode="auto">
        <a:xfrm>
          <a:off x="8543925" y="5905500"/>
          <a:ext cx="942975" cy="466725"/>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upright="1"/>
        <a:lstStyle/>
        <a:p>
          <a:pPr algn="ctr" rtl="0">
            <a:defRPr sz="1000"/>
          </a:pPr>
          <a:r>
            <a:rPr lang="es-ES" sz="1000" b="1" i="0" strike="noStrike">
              <a:solidFill>
                <a:srgbClr val="003300"/>
              </a:solidFill>
              <a:latin typeface="Arial"/>
              <a:cs typeface="Arial"/>
            </a:rPr>
            <a:t>Sub menú</a:t>
          </a:r>
        </a:p>
      </xdr:txBody>
    </xdr:sp>
    <xdr:clientData fLocksWithSheet="0"/>
  </xdr:twoCellAnchor>
  <xdr:twoCellAnchor editAs="oneCell">
    <xdr:from>
      <xdr:col>12</xdr:col>
      <xdr:colOff>28575</xdr:colOff>
      <xdr:row>1</xdr:row>
      <xdr:rowOff>47625</xdr:rowOff>
    </xdr:from>
    <xdr:to>
      <xdr:col>12</xdr:col>
      <xdr:colOff>748575</xdr:colOff>
      <xdr:row>6</xdr:row>
      <xdr:rowOff>108889</xdr:rowOff>
    </xdr:to>
    <xdr:pic>
      <xdr:nvPicPr>
        <xdr:cNvPr id="23" name="22 Imagen">
          <a:hlinkClick xmlns:r="http://schemas.openxmlformats.org/officeDocument/2006/relationships" r:id="rId6"/>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0696575" y="219075"/>
          <a:ext cx="720000" cy="708964"/>
        </a:xfrm>
        <a:prstGeom prst="rect">
          <a:avLst/>
        </a:prstGeom>
      </xdr:spPr>
    </xdr:pic>
    <xdr:clientData/>
  </xdr:twoCellAnchor>
  <xdr:twoCellAnchor editAs="oneCell">
    <xdr:from>
      <xdr:col>12</xdr:col>
      <xdr:colOff>95250</xdr:colOff>
      <xdr:row>4</xdr:row>
      <xdr:rowOff>179916</xdr:rowOff>
    </xdr:from>
    <xdr:to>
      <xdr:col>12</xdr:col>
      <xdr:colOff>666750</xdr:colOff>
      <xdr:row>6</xdr:row>
      <xdr:rowOff>151604</xdr:rowOff>
    </xdr:to>
    <xdr:sp macro="" textlink="">
      <xdr:nvSpPr>
        <xdr:cNvPr id="24" name="23 CuadroTexto">
          <a:extLst>
            <a:ext uri="{FF2B5EF4-FFF2-40B4-BE49-F238E27FC236}">
              <a16:creationId xmlns:a16="http://schemas.microsoft.com/office/drawing/2014/main" id="{00000000-0008-0000-0400-000018000000}"/>
            </a:ext>
          </a:extLst>
        </xdr:cNvPr>
        <xdr:cNvSpPr txBox="1"/>
      </xdr:nvSpPr>
      <xdr:spPr>
        <a:xfrm>
          <a:off x="9686925" y="760941"/>
          <a:ext cx="571500" cy="2098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xdr:twoCellAnchor editAs="oneCell">
    <xdr:from>
      <xdr:col>9</xdr:col>
      <xdr:colOff>0</xdr:colOff>
      <xdr:row>43</xdr:row>
      <xdr:rowOff>0</xdr:rowOff>
    </xdr:from>
    <xdr:to>
      <xdr:col>10</xdr:col>
      <xdr:colOff>76200</xdr:colOff>
      <xdr:row>45</xdr:row>
      <xdr:rowOff>85725</xdr:rowOff>
    </xdr:to>
    <xdr:sp macro="" textlink="" fLocksText="0">
      <xdr:nvSpPr>
        <xdr:cNvPr id="25" name="AutoShape 15">
          <a:hlinkClick xmlns:r="http://schemas.openxmlformats.org/officeDocument/2006/relationships" r:id="rId5"/>
          <a:extLst>
            <a:ext uri="{FF2B5EF4-FFF2-40B4-BE49-F238E27FC236}">
              <a16:creationId xmlns:a16="http://schemas.microsoft.com/office/drawing/2014/main" id="{00000000-0008-0000-0400-000019000000}"/>
            </a:ext>
          </a:extLst>
        </xdr:cNvPr>
        <xdr:cNvSpPr>
          <a:spLocks noChangeArrowheads="1"/>
        </xdr:cNvSpPr>
      </xdr:nvSpPr>
      <xdr:spPr bwMode="auto">
        <a:xfrm>
          <a:off x="8543925" y="10972800"/>
          <a:ext cx="942975" cy="466725"/>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twoCellAnchor editAs="oneCell">
    <xdr:from>
      <xdr:col>9</xdr:col>
      <xdr:colOff>0</xdr:colOff>
      <xdr:row>67</xdr:row>
      <xdr:rowOff>0</xdr:rowOff>
    </xdr:from>
    <xdr:to>
      <xdr:col>10</xdr:col>
      <xdr:colOff>76200</xdr:colOff>
      <xdr:row>69</xdr:row>
      <xdr:rowOff>85725</xdr:rowOff>
    </xdr:to>
    <xdr:sp macro="" textlink="" fLocksText="0">
      <xdr:nvSpPr>
        <xdr:cNvPr id="26" name="AutoShape 15">
          <a:hlinkClick xmlns:r="http://schemas.openxmlformats.org/officeDocument/2006/relationships" r:id="rId5"/>
          <a:extLst>
            <a:ext uri="{FF2B5EF4-FFF2-40B4-BE49-F238E27FC236}">
              <a16:creationId xmlns:a16="http://schemas.microsoft.com/office/drawing/2014/main" id="{00000000-0008-0000-0400-00001A000000}"/>
            </a:ext>
          </a:extLst>
        </xdr:cNvPr>
        <xdr:cNvSpPr>
          <a:spLocks noChangeArrowheads="1"/>
        </xdr:cNvSpPr>
      </xdr:nvSpPr>
      <xdr:spPr bwMode="auto">
        <a:xfrm>
          <a:off x="8543925" y="16249650"/>
          <a:ext cx="942975" cy="466725"/>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twoCellAnchor editAs="oneCell">
    <xdr:from>
      <xdr:col>9</xdr:col>
      <xdr:colOff>0</xdr:colOff>
      <xdr:row>93</xdr:row>
      <xdr:rowOff>95250</xdr:rowOff>
    </xdr:from>
    <xdr:to>
      <xdr:col>10</xdr:col>
      <xdr:colOff>76200</xdr:colOff>
      <xdr:row>95</xdr:row>
      <xdr:rowOff>142875</xdr:rowOff>
    </xdr:to>
    <xdr:sp macro="" textlink="" fLocksText="0">
      <xdr:nvSpPr>
        <xdr:cNvPr id="27" name="AutoShape 15">
          <a:hlinkClick xmlns:r="http://schemas.openxmlformats.org/officeDocument/2006/relationships" r:id="rId5"/>
          <a:extLst>
            <a:ext uri="{FF2B5EF4-FFF2-40B4-BE49-F238E27FC236}">
              <a16:creationId xmlns:a16="http://schemas.microsoft.com/office/drawing/2014/main" id="{00000000-0008-0000-0400-00001B000000}"/>
            </a:ext>
          </a:extLst>
        </xdr:cNvPr>
        <xdr:cNvSpPr>
          <a:spLocks noChangeArrowheads="1"/>
        </xdr:cNvSpPr>
      </xdr:nvSpPr>
      <xdr:spPr bwMode="auto">
        <a:xfrm>
          <a:off x="9086850" y="23336250"/>
          <a:ext cx="942975" cy="466725"/>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wsDr>
</file>

<file path=xl/drawings/drawing5.xml><?xml version="1.0" encoding="utf-8"?>
<xdr:wsDr xmlns:xdr="http://schemas.openxmlformats.org/drawingml/2006/spreadsheetDrawing" xmlns:a="http://schemas.openxmlformats.org/drawingml/2006/main">
  <xdr:twoCellAnchor>
    <xdr:from>
      <xdr:col>1</xdr:col>
      <xdr:colOff>1076325</xdr:colOff>
      <xdr:row>23</xdr:row>
      <xdr:rowOff>0</xdr:rowOff>
    </xdr:from>
    <xdr:to>
      <xdr:col>2</xdr:col>
      <xdr:colOff>704850</xdr:colOff>
      <xdr:row>23</xdr:row>
      <xdr:rowOff>0</xdr:rowOff>
    </xdr:to>
    <xdr:sp macro="" textlink="">
      <xdr:nvSpPr>
        <xdr:cNvPr id="21726" name="Line 1">
          <a:extLst>
            <a:ext uri="{FF2B5EF4-FFF2-40B4-BE49-F238E27FC236}">
              <a16:creationId xmlns:a16="http://schemas.microsoft.com/office/drawing/2014/main" id="{00000000-0008-0000-0500-0000DE540000}"/>
            </a:ext>
          </a:extLst>
        </xdr:cNvPr>
        <xdr:cNvSpPr>
          <a:spLocks noChangeShapeType="1"/>
        </xdr:cNvSpPr>
      </xdr:nvSpPr>
      <xdr:spPr bwMode="auto">
        <a:xfrm>
          <a:off x="1733550" y="8124825"/>
          <a:ext cx="1409700" cy="0"/>
        </a:xfrm>
        <a:prstGeom prst="line">
          <a:avLst/>
        </a:prstGeom>
        <a:noFill/>
        <a:ln w="9525">
          <a:solidFill>
            <a:srgbClr val="000000"/>
          </a:solidFill>
          <a:round/>
          <a:headEnd/>
          <a:tailEnd/>
        </a:ln>
      </xdr:spPr>
    </xdr:sp>
    <xdr:clientData/>
  </xdr:twoCellAnchor>
  <xdr:twoCellAnchor>
    <xdr:from>
      <xdr:col>7</xdr:col>
      <xdr:colOff>1076325</xdr:colOff>
      <xdr:row>23</xdr:row>
      <xdr:rowOff>0</xdr:rowOff>
    </xdr:from>
    <xdr:to>
      <xdr:col>8</xdr:col>
      <xdr:colOff>704850</xdr:colOff>
      <xdr:row>23</xdr:row>
      <xdr:rowOff>0</xdr:rowOff>
    </xdr:to>
    <xdr:sp macro="" textlink="">
      <xdr:nvSpPr>
        <xdr:cNvPr id="21727" name="Line 2">
          <a:extLst>
            <a:ext uri="{FF2B5EF4-FFF2-40B4-BE49-F238E27FC236}">
              <a16:creationId xmlns:a16="http://schemas.microsoft.com/office/drawing/2014/main" id="{00000000-0008-0000-0500-0000DF540000}"/>
            </a:ext>
          </a:extLst>
        </xdr:cNvPr>
        <xdr:cNvSpPr>
          <a:spLocks noChangeShapeType="1"/>
        </xdr:cNvSpPr>
      </xdr:nvSpPr>
      <xdr:spPr bwMode="auto">
        <a:xfrm>
          <a:off x="8001000" y="8124825"/>
          <a:ext cx="1257300" cy="0"/>
        </a:xfrm>
        <a:prstGeom prst="line">
          <a:avLst/>
        </a:prstGeom>
        <a:noFill/>
        <a:ln w="9525">
          <a:solidFill>
            <a:srgbClr val="000000"/>
          </a:solidFill>
          <a:round/>
          <a:headEnd/>
          <a:tailEnd/>
        </a:ln>
      </xdr:spPr>
    </xdr:sp>
    <xdr:clientData/>
  </xdr:twoCellAnchor>
  <xdr:twoCellAnchor>
    <xdr:from>
      <xdr:col>1</xdr:col>
      <xdr:colOff>1076325</xdr:colOff>
      <xdr:row>44</xdr:row>
      <xdr:rowOff>0</xdr:rowOff>
    </xdr:from>
    <xdr:to>
      <xdr:col>2</xdr:col>
      <xdr:colOff>704850</xdr:colOff>
      <xdr:row>44</xdr:row>
      <xdr:rowOff>0</xdr:rowOff>
    </xdr:to>
    <xdr:sp macro="" textlink="">
      <xdr:nvSpPr>
        <xdr:cNvPr id="21728" name="Line 3">
          <a:extLst>
            <a:ext uri="{FF2B5EF4-FFF2-40B4-BE49-F238E27FC236}">
              <a16:creationId xmlns:a16="http://schemas.microsoft.com/office/drawing/2014/main" id="{00000000-0008-0000-0500-0000E0540000}"/>
            </a:ext>
          </a:extLst>
        </xdr:cNvPr>
        <xdr:cNvSpPr>
          <a:spLocks noChangeShapeType="1"/>
        </xdr:cNvSpPr>
      </xdr:nvSpPr>
      <xdr:spPr bwMode="auto">
        <a:xfrm>
          <a:off x="1733550" y="11620500"/>
          <a:ext cx="1409700" cy="0"/>
        </a:xfrm>
        <a:prstGeom prst="line">
          <a:avLst/>
        </a:prstGeom>
        <a:noFill/>
        <a:ln w="9525">
          <a:solidFill>
            <a:srgbClr val="000000"/>
          </a:solidFill>
          <a:round/>
          <a:headEnd/>
          <a:tailEnd/>
        </a:ln>
      </xdr:spPr>
    </xdr:sp>
    <xdr:clientData/>
  </xdr:twoCellAnchor>
  <xdr:twoCellAnchor>
    <xdr:from>
      <xdr:col>7</xdr:col>
      <xdr:colOff>1076325</xdr:colOff>
      <xdr:row>44</xdr:row>
      <xdr:rowOff>0</xdr:rowOff>
    </xdr:from>
    <xdr:to>
      <xdr:col>8</xdr:col>
      <xdr:colOff>704850</xdr:colOff>
      <xdr:row>44</xdr:row>
      <xdr:rowOff>0</xdr:rowOff>
    </xdr:to>
    <xdr:sp macro="" textlink="">
      <xdr:nvSpPr>
        <xdr:cNvPr id="21729" name="Line 4">
          <a:extLst>
            <a:ext uri="{FF2B5EF4-FFF2-40B4-BE49-F238E27FC236}">
              <a16:creationId xmlns:a16="http://schemas.microsoft.com/office/drawing/2014/main" id="{00000000-0008-0000-0500-0000E1540000}"/>
            </a:ext>
          </a:extLst>
        </xdr:cNvPr>
        <xdr:cNvSpPr>
          <a:spLocks noChangeShapeType="1"/>
        </xdr:cNvSpPr>
      </xdr:nvSpPr>
      <xdr:spPr bwMode="auto">
        <a:xfrm>
          <a:off x="8001000" y="11620500"/>
          <a:ext cx="1257300" cy="0"/>
        </a:xfrm>
        <a:prstGeom prst="line">
          <a:avLst/>
        </a:prstGeom>
        <a:noFill/>
        <a:ln w="9525">
          <a:solidFill>
            <a:srgbClr val="000000"/>
          </a:solidFill>
          <a:round/>
          <a:headEnd/>
          <a:tailEnd/>
        </a:ln>
      </xdr:spPr>
    </xdr:sp>
    <xdr:clientData/>
  </xdr:twoCellAnchor>
  <xdr:twoCellAnchor>
    <xdr:from>
      <xdr:col>1</xdr:col>
      <xdr:colOff>1076325</xdr:colOff>
      <xdr:row>63</xdr:row>
      <xdr:rowOff>0</xdr:rowOff>
    </xdr:from>
    <xdr:to>
      <xdr:col>2</xdr:col>
      <xdr:colOff>704850</xdr:colOff>
      <xdr:row>63</xdr:row>
      <xdr:rowOff>0</xdr:rowOff>
    </xdr:to>
    <xdr:sp macro="" textlink="">
      <xdr:nvSpPr>
        <xdr:cNvPr id="21730" name="Line 5">
          <a:extLst>
            <a:ext uri="{FF2B5EF4-FFF2-40B4-BE49-F238E27FC236}">
              <a16:creationId xmlns:a16="http://schemas.microsoft.com/office/drawing/2014/main" id="{00000000-0008-0000-0500-0000E2540000}"/>
            </a:ext>
          </a:extLst>
        </xdr:cNvPr>
        <xdr:cNvSpPr>
          <a:spLocks noChangeShapeType="1"/>
        </xdr:cNvSpPr>
      </xdr:nvSpPr>
      <xdr:spPr bwMode="auto">
        <a:xfrm>
          <a:off x="1733550" y="15068550"/>
          <a:ext cx="1409700" cy="0"/>
        </a:xfrm>
        <a:prstGeom prst="line">
          <a:avLst/>
        </a:prstGeom>
        <a:noFill/>
        <a:ln w="9525">
          <a:solidFill>
            <a:srgbClr val="000000"/>
          </a:solidFill>
          <a:round/>
          <a:headEnd/>
          <a:tailEnd/>
        </a:ln>
      </xdr:spPr>
    </xdr:sp>
    <xdr:clientData/>
  </xdr:twoCellAnchor>
  <xdr:twoCellAnchor>
    <xdr:from>
      <xdr:col>7</xdr:col>
      <xdr:colOff>1076325</xdr:colOff>
      <xdr:row>63</xdr:row>
      <xdr:rowOff>0</xdr:rowOff>
    </xdr:from>
    <xdr:to>
      <xdr:col>8</xdr:col>
      <xdr:colOff>704850</xdr:colOff>
      <xdr:row>63</xdr:row>
      <xdr:rowOff>0</xdr:rowOff>
    </xdr:to>
    <xdr:sp macro="" textlink="">
      <xdr:nvSpPr>
        <xdr:cNvPr id="21731" name="Line 6">
          <a:extLst>
            <a:ext uri="{FF2B5EF4-FFF2-40B4-BE49-F238E27FC236}">
              <a16:creationId xmlns:a16="http://schemas.microsoft.com/office/drawing/2014/main" id="{00000000-0008-0000-0500-0000E3540000}"/>
            </a:ext>
          </a:extLst>
        </xdr:cNvPr>
        <xdr:cNvSpPr>
          <a:spLocks noChangeShapeType="1"/>
        </xdr:cNvSpPr>
      </xdr:nvSpPr>
      <xdr:spPr bwMode="auto">
        <a:xfrm>
          <a:off x="8001000" y="15068550"/>
          <a:ext cx="1257300" cy="0"/>
        </a:xfrm>
        <a:prstGeom prst="line">
          <a:avLst/>
        </a:prstGeom>
        <a:noFill/>
        <a:ln w="9525">
          <a:solidFill>
            <a:srgbClr val="000000"/>
          </a:solidFill>
          <a:round/>
          <a:headEnd/>
          <a:tailEnd/>
        </a:ln>
      </xdr:spPr>
    </xdr:sp>
    <xdr:clientData/>
  </xdr:twoCellAnchor>
  <xdr:twoCellAnchor>
    <xdr:from>
      <xdr:col>6</xdr:col>
      <xdr:colOff>628649</xdr:colOff>
      <xdr:row>11</xdr:row>
      <xdr:rowOff>9525</xdr:rowOff>
    </xdr:from>
    <xdr:to>
      <xdr:col>7</xdr:col>
      <xdr:colOff>47624</xdr:colOff>
      <xdr:row>17</xdr:row>
      <xdr:rowOff>47625</xdr:rowOff>
    </xdr:to>
    <xdr:sp macro="" textlink="">
      <xdr:nvSpPr>
        <xdr:cNvPr id="21736" name="AutoShape 18">
          <a:extLst>
            <a:ext uri="{FF2B5EF4-FFF2-40B4-BE49-F238E27FC236}">
              <a16:creationId xmlns:a16="http://schemas.microsoft.com/office/drawing/2014/main" id="{00000000-0008-0000-0500-0000E8540000}"/>
            </a:ext>
          </a:extLst>
        </xdr:cNvPr>
        <xdr:cNvSpPr>
          <a:spLocks/>
        </xdr:cNvSpPr>
      </xdr:nvSpPr>
      <xdr:spPr bwMode="auto">
        <a:xfrm>
          <a:off x="5924549" y="1743075"/>
          <a:ext cx="276225" cy="1181100"/>
        </a:xfrm>
        <a:prstGeom prst="leftBrace">
          <a:avLst>
            <a:gd name="adj1" fmla="val 46795"/>
            <a:gd name="adj2" fmla="val 50000"/>
          </a:avLst>
        </a:prstGeom>
        <a:noFill/>
        <a:ln w="25400">
          <a:solidFill>
            <a:srgbClr val="000000"/>
          </a:solidFill>
          <a:round/>
          <a:headEnd/>
          <a:tailEnd/>
        </a:ln>
      </xdr:spPr>
    </xdr:sp>
    <xdr:clientData/>
  </xdr:twoCellAnchor>
  <xdr:twoCellAnchor editAs="oneCell">
    <xdr:from>
      <xdr:col>13</xdr:col>
      <xdr:colOff>38100</xdr:colOff>
      <xdr:row>0</xdr:row>
      <xdr:rowOff>104776</xdr:rowOff>
    </xdr:from>
    <xdr:to>
      <xdr:col>13</xdr:col>
      <xdr:colOff>747300</xdr:colOff>
      <xdr:row>5</xdr:row>
      <xdr:rowOff>51976</xdr:rowOff>
    </xdr:to>
    <xdr:pic>
      <xdr:nvPicPr>
        <xdr:cNvPr id="32" name="31 Imagen">
          <a:hlinkClick xmlns:r="http://schemas.openxmlformats.org/officeDocument/2006/relationships" r:id="rId1"/>
          <a:extLst>
            <a:ext uri="{FF2B5EF4-FFF2-40B4-BE49-F238E27FC236}">
              <a16:creationId xmlns:a16="http://schemas.microsoft.com/office/drawing/2014/main" id="{00000000-0008-0000-0500-00002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334750" y="104776"/>
          <a:ext cx="709200" cy="709200"/>
        </a:xfrm>
        <a:prstGeom prst="rect">
          <a:avLst/>
        </a:prstGeom>
      </xdr:spPr>
    </xdr:pic>
    <xdr:clientData/>
  </xdr:twoCellAnchor>
  <xdr:twoCellAnchor editAs="oneCell">
    <xdr:from>
      <xdr:col>13</xdr:col>
      <xdr:colOff>104775</xdr:colOff>
      <xdr:row>4</xdr:row>
      <xdr:rowOff>160866</xdr:rowOff>
    </xdr:from>
    <xdr:to>
      <xdr:col>13</xdr:col>
      <xdr:colOff>676275</xdr:colOff>
      <xdr:row>8</xdr:row>
      <xdr:rowOff>18254</xdr:rowOff>
    </xdr:to>
    <xdr:sp macro="" textlink="">
      <xdr:nvSpPr>
        <xdr:cNvPr id="33" name="32 CuadroTexto">
          <a:extLst>
            <a:ext uri="{FF2B5EF4-FFF2-40B4-BE49-F238E27FC236}">
              <a16:creationId xmlns:a16="http://schemas.microsoft.com/office/drawing/2014/main" id="{00000000-0008-0000-0500-000021000000}"/>
            </a:ext>
          </a:extLst>
        </xdr:cNvPr>
        <xdr:cNvSpPr txBox="1"/>
      </xdr:nvSpPr>
      <xdr:spPr>
        <a:xfrm>
          <a:off x="11401425" y="741891"/>
          <a:ext cx="571500" cy="33363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xdr:twoCellAnchor editAs="oneCell">
    <xdr:from>
      <xdr:col>1</xdr:col>
      <xdr:colOff>742950</xdr:colOff>
      <xdr:row>12</xdr:row>
      <xdr:rowOff>171450</xdr:rowOff>
    </xdr:from>
    <xdr:to>
      <xdr:col>6</xdr:col>
      <xdr:colOff>158750</xdr:colOff>
      <xdr:row>15</xdr:row>
      <xdr:rowOff>104775</xdr:rowOff>
    </xdr:to>
    <xdr:sp macro="" textlink="" fLocksText="0">
      <xdr:nvSpPr>
        <xdr:cNvPr id="34" name="Rectangle 11">
          <a:extLst>
            <a:ext uri="{FF2B5EF4-FFF2-40B4-BE49-F238E27FC236}">
              <a16:creationId xmlns:a16="http://schemas.microsoft.com/office/drawing/2014/main" id="{00000000-0008-0000-0500-000022000000}"/>
            </a:ext>
          </a:extLst>
        </xdr:cNvPr>
        <xdr:cNvSpPr>
          <a:spLocks noChangeArrowheads="1"/>
        </xdr:cNvSpPr>
      </xdr:nvSpPr>
      <xdr:spPr bwMode="auto">
        <a:xfrm>
          <a:off x="895350" y="2095500"/>
          <a:ext cx="4381500" cy="504825"/>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27432" bIns="22860" anchor="t" anchorCtr="0" upright="1"/>
        <a:lstStyle/>
        <a:p>
          <a:pPr algn="ctr" rtl="0">
            <a:defRPr sz="1000"/>
          </a:pPr>
          <a:r>
            <a:rPr lang="es-ES" sz="1200" b="1" i="0" strike="noStrike">
              <a:solidFill>
                <a:srgbClr val="003300"/>
              </a:solidFill>
              <a:latin typeface="Arial"/>
              <a:cs typeface="Arial"/>
            </a:rPr>
            <a:t>PRESUPUESTO DE COMPRAS AÑO 1 </a:t>
          </a:r>
        </a:p>
      </xdr:txBody>
    </xdr:sp>
    <xdr:clientData/>
  </xdr:twoCellAnchor>
  <xdr:twoCellAnchor editAs="absolute">
    <xdr:from>
      <xdr:col>7</xdr:col>
      <xdr:colOff>460374</xdr:colOff>
      <xdr:row>13</xdr:row>
      <xdr:rowOff>79375</xdr:rowOff>
    </xdr:from>
    <xdr:to>
      <xdr:col>10</xdr:col>
      <xdr:colOff>832974</xdr:colOff>
      <xdr:row>14</xdr:row>
      <xdr:rowOff>166075</xdr:rowOff>
    </xdr:to>
    <xdr:sp macro="" textlink="">
      <xdr:nvSpPr>
        <xdr:cNvPr id="35" name="Rectangle 4">
          <a:hlinkClick xmlns:r="http://schemas.openxmlformats.org/officeDocument/2006/relationships" r:id="rId3"/>
          <a:extLst>
            <a:ext uri="{FF2B5EF4-FFF2-40B4-BE49-F238E27FC236}">
              <a16:creationId xmlns:a16="http://schemas.microsoft.com/office/drawing/2014/main" id="{00000000-0008-0000-0500-000023000000}"/>
            </a:ext>
          </a:extLst>
        </xdr:cNvPr>
        <xdr:cNvSpPr>
          <a:spLocks noChangeArrowheads="1"/>
        </xdr:cNvSpPr>
      </xdr:nvSpPr>
      <xdr:spPr bwMode="auto">
        <a:xfrm>
          <a:off x="6613524" y="2193925"/>
          <a:ext cx="3801600" cy="277200"/>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UNIDADES A PRODUCIR</a:t>
          </a:r>
        </a:p>
        <a:p>
          <a:pPr algn="l" rtl="0">
            <a:defRPr sz="1000"/>
          </a:pPr>
          <a:endParaRPr lang="es-ES" sz="1000" b="1" i="0" strike="noStrike">
            <a:solidFill>
              <a:srgbClr val="003300"/>
            </a:solidFill>
            <a:latin typeface="Arial"/>
            <a:cs typeface="Arial"/>
          </a:endParaRPr>
        </a:p>
        <a:p>
          <a:pPr algn="l" rtl="0">
            <a:defRPr sz="1000"/>
          </a:pPr>
          <a:endParaRPr lang="es-ES" sz="1000" b="1" i="0" strike="noStrike">
            <a:solidFill>
              <a:srgbClr val="003300"/>
            </a:solidFill>
            <a:latin typeface="Arial"/>
            <a:cs typeface="Arial"/>
          </a:endParaRPr>
        </a:p>
      </xdr:txBody>
    </xdr:sp>
    <xdr:clientData/>
  </xdr:twoCellAnchor>
  <xdr:twoCellAnchor editAs="absolute">
    <xdr:from>
      <xdr:col>7</xdr:col>
      <xdr:colOff>460374</xdr:colOff>
      <xdr:row>15</xdr:row>
      <xdr:rowOff>101600</xdr:rowOff>
    </xdr:from>
    <xdr:to>
      <xdr:col>10</xdr:col>
      <xdr:colOff>832974</xdr:colOff>
      <xdr:row>16</xdr:row>
      <xdr:rowOff>188300</xdr:rowOff>
    </xdr:to>
    <xdr:sp macro="" textlink="">
      <xdr:nvSpPr>
        <xdr:cNvPr id="36" name="Rectangle 5">
          <a:hlinkClick xmlns:r="http://schemas.openxmlformats.org/officeDocument/2006/relationships" r:id="rId4"/>
          <a:extLst>
            <a:ext uri="{FF2B5EF4-FFF2-40B4-BE49-F238E27FC236}">
              <a16:creationId xmlns:a16="http://schemas.microsoft.com/office/drawing/2014/main" id="{00000000-0008-0000-0500-000024000000}"/>
            </a:ext>
          </a:extLst>
        </xdr:cNvPr>
        <xdr:cNvSpPr>
          <a:spLocks noChangeArrowheads="1"/>
        </xdr:cNvSpPr>
      </xdr:nvSpPr>
      <xdr:spPr bwMode="auto">
        <a:xfrm>
          <a:off x="6524624" y="2597150"/>
          <a:ext cx="3801600" cy="277200"/>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PROGRAMA DE COMPRAS MATERIA PRIMA</a:t>
          </a:r>
        </a:p>
      </xdr:txBody>
    </xdr:sp>
    <xdr:clientData/>
  </xdr:twoCellAnchor>
  <xdr:twoCellAnchor editAs="oneCell">
    <xdr:from>
      <xdr:col>7</xdr:col>
      <xdr:colOff>460374</xdr:colOff>
      <xdr:row>11</xdr:row>
      <xdr:rowOff>47625</xdr:rowOff>
    </xdr:from>
    <xdr:to>
      <xdr:col>10</xdr:col>
      <xdr:colOff>832974</xdr:colOff>
      <xdr:row>12</xdr:row>
      <xdr:rowOff>134325</xdr:rowOff>
    </xdr:to>
    <xdr:sp macro="" textlink="" fLocksText="0">
      <xdr:nvSpPr>
        <xdr:cNvPr id="37" name="Rectangle 6">
          <a:hlinkClick xmlns:r="http://schemas.openxmlformats.org/officeDocument/2006/relationships" r:id="rId5"/>
          <a:extLst>
            <a:ext uri="{FF2B5EF4-FFF2-40B4-BE49-F238E27FC236}">
              <a16:creationId xmlns:a16="http://schemas.microsoft.com/office/drawing/2014/main" id="{00000000-0008-0000-0500-000025000000}"/>
            </a:ext>
          </a:extLst>
        </xdr:cNvPr>
        <xdr:cNvSpPr>
          <a:spLocks noChangeArrowheads="1"/>
        </xdr:cNvSpPr>
      </xdr:nvSpPr>
      <xdr:spPr bwMode="auto">
        <a:xfrm>
          <a:off x="6613524" y="1781175"/>
          <a:ext cx="3801600" cy="277200"/>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CONSUMO MATERIA PRIMA POR PRODUCTO</a:t>
          </a:r>
        </a:p>
      </xdr:txBody>
    </xdr:sp>
    <xdr:clientData/>
  </xdr:twoCellAnchor>
  <xdr:twoCellAnchor editAs="oneCell">
    <xdr:from>
      <xdr:col>10</xdr:col>
      <xdr:colOff>523864</xdr:colOff>
      <xdr:row>131</xdr:row>
      <xdr:rowOff>85725</xdr:rowOff>
    </xdr:from>
    <xdr:to>
      <xdr:col>11</xdr:col>
      <xdr:colOff>609589</xdr:colOff>
      <xdr:row>133</xdr:row>
      <xdr:rowOff>133351</xdr:rowOff>
    </xdr:to>
    <xdr:sp macro="" textlink="" fLocksText="0">
      <xdr:nvSpPr>
        <xdr:cNvPr id="16" name="AutoShape 15">
          <a:hlinkClick xmlns:r="http://schemas.openxmlformats.org/officeDocument/2006/relationships" r:id="rId6"/>
          <a:extLst>
            <a:ext uri="{FF2B5EF4-FFF2-40B4-BE49-F238E27FC236}">
              <a16:creationId xmlns:a16="http://schemas.microsoft.com/office/drawing/2014/main" id="{00000000-0008-0000-0500-000010000000}"/>
            </a:ext>
          </a:extLst>
        </xdr:cNvPr>
        <xdr:cNvSpPr>
          <a:spLocks noChangeArrowheads="1"/>
        </xdr:cNvSpPr>
      </xdr:nvSpPr>
      <xdr:spPr bwMode="auto">
        <a:xfrm>
          <a:off x="10108395" y="29458444"/>
          <a:ext cx="942975" cy="464344"/>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twoCellAnchor editAs="oneCell">
    <xdr:from>
      <xdr:col>10</xdr:col>
      <xdr:colOff>523864</xdr:colOff>
      <xdr:row>105</xdr:row>
      <xdr:rowOff>28575</xdr:rowOff>
    </xdr:from>
    <xdr:to>
      <xdr:col>11</xdr:col>
      <xdr:colOff>609589</xdr:colOff>
      <xdr:row>107</xdr:row>
      <xdr:rowOff>114300</xdr:rowOff>
    </xdr:to>
    <xdr:sp macro="" textlink="" fLocksText="0">
      <xdr:nvSpPr>
        <xdr:cNvPr id="17" name="AutoShape 15">
          <a:hlinkClick xmlns:r="http://schemas.openxmlformats.org/officeDocument/2006/relationships" r:id="rId6"/>
          <a:extLst>
            <a:ext uri="{FF2B5EF4-FFF2-40B4-BE49-F238E27FC236}">
              <a16:creationId xmlns:a16="http://schemas.microsoft.com/office/drawing/2014/main" id="{00000000-0008-0000-0500-000011000000}"/>
            </a:ext>
          </a:extLst>
        </xdr:cNvPr>
        <xdr:cNvSpPr>
          <a:spLocks noChangeArrowheads="1"/>
        </xdr:cNvSpPr>
      </xdr:nvSpPr>
      <xdr:spPr bwMode="auto">
        <a:xfrm>
          <a:off x="10108395" y="23567231"/>
          <a:ext cx="942975" cy="466725"/>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twoCellAnchor editAs="oneCell">
    <xdr:from>
      <xdr:col>10</xdr:col>
      <xdr:colOff>523864</xdr:colOff>
      <xdr:row>81</xdr:row>
      <xdr:rowOff>47628</xdr:rowOff>
    </xdr:from>
    <xdr:to>
      <xdr:col>11</xdr:col>
      <xdr:colOff>609589</xdr:colOff>
      <xdr:row>83</xdr:row>
      <xdr:rowOff>130972</xdr:rowOff>
    </xdr:to>
    <xdr:sp macro="" textlink="" fLocksText="0">
      <xdr:nvSpPr>
        <xdr:cNvPr id="18" name="AutoShape 15">
          <a:hlinkClick xmlns:r="http://schemas.openxmlformats.org/officeDocument/2006/relationships" r:id="rId6"/>
          <a:extLst>
            <a:ext uri="{FF2B5EF4-FFF2-40B4-BE49-F238E27FC236}">
              <a16:creationId xmlns:a16="http://schemas.microsoft.com/office/drawing/2014/main" id="{00000000-0008-0000-0500-000012000000}"/>
            </a:ext>
          </a:extLst>
        </xdr:cNvPr>
        <xdr:cNvSpPr>
          <a:spLocks noChangeArrowheads="1"/>
        </xdr:cNvSpPr>
      </xdr:nvSpPr>
      <xdr:spPr bwMode="auto">
        <a:xfrm>
          <a:off x="10108395" y="17621253"/>
          <a:ext cx="942975" cy="464344"/>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wsDr>
</file>

<file path=xl/drawings/drawing6.xml><?xml version="1.0" encoding="utf-8"?>
<xdr:wsDr xmlns:xdr="http://schemas.openxmlformats.org/drawingml/2006/spreadsheetDrawing" xmlns:a="http://schemas.openxmlformats.org/drawingml/2006/main">
  <xdr:twoCellAnchor>
    <xdr:from>
      <xdr:col>4</xdr:col>
      <xdr:colOff>1419226</xdr:colOff>
      <xdr:row>11</xdr:row>
      <xdr:rowOff>19050</xdr:rowOff>
    </xdr:from>
    <xdr:to>
      <xdr:col>9</xdr:col>
      <xdr:colOff>476250</xdr:colOff>
      <xdr:row>11</xdr:row>
      <xdr:rowOff>314325</xdr:rowOff>
    </xdr:to>
    <xdr:sp macro="" textlink="">
      <xdr:nvSpPr>
        <xdr:cNvPr id="7174" name="Rectangle 6">
          <a:hlinkClick xmlns:r="http://schemas.openxmlformats.org/officeDocument/2006/relationships" r:id="rId1"/>
          <a:extLst>
            <a:ext uri="{FF2B5EF4-FFF2-40B4-BE49-F238E27FC236}">
              <a16:creationId xmlns:a16="http://schemas.microsoft.com/office/drawing/2014/main" id="{00000000-0008-0000-0600-0000061C0000}"/>
            </a:ext>
          </a:extLst>
        </xdr:cNvPr>
        <xdr:cNvSpPr>
          <a:spLocks noChangeArrowheads="1"/>
        </xdr:cNvSpPr>
      </xdr:nvSpPr>
      <xdr:spPr bwMode="auto">
        <a:xfrm>
          <a:off x="5200651" y="1962150"/>
          <a:ext cx="5029199" cy="295275"/>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REQUERIMIENTOS DE PERSONAL</a:t>
          </a:r>
        </a:p>
        <a:p>
          <a:pPr algn="l" rtl="0">
            <a:defRPr sz="1000"/>
          </a:pPr>
          <a:endParaRPr lang="es-ES" sz="1000" b="1" i="0" strike="noStrike">
            <a:solidFill>
              <a:srgbClr val="003300"/>
            </a:solidFill>
            <a:latin typeface="Arial"/>
            <a:cs typeface="Arial"/>
          </a:endParaRPr>
        </a:p>
      </xdr:txBody>
    </xdr:sp>
    <xdr:clientData/>
  </xdr:twoCellAnchor>
  <xdr:twoCellAnchor>
    <xdr:from>
      <xdr:col>1</xdr:col>
      <xdr:colOff>447675</xdr:colOff>
      <xdr:row>11</xdr:row>
      <xdr:rowOff>238125</xdr:rowOff>
    </xdr:from>
    <xdr:to>
      <xdr:col>4</xdr:col>
      <xdr:colOff>638174</xdr:colOff>
      <xdr:row>14</xdr:row>
      <xdr:rowOff>84900</xdr:rowOff>
    </xdr:to>
    <xdr:sp macro="" textlink="">
      <xdr:nvSpPr>
        <xdr:cNvPr id="7175" name="Rectangle 7">
          <a:hlinkClick xmlns:r="http://schemas.openxmlformats.org/officeDocument/2006/relationships" r:id="rId2"/>
          <a:extLst>
            <a:ext uri="{FF2B5EF4-FFF2-40B4-BE49-F238E27FC236}">
              <a16:creationId xmlns:a16="http://schemas.microsoft.com/office/drawing/2014/main" id="{00000000-0008-0000-0600-0000071C0000}"/>
            </a:ext>
          </a:extLst>
        </xdr:cNvPr>
        <xdr:cNvSpPr>
          <a:spLocks noChangeArrowheads="1"/>
        </xdr:cNvSpPr>
      </xdr:nvSpPr>
      <xdr:spPr bwMode="auto">
        <a:xfrm>
          <a:off x="609600" y="2181225"/>
          <a:ext cx="3809999" cy="504000"/>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27432" bIns="22860" anchor="t" upright="1"/>
        <a:lstStyle/>
        <a:p>
          <a:pPr algn="ctr" rtl="0">
            <a:defRPr sz="1000"/>
          </a:pPr>
          <a:r>
            <a:rPr lang="es-ES" sz="1200" b="1" i="0" strike="noStrike">
              <a:solidFill>
                <a:srgbClr val="003300"/>
              </a:solidFill>
              <a:latin typeface="Arial"/>
              <a:cs typeface="Arial"/>
            </a:rPr>
            <a:t>PRESUPUESTO DE COSTOS Y GASTOS AÑO 1 </a:t>
          </a:r>
        </a:p>
      </xdr:txBody>
    </xdr:sp>
    <xdr:clientData/>
  </xdr:twoCellAnchor>
  <xdr:twoCellAnchor>
    <xdr:from>
      <xdr:col>4</xdr:col>
      <xdr:colOff>1085849</xdr:colOff>
      <xdr:row>11</xdr:row>
      <xdr:rowOff>19051</xdr:rowOff>
    </xdr:from>
    <xdr:to>
      <xdr:col>4</xdr:col>
      <xdr:colOff>1266824</xdr:colOff>
      <xdr:row>15</xdr:row>
      <xdr:rowOff>133351</xdr:rowOff>
    </xdr:to>
    <xdr:sp macro="" textlink="">
      <xdr:nvSpPr>
        <xdr:cNvPr id="7914" name="AutoShape 8">
          <a:extLst>
            <a:ext uri="{FF2B5EF4-FFF2-40B4-BE49-F238E27FC236}">
              <a16:creationId xmlns:a16="http://schemas.microsoft.com/office/drawing/2014/main" id="{00000000-0008-0000-0600-0000EA1E0000}"/>
            </a:ext>
          </a:extLst>
        </xdr:cNvPr>
        <xdr:cNvSpPr>
          <a:spLocks/>
        </xdr:cNvSpPr>
      </xdr:nvSpPr>
      <xdr:spPr bwMode="auto">
        <a:xfrm>
          <a:off x="4867274" y="1962151"/>
          <a:ext cx="180975" cy="933450"/>
        </a:xfrm>
        <a:prstGeom prst="leftBrace">
          <a:avLst>
            <a:gd name="adj1" fmla="val 49242"/>
            <a:gd name="adj2" fmla="val 50000"/>
          </a:avLst>
        </a:prstGeom>
        <a:noFill/>
        <a:ln w="25400">
          <a:solidFill>
            <a:srgbClr val="000000"/>
          </a:solidFill>
          <a:round/>
          <a:headEnd/>
          <a:tailEnd/>
        </a:ln>
      </xdr:spPr>
    </xdr:sp>
    <xdr:clientData/>
  </xdr:twoCellAnchor>
  <xdr:twoCellAnchor>
    <xdr:from>
      <xdr:col>4</xdr:col>
      <xdr:colOff>1419226</xdr:colOff>
      <xdr:row>13</xdr:row>
      <xdr:rowOff>76200</xdr:rowOff>
    </xdr:from>
    <xdr:to>
      <xdr:col>9</xdr:col>
      <xdr:colOff>476250</xdr:colOff>
      <xdr:row>15</xdr:row>
      <xdr:rowOff>47625</xdr:rowOff>
    </xdr:to>
    <xdr:sp macro="" textlink="">
      <xdr:nvSpPr>
        <xdr:cNvPr id="7180" name="Rectangle 12">
          <a:hlinkClick xmlns:r="http://schemas.openxmlformats.org/officeDocument/2006/relationships" r:id="rId3"/>
          <a:extLst>
            <a:ext uri="{FF2B5EF4-FFF2-40B4-BE49-F238E27FC236}">
              <a16:creationId xmlns:a16="http://schemas.microsoft.com/office/drawing/2014/main" id="{00000000-0008-0000-0600-00000C1C0000}"/>
            </a:ext>
          </a:extLst>
        </xdr:cNvPr>
        <xdr:cNvSpPr>
          <a:spLocks noChangeArrowheads="1"/>
        </xdr:cNvSpPr>
      </xdr:nvSpPr>
      <xdr:spPr bwMode="auto">
        <a:xfrm>
          <a:off x="5200651" y="2514600"/>
          <a:ext cx="5029199" cy="295275"/>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OTROS COSTOS DE PRODUCCION Y GASTOS DE ADMON Y VTAS</a:t>
          </a:r>
        </a:p>
        <a:p>
          <a:pPr algn="l" rtl="0">
            <a:defRPr sz="1000"/>
          </a:pPr>
          <a:endParaRPr lang="es-ES" sz="1000" b="1" i="0" strike="noStrike">
            <a:solidFill>
              <a:srgbClr val="003300"/>
            </a:solidFill>
            <a:latin typeface="Arial"/>
            <a:cs typeface="Arial"/>
          </a:endParaRPr>
        </a:p>
      </xdr:txBody>
    </xdr:sp>
    <xdr:clientData/>
  </xdr:twoCellAnchor>
  <xdr:twoCellAnchor>
    <xdr:from>
      <xdr:col>11</xdr:col>
      <xdr:colOff>161924</xdr:colOff>
      <xdr:row>19</xdr:row>
      <xdr:rowOff>57150</xdr:rowOff>
    </xdr:from>
    <xdr:to>
      <xdr:col>13</xdr:col>
      <xdr:colOff>0</xdr:colOff>
      <xdr:row>20</xdr:row>
      <xdr:rowOff>0</xdr:rowOff>
    </xdr:to>
    <xdr:sp macro="" textlink="">
      <xdr:nvSpPr>
        <xdr:cNvPr id="20" name="Rectangle 20">
          <a:extLst>
            <a:ext uri="{FF2B5EF4-FFF2-40B4-BE49-F238E27FC236}">
              <a16:creationId xmlns:a16="http://schemas.microsoft.com/office/drawing/2014/main" id="{00000000-0008-0000-0600-000014000000}"/>
            </a:ext>
          </a:extLst>
        </xdr:cNvPr>
        <xdr:cNvSpPr>
          <a:spLocks noChangeArrowheads="1"/>
        </xdr:cNvSpPr>
      </xdr:nvSpPr>
      <xdr:spPr bwMode="auto">
        <a:xfrm>
          <a:off x="11249024" y="4114800"/>
          <a:ext cx="1161738" cy="590550"/>
        </a:xfrm>
        <a:prstGeom prst="rect">
          <a:avLst/>
        </a:prstGeom>
        <a:solidFill>
          <a:srgbClr val="FFFFFF"/>
        </a:solidFill>
        <a:ln w="9525">
          <a:noFill/>
          <a:miter lim="800000"/>
          <a:headEnd/>
          <a:tailEnd/>
        </a:ln>
      </xdr:spPr>
    </xdr:sp>
    <xdr:clientData/>
  </xdr:twoCellAnchor>
  <xdr:twoCellAnchor editAs="oneCell">
    <xdr:from>
      <xdr:col>8</xdr:col>
      <xdr:colOff>847725</xdr:colOff>
      <xdr:row>49</xdr:row>
      <xdr:rowOff>28575</xdr:rowOff>
    </xdr:from>
    <xdr:to>
      <xdr:col>9</xdr:col>
      <xdr:colOff>847725</xdr:colOff>
      <xdr:row>51</xdr:row>
      <xdr:rowOff>28575</xdr:rowOff>
    </xdr:to>
    <xdr:sp macro="" textlink="" fLocksText="0">
      <xdr:nvSpPr>
        <xdr:cNvPr id="23" name="AutoShape 15">
          <a:hlinkClick xmlns:r="http://schemas.openxmlformats.org/officeDocument/2006/relationships" r:id="rId4"/>
          <a:extLst>
            <a:ext uri="{FF2B5EF4-FFF2-40B4-BE49-F238E27FC236}">
              <a16:creationId xmlns:a16="http://schemas.microsoft.com/office/drawing/2014/main" id="{00000000-0008-0000-0600-000017000000}"/>
            </a:ext>
          </a:extLst>
        </xdr:cNvPr>
        <xdr:cNvSpPr>
          <a:spLocks noChangeArrowheads="1"/>
        </xdr:cNvSpPr>
      </xdr:nvSpPr>
      <xdr:spPr bwMode="auto">
        <a:xfrm>
          <a:off x="9658350" y="11315700"/>
          <a:ext cx="942975" cy="466725"/>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twoCellAnchor editAs="oneCell">
    <xdr:from>
      <xdr:col>8</xdr:col>
      <xdr:colOff>847725</xdr:colOff>
      <xdr:row>75</xdr:row>
      <xdr:rowOff>47625</xdr:rowOff>
    </xdr:from>
    <xdr:to>
      <xdr:col>9</xdr:col>
      <xdr:colOff>847725</xdr:colOff>
      <xdr:row>77</xdr:row>
      <xdr:rowOff>123825</xdr:rowOff>
    </xdr:to>
    <xdr:sp macro="" textlink="" fLocksText="0">
      <xdr:nvSpPr>
        <xdr:cNvPr id="24" name="AutoShape 15">
          <a:hlinkClick xmlns:r="http://schemas.openxmlformats.org/officeDocument/2006/relationships" r:id="rId4"/>
          <a:extLst>
            <a:ext uri="{FF2B5EF4-FFF2-40B4-BE49-F238E27FC236}">
              <a16:creationId xmlns:a16="http://schemas.microsoft.com/office/drawing/2014/main" id="{00000000-0008-0000-0600-000018000000}"/>
            </a:ext>
          </a:extLst>
        </xdr:cNvPr>
        <xdr:cNvSpPr>
          <a:spLocks noChangeArrowheads="1"/>
        </xdr:cNvSpPr>
      </xdr:nvSpPr>
      <xdr:spPr bwMode="auto">
        <a:xfrm>
          <a:off x="9658350" y="17468850"/>
          <a:ext cx="942975" cy="466725"/>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twoCellAnchor editAs="oneCell">
    <xdr:from>
      <xdr:col>12</xdr:col>
      <xdr:colOff>0</xdr:colOff>
      <xdr:row>1</xdr:row>
      <xdr:rowOff>0</xdr:rowOff>
    </xdr:from>
    <xdr:to>
      <xdr:col>12</xdr:col>
      <xdr:colOff>709200</xdr:colOff>
      <xdr:row>5</xdr:row>
      <xdr:rowOff>4350</xdr:rowOff>
    </xdr:to>
    <xdr:pic>
      <xdr:nvPicPr>
        <xdr:cNvPr id="28" name="31 Imagen">
          <a:hlinkClick xmlns:r="http://schemas.openxmlformats.org/officeDocument/2006/relationships" r:id="rId5"/>
          <a:extLst>
            <a:ext uri="{FF2B5EF4-FFF2-40B4-BE49-F238E27FC236}">
              <a16:creationId xmlns:a16="http://schemas.microsoft.com/office/drawing/2014/main" id="{00000000-0008-0000-0600-00001C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0801350" y="171450"/>
          <a:ext cx="709200" cy="709200"/>
        </a:xfrm>
        <a:prstGeom prst="rect">
          <a:avLst/>
        </a:prstGeom>
      </xdr:spPr>
    </xdr:pic>
    <xdr:clientData/>
  </xdr:twoCellAnchor>
  <xdr:twoCellAnchor editAs="oneCell">
    <xdr:from>
      <xdr:col>12</xdr:col>
      <xdr:colOff>66675</xdr:colOff>
      <xdr:row>4</xdr:row>
      <xdr:rowOff>27515</xdr:rowOff>
    </xdr:from>
    <xdr:to>
      <xdr:col>12</xdr:col>
      <xdr:colOff>638175</xdr:colOff>
      <xdr:row>6</xdr:row>
      <xdr:rowOff>57150</xdr:rowOff>
    </xdr:to>
    <xdr:sp macro="" textlink="">
      <xdr:nvSpPr>
        <xdr:cNvPr id="29" name="32 CuadroTexto">
          <a:extLst>
            <a:ext uri="{FF2B5EF4-FFF2-40B4-BE49-F238E27FC236}">
              <a16:creationId xmlns:a16="http://schemas.microsoft.com/office/drawing/2014/main" id="{00000000-0008-0000-0600-00001D000000}"/>
            </a:ext>
          </a:extLst>
        </xdr:cNvPr>
        <xdr:cNvSpPr txBox="1"/>
      </xdr:nvSpPr>
      <xdr:spPr>
        <a:xfrm>
          <a:off x="10868025" y="722840"/>
          <a:ext cx="571500" cy="2677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oneCell">
    <xdr:from>
      <xdr:col>10</xdr:col>
      <xdr:colOff>28575</xdr:colOff>
      <xdr:row>1</xdr:row>
      <xdr:rowOff>0</xdr:rowOff>
    </xdr:from>
    <xdr:to>
      <xdr:col>11</xdr:col>
      <xdr:colOff>585375</xdr:colOff>
      <xdr:row>6</xdr:row>
      <xdr:rowOff>80550</xdr:rowOff>
    </xdr:to>
    <xdr:pic>
      <xdr:nvPicPr>
        <xdr:cNvPr id="21" name="31 Imagen">
          <a:hlinkClick xmlns:r="http://schemas.openxmlformats.org/officeDocument/2006/relationships" r:id="rId1"/>
          <a:extLst>
            <a:ext uri="{FF2B5EF4-FFF2-40B4-BE49-F238E27FC236}">
              <a16:creationId xmlns:a16="http://schemas.microsoft.com/office/drawing/2014/main" id="{00000000-0008-0000-0700-00001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629775" y="171450"/>
          <a:ext cx="709200" cy="842550"/>
        </a:xfrm>
        <a:prstGeom prst="rect">
          <a:avLst/>
        </a:prstGeom>
      </xdr:spPr>
    </xdr:pic>
    <xdr:clientData/>
  </xdr:twoCellAnchor>
  <xdr:twoCellAnchor editAs="oneCell">
    <xdr:from>
      <xdr:col>10</xdr:col>
      <xdr:colOff>114300</xdr:colOff>
      <xdr:row>4</xdr:row>
      <xdr:rowOff>75140</xdr:rowOff>
    </xdr:from>
    <xdr:to>
      <xdr:col>11</xdr:col>
      <xdr:colOff>533400</xdr:colOff>
      <xdr:row>6</xdr:row>
      <xdr:rowOff>123825</xdr:rowOff>
    </xdr:to>
    <xdr:sp macro="" textlink="">
      <xdr:nvSpPr>
        <xdr:cNvPr id="22" name="32 CuadroTexto">
          <a:extLst>
            <a:ext uri="{FF2B5EF4-FFF2-40B4-BE49-F238E27FC236}">
              <a16:creationId xmlns:a16="http://schemas.microsoft.com/office/drawing/2014/main" id="{00000000-0008-0000-0700-000016000000}"/>
            </a:ext>
          </a:extLst>
        </xdr:cNvPr>
        <xdr:cNvSpPr txBox="1"/>
      </xdr:nvSpPr>
      <xdr:spPr>
        <a:xfrm>
          <a:off x="9839325" y="770465"/>
          <a:ext cx="571500" cy="28681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xdr:twoCellAnchor>
    <xdr:from>
      <xdr:col>5</xdr:col>
      <xdr:colOff>104775</xdr:colOff>
      <xdr:row>11</xdr:row>
      <xdr:rowOff>19050</xdr:rowOff>
    </xdr:from>
    <xdr:to>
      <xdr:col>8</xdr:col>
      <xdr:colOff>476250</xdr:colOff>
      <xdr:row>11</xdr:row>
      <xdr:rowOff>314325</xdr:rowOff>
    </xdr:to>
    <xdr:sp macro="" textlink="">
      <xdr:nvSpPr>
        <xdr:cNvPr id="23" name="Rectangle 6">
          <a:hlinkClick xmlns:r="http://schemas.openxmlformats.org/officeDocument/2006/relationships" r:id="rId3"/>
          <a:extLst>
            <a:ext uri="{FF2B5EF4-FFF2-40B4-BE49-F238E27FC236}">
              <a16:creationId xmlns:a16="http://schemas.microsoft.com/office/drawing/2014/main" id="{00000000-0008-0000-0700-000017000000}"/>
            </a:ext>
          </a:extLst>
        </xdr:cNvPr>
        <xdr:cNvSpPr>
          <a:spLocks noChangeArrowheads="1"/>
        </xdr:cNvSpPr>
      </xdr:nvSpPr>
      <xdr:spPr bwMode="auto">
        <a:xfrm>
          <a:off x="6334125" y="1962150"/>
          <a:ext cx="2981325" cy="295275"/>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POLITICAS CAPITAL DE TRABAJO</a:t>
          </a:r>
        </a:p>
        <a:p>
          <a:pPr algn="l" rtl="0">
            <a:defRPr sz="1000"/>
          </a:pPr>
          <a:endParaRPr lang="es-ES" sz="1000" b="1" i="0" strike="noStrike">
            <a:solidFill>
              <a:srgbClr val="003300"/>
            </a:solidFill>
            <a:latin typeface="Arial"/>
            <a:cs typeface="Arial"/>
          </a:endParaRPr>
        </a:p>
      </xdr:txBody>
    </xdr:sp>
    <xdr:clientData/>
  </xdr:twoCellAnchor>
  <xdr:twoCellAnchor>
    <xdr:from>
      <xdr:col>1</xdr:col>
      <xdr:colOff>447675</xdr:colOff>
      <xdr:row>11</xdr:row>
      <xdr:rowOff>200025</xdr:rowOff>
    </xdr:from>
    <xdr:to>
      <xdr:col>4</xdr:col>
      <xdr:colOff>638174</xdr:colOff>
      <xdr:row>14</xdr:row>
      <xdr:rowOff>46800</xdr:rowOff>
    </xdr:to>
    <xdr:sp macro="" textlink="">
      <xdr:nvSpPr>
        <xdr:cNvPr id="24" name="Rectangle 7">
          <a:hlinkClick xmlns:r="http://schemas.openxmlformats.org/officeDocument/2006/relationships" r:id="rId4"/>
          <a:extLst>
            <a:ext uri="{FF2B5EF4-FFF2-40B4-BE49-F238E27FC236}">
              <a16:creationId xmlns:a16="http://schemas.microsoft.com/office/drawing/2014/main" id="{00000000-0008-0000-0700-000018000000}"/>
            </a:ext>
          </a:extLst>
        </xdr:cNvPr>
        <xdr:cNvSpPr>
          <a:spLocks noChangeArrowheads="1"/>
        </xdr:cNvSpPr>
      </xdr:nvSpPr>
      <xdr:spPr bwMode="auto">
        <a:xfrm>
          <a:off x="1104900" y="2143125"/>
          <a:ext cx="4124324" cy="504000"/>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27432" bIns="22860" anchor="t" upright="1"/>
        <a:lstStyle/>
        <a:p>
          <a:pPr algn="ctr" rtl="0">
            <a:defRPr sz="1000"/>
          </a:pPr>
          <a:r>
            <a:rPr lang="es-ES" sz="1200" b="1" i="0" strike="noStrike">
              <a:solidFill>
                <a:srgbClr val="003300"/>
              </a:solidFill>
              <a:latin typeface="Arial"/>
              <a:cs typeface="Arial"/>
            </a:rPr>
            <a:t>PLAN</a:t>
          </a:r>
          <a:r>
            <a:rPr lang="es-ES" sz="1200" b="1" i="0" strike="noStrike" baseline="0">
              <a:solidFill>
                <a:srgbClr val="003300"/>
              </a:solidFill>
              <a:latin typeface="Arial"/>
              <a:cs typeface="Arial"/>
            </a:rPr>
            <a:t> DE INVERSION</a:t>
          </a:r>
          <a:r>
            <a:rPr lang="es-ES" sz="1200" b="1" i="0" strike="noStrike">
              <a:solidFill>
                <a:srgbClr val="003300"/>
              </a:solidFill>
              <a:latin typeface="Arial"/>
              <a:cs typeface="Arial"/>
            </a:rPr>
            <a:t> </a:t>
          </a:r>
        </a:p>
      </xdr:txBody>
    </xdr:sp>
    <xdr:clientData/>
  </xdr:twoCellAnchor>
  <xdr:twoCellAnchor>
    <xdr:from>
      <xdr:col>4</xdr:col>
      <xdr:colOff>704850</xdr:colOff>
      <xdr:row>10</xdr:row>
      <xdr:rowOff>123825</xdr:rowOff>
    </xdr:from>
    <xdr:to>
      <xdr:col>5</xdr:col>
      <xdr:colOff>9525</xdr:colOff>
      <xdr:row>15</xdr:row>
      <xdr:rowOff>104775</xdr:rowOff>
    </xdr:to>
    <xdr:sp macro="" textlink="">
      <xdr:nvSpPr>
        <xdr:cNvPr id="25" name="AutoShape 8">
          <a:extLst>
            <a:ext uri="{FF2B5EF4-FFF2-40B4-BE49-F238E27FC236}">
              <a16:creationId xmlns:a16="http://schemas.microsoft.com/office/drawing/2014/main" id="{00000000-0008-0000-0700-000019000000}"/>
            </a:ext>
          </a:extLst>
        </xdr:cNvPr>
        <xdr:cNvSpPr>
          <a:spLocks/>
        </xdr:cNvSpPr>
      </xdr:nvSpPr>
      <xdr:spPr bwMode="auto">
        <a:xfrm>
          <a:off x="4972050" y="1905000"/>
          <a:ext cx="171450" cy="962025"/>
        </a:xfrm>
        <a:prstGeom prst="leftBrace">
          <a:avLst>
            <a:gd name="adj1" fmla="val 49242"/>
            <a:gd name="adj2" fmla="val 50000"/>
          </a:avLst>
        </a:prstGeom>
        <a:noFill/>
        <a:ln w="25400">
          <a:solidFill>
            <a:srgbClr val="000000"/>
          </a:solidFill>
          <a:round/>
          <a:headEnd/>
          <a:tailEnd/>
        </a:ln>
      </xdr:spPr>
    </xdr:sp>
    <xdr:clientData/>
  </xdr:twoCellAnchor>
  <xdr:twoCellAnchor>
    <xdr:from>
      <xdr:col>5</xdr:col>
      <xdr:colOff>104775</xdr:colOff>
      <xdr:row>13</xdr:row>
      <xdr:rowOff>76200</xdr:rowOff>
    </xdr:from>
    <xdr:to>
      <xdr:col>8</xdr:col>
      <xdr:colOff>476250</xdr:colOff>
      <xdr:row>15</xdr:row>
      <xdr:rowOff>47625</xdr:rowOff>
    </xdr:to>
    <xdr:sp macro="" textlink="">
      <xdr:nvSpPr>
        <xdr:cNvPr id="26" name="Rectangle 12">
          <a:hlinkClick xmlns:r="http://schemas.openxmlformats.org/officeDocument/2006/relationships" r:id="rId5"/>
          <a:extLst>
            <a:ext uri="{FF2B5EF4-FFF2-40B4-BE49-F238E27FC236}">
              <a16:creationId xmlns:a16="http://schemas.microsoft.com/office/drawing/2014/main" id="{00000000-0008-0000-0700-00001A000000}"/>
            </a:ext>
          </a:extLst>
        </xdr:cNvPr>
        <xdr:cNvSpPr>
          <a:spLocks noChangeArrowheads="1"/>
        </xdr:cNvSpPr>
      </xdr:nvSpPr>
      <xdr:spPr bwMode="auto">
        <a:xfrm>
          <a:off x="6334125" y="2514600"/>
          <a:ext cx="2981325" cy="295275"/>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PLAN DE INVERSION Y FINANCIACION</a:t>
          </a:r>
        </a:p>
        <a:p>
          <a:pPr algn="l" rtl="0">
            <a:defRPr sz="1000"/>
          </a:pPr>
          <a:endParaRPr lang="es-ES" sz="1000" b="1" i="0" strike="noStrike">
            <a:solidFill>
              <a:srgbClr val="003300"/>
            </a:solidFill>
            <a:latin typeface="Arial"/>
            <a:cs typeface="Arial"/>
          </a:endParaRPr>
        </a:p>
      </xdr:txBody>
    </xdr:sp>
    <xdr:clientData/>
  </xdr:twoCellAnchor>
  <xdr:twoCellAnchor editAs="oneCell">
    <xdr:from>
      <xdr:col>8</xdr:col>
      <xdr:colOff>666750</xdr:colOff>
      <xdr:row>40</xdr:row>
      <xdr:rowOff>114300</xdr:rowOff>
    </xdr:from>
    <xdr:to>
      <xdr:col>9</xdr:col>
      <xdr:colOff>731744</xdr:colOff>
      <xdr:row>42</xdr:row>
      <xdr:rowOff>154641</xdr:rowOff>
    </xdr:to>
    <xdr:sp macro="" textlink="" fLocksText="0">
      <xdr:nvSpPr>
        <xdr:cNvPr id="17" name="AutoShape 15">
          <a:hlinkClick xmlns:r="http://schemas.openxmlformats.org/officeDocument/2006/relationships" r:id="rId6"/>
          <a:extLst>
            <a:ext uri="{FF2B5EF4-FFF2-40B4-BE49-F238E27FC236}">
              <a16:creationId xmlns:a16="http://schemas.microsoft.com/office/drawing/2014/main" id="{00000000-0008-0000-0700-000011000000}"/>
            </a:ext>
          </a:extLst>
        </xdr:cNvPr>
        <xdr:cNvSpPr>
          <a:spLocks noChangeArrowheads="1"/>
        </xdr:cNvSpPr>
      </xdr:nvSpPr>
      <xdr:spPr bwMode="auto">
        <a:xfrm>
          <a:off x="8753475" y="9296400"/>
          <a:ext cx="941294" cy="459441"/>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twoCellAnchor editAs="oneCell">
    <xdr:from>
      <xdr:col>8</xdr:col>
      <xdr:colOff>666750</xdr:colOff>
      <xdr:row>82</xdr:row>
      <xdr:rowOff>38100</xdr:rowOff>
    </xdr:from>
    <xdr:to>
      <xdr:col>9</xdr:col>
      <xdr:colOff>731744</xdr:colOff>
      <xdr:row>84</xdr:row>
      <xdr:rowOff>173691</xdr:rowOff>
    </xdr:to>
    <xdr:sp macro="" textlink="" fLocksText="0">
      <xdr:nvSpPr>
        <xdr:cNvPr id="9" name="AutoShape 15">
          <a:hlinkClick xmlns:r="http://schemas.openxmlformats.org/officeDocument/2006/relationships" r:id="rId6"/>
          <a:extLst>
            <a:ext uri="{FF2B5EF4-FFF2-40B4-BE49-F238E27FC236}">
              <a16:creationId xmlns:a16="http://schemas.microsoft.com/office/drawing/2014/main" id="{00000000-0008-0000-0700-000009000000}"/>
            </a:ext>
          </a:extLst>
        </xdr:cNvPr>
        <xdr:cNvSpPr>
          <a:spLocks noChangeArrowheads="1"/>
        </xdr:cNvSpPr>
      </xdr:nvSpPr>
      <xdr:spPr bwMode="auto">
        <a:xfrm>
          <a:off x="8753475" y="20602575"/>
          <a:ext cx="941294" cy="459441"/>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wsDr>
</file>

<file path=xl/drawings/drawing8.xml><?xml version="1.0" encoding="utf-8"?>
<xdr:wsDr xmlns:xdr="http://schemas.openxmlformats.org/drawingml/2006/spreadsheetDrawing" xmlns:a="http://schemas.openxmlformats.org/drawingml/2006/main">
  <xdr:twoCellAnchor editAs="oneCell">
    <xdr:from>
      <xdr:col>3</xdr:col>
      <xdr:colOff>0</xdr:colOff>
      <xdr:row>0</xdr:row>
      <xdr:rowOff>30243</xdr:rowOff>
    </xdr:from>
    <xdr:to>
      <xdr:col>3</xdr:col>
      <xdr:colOff>720000</xdr:colOff>
      <xdr:row>5</xdr:row>
      <xdr:rowOff>91507</xdr:rowOff>
    </xdr:to>
    <xdr:pic>
      <xdr:nvPicPr>
        <xdr:cNvPr id="9" name="8 Imagen">
          <a:hlinkClick xmlns:r="http://schemas.openxmlformats.org/officeDocument/2006/relationships" r:id="rId1"/>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630833" y="30243"/>
          <a:ext cx="720000" cy="689914"/>
        </a:xfrm>
        <a:prstGeom prst="rect">
          <a:avLst/>
        </a:prstGeom>
      </xdr:spPr>
    </xdr:pic>
    <xdr:clientData/>
  </xdr:twoCellAnchor>
  <xdr:twoCellAnchor editAs="oneCell">
    <xdr:from>
      <xdr:col>3</xdr:col>
      <xdr:colOff>66675</xdr:colOff>
      <xdr:row>4</xdr:row>
      <xdr:rowOff>29184</xdr:rowOff>
    </xdr:from>
    <xdr:to>
      <xdr:col>3</xdr:col>
      <xdr:colOff>638175</xdr:colOff>
      <xdr:row>6</xdr:row>
      <xdr:rowOff>872</xdr:rowOff>
    </xdr:to>
    <xdr:sp macro="" textlink="">
      <xdr:nvSpPr>
        <xdr:cNvPr id="10" name="9 CuadroTexto">
          <a:extLst>
            <a:ext uri="{FF2B5EF4-FFF2-40B4-BE49-F238E27FC236}">
              <a16:creationId xmlns:a16="http://schemas.microsoft.com/office/drawing/2014/main" id="{00000000-0008-0000-0800-00000A000000}"/>
            </a:ext>
          </a:extLst>
        </xdr:cNvPr>
        <xdr:cNvSpPr txBox="1"/>
      </xdr:nvSpPr>
      <xdr:spPr>
        <a:xfrm>
          <a:off x="9697508" y="643017"/>
          <a:ext cx="571500" cy="2000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xdr:twoCellAnchor editAs="oneCell">
    <xdr:from>
      <xdr:col>3</xdr:col>
      <xdr:colOff>19050</xdr:colOff>
      <xdr:row>43</xdr:row>
      <xdr:rowOff>3366410</xdr:rowOff>
    </xdr:from>
    <xdr:to>
      <xdr:col>4</xdr:col>
      <xdr:colOff>24341</xdr:colOff>
      <xdr:row>46</xdr:row>
      <xdr:rowOff>1268</xdr:rowOff>
    </xdr:to>
    <xdr:sp macro="" textlink="">
      <xdr:nvSpPr>
        <xdr:cNvPr id="11" name="AutoShape 25">
          <a:hlinkClick xmlns:r="http://schemas.openxmlformats.org/officeDocument/2006/relationships" r:id="rId3"/>
          <a:extLst>
            <a:ext uri="{FF2B5EF4-FFF2-40B4-BE49-F238E27FC236}">
              <a16:creationId xmlns:a16="http://schemas.microsoft.com/office/drawing/2014/main" id="{00000000-0008-0000-0800-00000B000000}"/>
            </a:ext>
          </a:extLst>
        </xdr:cNvPr>
        <xdr:cNvSpPr>
          <a:spLocks noChangeArrowheads="1"/>
        </xdr:cNvSpPr>
      </xdr:nvSpPr>
      <xdr:spPr bwMode="auto">
        <a:xfrm>
          <a:off x="9639300" y="73375160"/>
          <a:ext cx="767291" cy="372987"/>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anchorCtr="0" upright="1"/>
        <a:lstStyle/>
        <a:p>
          <a:pPr algn="ctr" rtl="0">
            <a:defRPr sz="1000"/>
          </a:pPr>
          <a:r>
            <a:rPr lang="es-ES" sz="900" b="1" i="0" strike="noStrike">
              <a:solidFill>
                <a:srgbClr val="003300"/>
              </a:solidFill>
              <a:latin typeface="Arial"/>
              <a:cs typeface="Arial"/>
            </a:rPr>
            <a:t>Subir</a:t>
          </a:r>
        </a:p>
      </xdr:txBody>
    </xdr:sp>
    <xdr:clientData fPrintsWithSheet="0"/>
  </xdr:twoCellAnchor>
  <mc:AlternateContent xmlns:mc="http://schemas.openxmlformats.org/markup-compatibility/2006">
    <mc:Choice xmlns:a14="http://schemas.microsoft.com/office/drawing/2010/main" Requires="a14">
      <xdr:twoCellAnchor editAs="oneCell">
        <xdr:from>
          <xdr:col>3</xdr:col>
          <xdr:colOff>47625</xdr:colOff>
          <xdr:row>7</xdr:row>
          <xdr:rowOff>9525</xdr:rowOff>
        </xdr:from>
        <xdr:to>
          <xdr:col>3</xdr:col>
          <xdr:colOff>638175</xdr:colOff>
          <xdr:row>8</xdr:row>
          <xdr:rowOff>466725</xdr:rowOff>
        </xdr:to>
        <xdr:sp macro="" textlink="">
          <xdr:nvSpPr>
            <xdr:cNvPr id="18461" name="CommandButton2" hidden="1">
              <a:extLst>
                <a:ext uri="{63B3BB69-23CF-44E3-9099-C40C66FF867C}">
                  <a14:compatExt spid="_x0000_s18461"/>
                </a:ext>
                <a:ext uri="{FF2B5EF4-FFF2-40B4-BE49-F238E27FC236}">
                  <a16:creationId xmlns:a16="http://schemas.microsoft.com/office/drawing/2014/main" id="{00000000-0008-0000-0800-00001D4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twoCellAnchor editAs="oneCell">
    <xdr:from>
      <xdr:col>3</xdr:col>
      <xdr:colOff>19050</xdr:colOff>
      <xdr:row>40</xdr:row>
      <xdr:rowOff>0</xdr:rowOff>
    </xdr:from>
    <xdr:to>
      <xdr:col>4</xdr:col>
      <xdr:colOff>24341</xdr:colOff>
      <xdr:row>42</xdr:row>
      <xdr:rowOff>14815</xdr:rowOff>
    </xdr:to>
    <xdr:sp macro="" textlink="">
      <xdr:nvSpPr>
        <xdr:cNvPr id="7" name="AutoShape 25">
          <a:hlinkClick xmlns:r="http://schemas.openxmlformats.org/officeDocument/2006/relationships" r:id="rId3"/>
          <a:extLst>
            <a:ext uri="{FF2B5EF4-FFF2-40B4-BE49-F238E27FC236}">
              <a16:creationId xmlns:a16="http://schemas.microsoft.com/office/drawing/2014/main" id="{00000000-0008-0000-0800-000007000000}"/>
            </a:ext>
          </a:extLst>
        </xdr:cNvPr>
        <xdr:cNvSpPr>
          <a:spLocks noChangeArrowheads="1"/>
        </xdr:cNvSpPr>
      </xdr:nvSpPr>
      <xdr:spPr bwMode="auto">
        <a:xfrm>
          <a:off x="9639300" y="65265300"/>
          <a:ext cx="767291" cy="372987"/>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anchorCtr="0" upright="1"/>
        <a:lstStyle/>
        <a:p>
          <a:pPr algn="ctr" rtl="0">
            <a:defRPr sz="1000"/>
          </a:pPr>
          <a:r>
            <a:rPr lang="es-ES" sz="900" b="1" i="0" strike="noStrike">
              <a:solidFill>
                <a:srgbClr val="003300"/>
              </a:solidFill>
              <a:latin typeface="Arial"/>
              <a:cs typeface="Arial"/>
            </a:rPr>
            <a:t>Subir</a:t>
          </a:r>
        </a:p>
      </xdr:txBody>
    </xdr:sp>
    <xdr:clientData fPrintsWithSheet="0"/>
  </xdr:twoCellAnchor>
  <xdr:twoCellAnchor editAs="oneCell">
    <xdr:from>
      <xdr:col>3</xdr:col>
      <xdr:colOff>19050</xdr:colOff>
      <xdr:row>34</xdr:row>
      <xdr:rowOff>3409950</xdr:rowOff>
    </xdr:from>
    <xdr:to>
      <xdr:col>4</xdr:col>
      <xdr:colOff>24341</xdr:colOff>
      <xdr:row>37</xdr:row>
      <xdr:rowOff>62607</xdr:rowOff>
    </xdr:to>
    <xdr:sp macro="" textlink="">
      <xdr:nvSpPr>
        <xdr:cNvPr id="12" name="AutoShape 25">
          <a:hlinkClick xmlns:r="http://schemas.openxmlformats.org/officeDocument/2006/relationships" r:id="rId3"/>
          <a:extLst>
            <a:ext uri="{FF2B5EF4-FFF2-40B4-BE49-F238E27FC236}">
              <a16:creationId xmlns:a16="http://schemas.microsoft.com/office/drawing/2014/main" id="{00000000-0008-0000-0800-00000C000000}"/>
            </a:ext>
          </a:extLst>
        </xdr:cNvPr>
        <xdr:cNvSpPr>
          <a:spLocks noChangeArrowheads="1"/>
        </xdr:cNvSpPr>
      </xdr:nvSpPr>
      <xdr:spPr bwMode="auto">
        <a:xfrm>
          <a:off x="9639300" y="48987075"/>
          <a:ext cx="767291" cy="372987"/>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anchorCtr="0" upright="1"/>
        <a:lstStyle/>
        <a:p>
          <a:pPr algn="ctr" rtl="0">
            <a:defRPr sz="1000"/>
          </a:pPr>
          <a:r>
            <a:rPr lang="es-ES" sz="900" b="1" i="0" strike="noStrike">
              <a:solidFill>
                <a:srgbClr val="003300"/>
              </a:solidFill>
              <a:latin typeface="Arial"/>
              <a:cs typeface="Arial"/>
            </a:rPr>
            <a:t>Subir</a:t>
          </a:r>
        </a:p>
      </xdr:txBody>
    </xdr:sp>
    <xdr:clientData fPrintsWithSheet="0"/>
  </xdr:twoCellAnchor>
  <xdr:twoCellAnchor editAs="oneCell">
    <xdr:from>
      <xdr:col>3</xdr:col>
      <xdr:colOff>19050</xdr:colOff>
      <xdr:row>29</xdr:row>
      <xdr:rowOff>3381375</xdr:rowOff>
    </xdr:from>
    <xdr:to>
      <xdr:col>4</xdr:col>
      <xdr:colOff>24341</xdr:colOff>
      <xdr:row>32</xdr:row>
      <xdr:rowOff>58919</xdr:rowOff>
    </xdr:to>
    <xdr:sp macro="" textlink="">
      <xdr:nvSpPr>
        <xdr:cNvPr id="13" name="AutoShape 25">
          <a:hlinkClick xmlns:r="http://schemas.openxmlformats.org/officeDocument/2006/relationships" r:id="rId3"/>
          <a:extLst>
            <a:ext uri="{FF2B5EF4-FFF2-40B4-BE49-F238E27FC236}">
              <a16:creationId xmlns:a16="http://schemas.microsoft.com/office/drawing/2014/main" id="{00000000-0008-0000-0800-00000D000000}"/>
            </a:ext>
          </a:extLst>
        </xdr:cNvPr>
        <xdr:cNvSpPr>
          <a:spLocks noChangeArrowheads="1"/>
        </xdr:cNvSpPr>
      </xdr:nvSpPr>
      <xdr:spPr bwMode="auto">
        <a:xfrm>
          <a:off x="9639300" y="40814625"/>
          <a:ext cx="767291" cy="372987"/>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anchorCtr="0" upright="1"/>
        <a:lstStyle/>
        <a:p>
          <a:pPr algn="ctr" rtl="0">
            <a:defRPr sz="1000"/>
          </a:pPr>
          <a:r>
            <a:rPr lang="es-ES" sz="900" b="1" i="0" strike="noStrike">
              <a:solidFill>
                <a:srgbClr val="003300"/>
              </a:solidFill>
              <a:latin typeface="Arial"/>
              <a:cs typeface="Arial"/>
            </a:rPr>
            <a:t>Subir</a:t>
          </a:r>
        </a:p>
      </xdr:txBody>
    </xdr:sp>
    <xdr:clientData fPrintsWithSheet="0"/>
  </xdr:twoCellAnchor>
  <xdr:twoCellAnchor editAs="oneCell">
    <xdr:from>
      <xdr:col>3</xdr:col>
      <xdr:colOff>19050</xdr:colOff>
      <xdr:row>24</xdr:row>
      <xdr:rowOff>3409950</xdr:rowOff>
    </xdr:from>
    <xdr:to>
      <xdr:col>4</xdr:col>
      <xdr:colOff>24341</xdr:colOff>
      <xdr:row>27</xdr:row>
      <xdr:rowOff>65708</xdr:rowOff>
    </xdr:to>
    <xdr:sp macro="" textlink="">
      <xdr:nvSpPr>
        <xdr:cNvPr id="14" name="AutoShape 25">
          <a:hlinkClick xmlns:r="http://schemas.openxmlformats.org/officeDocument/2006/relationships" r:id="rId3"/>
          <a:extLst>
            <a:ext uri="{FF2B5EF4-FFF2-40B4-BE49-F238E27FC236}">
              <a16:creationId xmlns:a16="http://schemas.microsoft.com/office/drawing/2014/main" id="{00000000-0008-0000-0800-00000E000000}"/>
            </a:ext>
          </a:extLst>
        </xdr:cNvPr>
        <xdr:cNvSpPr>
          <a:spLocks noChangeArrowheads="1"/>
        </xdr:cNvSpPr>
      </xdr:nvSpPr>
      <xdr:spPr bwMode="auto">
        <a:xfrm>
          <a:off x="9639300" y="32699325"/>
          <a:ext cx="767291" cy="372987"/>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anchorCtr="0" upright="1"/>
        <a:lstStyle/>
        <a:p>
          <a:pPr algn="ctr" rtl="0">
            <a:defRPr sz="1000"/>
          </a:pPr>
          <a:r>
            <a:rPr lang="es-ES" sz="900" b="1" i="0" strike="noStrike">
              <a:solidFill>
                <a:srgbClr val="003300"/>
              </a:solidFill>
              <a:latin typeface="Arial"/>
              <a:cs typeface="Arial"/>
            </a:rPr>
            <a:t>Subir</a:t>
          </a:r>
        </a:p>
      </xdr:txBody>
    </xdr:sp>
    <xdr:clientData fPrintsWithSheet="0"/>
  </xdr:twoCellAnchor>
  <xdr:twoCellAnchor editAs="oneCell">
    <xdr:from>
      <xdr:col>3</xdr:col>
      <xdr:colOff>19050</xdr:colOff>
      <xdr:row>19</xdr:row>
      <xdr:rowOff>3400425</xdr:rowOff>
    </xdr:from>
    <xdr:to>
      <xdr:col>4</xdr:col>
      <xdr:colOff>24341</xdr:colOff>
      <xdr:row>22</xdr:row>
      <xdr:rowOff>56105</xdr:rowOff>
    </xdr:to>
    <xdr:sp macro="" textlink="">
      <xdr:nvSpPr>
        <xdr:cNvPr id="15" name="AutoShape 25">
          <a:hlinkClick xmlns:r="http://schemas.openxmlformats.org/officeDocument/2006/relationships" r:id="rId3"/>
          <a:extLst>
            <a:ext uri="{FF2B5EF4-FFF2-40B4-BE49-F238E27FC236}">
              <a16:creationId xmlns:a16="http://schemas.microsoft.com/office/drawing/2014/main" id="{00000000-0008-0000-0800-00000F000000}"/>
            </a:ext>
          </a:extLst>
        </xdr:cNvPr>
        <xdr:cNvSpPr>
          <a:spLocks noChangeArrowheads="1"/>
        </xdr:cNvSpPr>
      </xdr:nvSpPr>
      <xdr:spPr bwMode="auto">
        <a:xfrm>
          <a:off x="9639300" y="24545925"/>
          <a:ext cx="767291" cy="372987"/>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anchorCtr="0" upright="1"/>
        <a:lstStyle/>
        <a:p>
          <a:pPr algn="ctr" rtl="0">
            <a:defRPr sz="1000"/>
          </a:pPr>
          <a:r>
            <a:rPr lang="es-ES" sz="900" b="1" i="0" strike="noStrike">
              <a:solidFill>
                <a:srgbClr val="003300"/>
              </a:solidFill>
              <a:latin typeface="Arial"/>
              <a:cs typeface="Arial"/>
            </a:rPr>
            <a:t>Subir</a:t>
          </a:r>
        </a:p>
      </xdr:txBody>
    </xdr:sp>
    <xdr:clientData fPrintsWithSheet="0"/>
  </xdr:twoCellAnchor>
  <xdr:twoCellAnchor editAs="oneCell">
    <xdr:from>
      <xdr:col>3</xdr:col>
      <xdr:colOff>19050</xdr:colOff>
      <xdr:row>14</xdr:row>
      <xdr:rowOff>3390900</xdr:rowOff>
    </xdr:from>
    <xdr:to>
      <xdr:col>4</xdr:col>
      <xdr:colOff>24341</xdr:colOff>
      <xdr:row>17</xdr:row>
      <xdr:rowOff>56183</xdr:rowOff>
    </xdr:to>
    <xdr:sp macro="" textlink="">
      <xdr:nvSpPr>
        <xdr:cNvPr id="16" name="AutoShape 25">
          <a:hlinkClick xmlns:r="http://schemas.openxmlformats.org/officeDocument/2006/relationships" r:id="rId3"/>
          <a:extLst>
            <a:ext uri="{FF2B5EF4-FFF2-40B4-BE49-F238E27FC236}">
              <a16:creationId xmlns:a16="http://schemas.microsoft.com/office/drawing/2014/main" id="{00000000-0008-0000-0800-000010000000}"/>
            </a:ext>
          </a:extLst>
        </xdr:cNvPr>
        <xdr:cNvSpPr>
          <a:spLocks noChangeArrowheads="1"/>
        </xdr:cNvSpPr>
      </xdr:nvSpPr>
      <xdr:spPr bwMode="auto">
        <a:xfrm>
          <a:off x="9639300" y="16392525"/>
          <a:ext cx="767291" cy="372987"/>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anchorCtr="0" upright="1"/>
        <a:lstStyle/>
        <a:p>
          <a:pPr algn="ctr" rtl="0">
            <a:defRPr sz="1000"/>
          </a:pPr>
          <a:r>
            <a:rPr lang="es-ES" sz="900" b="1" i="0" strike="noStrike">
              <a:solidFill>
                <a:srgbClr val="003300"/>
              </a:solidFill>
              <a:latin typeface="Arial"/>
              <a:cs typeface="Arial"/>
            </a:rPr>
            <a:t>Subir</a:t>
          </a:r>
        </a:p>
      </xdr:txBody>
    </xdr:sp>
    <xdr:clientData fPrintsWithSheet="0"/>
  </xdr:twoCellAnchor>
  <xdr:twoCellAnchor editAs="oneCell">
    <xdr:from>
      <xdr:col>3</xdr:col>
      <xdr:colOff>19050</xdr:colOff>
      <xdr:row>9</xdr:row>
      <xdr:rowOff>3400425</xdr:rowOff>
    </xdr:from>
    <xdr:to>
      <xdr:col>4</xdr:col>
      <xdr:colOff>24341</xdr:colOff>
      <xdr:row>12</xdr:row>
      <xdr:rowOff>62951</xdr:rowOff>
    </xdr:to>
    <xdr:sp macro="" textlink="">
      <xdr:nvSpPr>
        <xdr:cNvPr id="17" name="AutoShape 25">
          <a:hlinkClick xmlns:r="http://schemas.openxmlformats.org/officeDocument/2006/relationships" r:id="rId3"/>
          <a:extLst>
            <a:ext uri="{FF2B5EF4-FFF2-40B4-BE49-F238E27FC236}">
              <a16:creationId xmlns:a16="http://schemas.microsoft.com/office/drawing/2014/main" id="{00000000-0008-0000-0800-000011000000}"/>
            </a:ext>
          </a:extLst>
        </xdr:cNvPr>
        <xdr:cNvSpPr>
          <a:spLocks noChangeArrowheads="1"/>
        </xdr:cNvSpPr>
      </xdr:nvSpPr>
      <xdr:spPr bwMode="auto">
        <a:xfrm>
          <a:off x="9639300" y="8258175"/>
          <a:ext cx="767291" cy="372987"/>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anchorCtr="0" upright="1"/>
        <a:lstStyle/>
        <a:p>
          <a:pPr algn="ctr" rtl="0">
            <a:defRPr sz="1000"/>
          </a:pPr>
          <a:r>
            <a:rPr lang="es-ES" sz="900" b="1" i="0" strike="noStrike">
              <a:solidFill>
                <a:srgbClr val="003300"/>
              </a:solidFill>
              <a:latin typeface="Arial"/>
              <a:cs typeface="Arial"/>
            </a:rPr>
            <a:t>Subir</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xdr:from>
      <xdr:col>11</xdr:col>
      <xdr:colOff>1076325</xdr:colOff>
      <xdr:row>17</xdr:row>
      <xdr:rowOff>0</xdr:rowOff>
    </xdr:from>
    <xdr:to>
      <xdr:col>12</xdr:col>
      <xdr:colOff>704850</xdr:colOff>
      <xdr:row>17</xdr:row>
      <xdr:rowOff>0</xdr:rowOff>
    </xdr:to>
    <xdr:sp macro="" textlink="">
      <xdr:nvSpPr>
        <xdr:cNvPr id="1952" name="Line 2">
          <a:extLst>
            <a:ext uri="{FF2B5EF4-FFF2-40B4-BE49-F238E27FC236}">
              <a16:creationId xmlns:a16="http://schemas.microsoft.com/office/drawing/2014/main" id="{00000000-0008-0000-0900-0000A0070000}"/>
            </a:ext>
          </a:extLst>
        </xdr:cNvPr>
        <xdr:cNvSpPr>
          <a:spLocks noChangeShapeType="1"/>
        </xdr:cNvSpPr>
      </xdr:nvSpPr>
      <xdr:spPr bwMode="auto">
        <a:xfrm>
          <a:off x="9944100" y="14563725"/>
          <a:ext cx="704850" cy="0"/>
        </a:xfrm>
        <a:prstGeom prst="line">
          <a:avLst/>
        </a:prstGeom>
        <a:noFill/>
        <a:ln w="9525">
          <a:solidFill>
            <a:srgbClr val="000000"/>
          </a:solidFill>
          <a:round/>
          <a:headEnd/>
          <a:tailEnd/>
        </a:ln>
      </xdr:spPr>
    </xdr:sp>
    <xdr:clientData/>
  </xdr:twoCellAnchor>
  <xdr:twoCellAnchor>
    <xdr:from>
      <xdr:col>1</xdr:col>
      <xdr:colOff>1076325</xdr:colOff>
      <xdr:row>29</xdr:row>
      <xdr:rowOff>0</xdr:rowOff>
    </xdr:from>
    <xdr:to>
      <xdr:col>2</xdr:col>
      <xdr:colOff>704850</xdr:colOff>
      <xdr:row>29</xdr:row>
      <xdr:rowOff>0</xdr:rowOff>
    </xdr:to>
    <xdr:sp macro="" textlink="">
      <xdr:nvSpPr>
        <xdr:cNvPr id="1953" name="Line 3">
          <a:extLst>
            <a:ext uri="{FF2B5EF4-FFF2-40B4-BE49-F238E27FC236}">
              <a16:creationId xmlns:a16="http://schemas.microsoft.com/office/drawing/2014/main" id="{00000000-0008-0000-0900-0000A1070000}"/>
            </a:ext>
          </a:extLst>
        </xdr:cNvPr>
        <xdr:cNvSpPr>
          <a:spLocks noChangeShapeType="1"/>
        </xdr:cNvSpPr>
      </xdr:nvSpPr>
      <xdr:spPr bwMode="auto">
        <a:xfrm>
          <a:off x="1838325" y="16716375"/>
          <a:ext cx="1162050" cy="0"/>
        </a:xfrm>
        <a:prstGeom prst="line">
          <a:avLst/>
        </a:prstGeom>
        <a:noFill/>
        <a:ln w="9525">
          <a:solidFill>
            <a:srgbClr val="000000"/>
          </a:solidFill>
          <a:round/>
          <a:headEnd/>
          <a:tailEnd/>
        </a:ln>
      </xdr:spPr>
    </xdr:sp>
    <xdr:clientData/>
  </xdr:twoCellAnchor>
  <xdr:twoCellAnchor>
    <xdr:from>
      <xdr:col>11</xdr:col>
      <xdr:colOff>1076325</xdr:colOff>
      <xdr:row>29</xdr:row>
      <xdr:rowOff>0</xdr:rowOff>
    </xdr:from>
    <xdr:to>
      <xdr:col>12</xdr:col>
      <xdr:colOff>704850</xdr:colOff>
      <xdr:row>29</xdr:row>
      <xdr:rowOff>0</xdr:rowOff>
    </xdr:to>
    <xdr:sp macro="" textlink="">
      <xdr:nvSpPr>
        <xdr:cNvPr id="1954" name="Line 4">
          <a:extLst>
            <a:ext uri="{FF2B5EF4-FFF2-40B4-BE49-F238E27FC236}">
              <a16:creationId xmlns:a16="http://schemas.microsoft.com/office/drawing/2014/main" id="{00000000-0008-0000-0900-0000A2070000}"/>
            </a:ext>
          </a:extLst>
        </xdr:cNvPr>
        <xdr:cNvSpPr>
          <a:spLocks noChangeShapeType="1"/>
        </xdr:cNvSpPr>
      </xdr:nvSpPr>
      <xdr:spPr bwMode="auto">
        <a:xfrm>
          <a:off x="9944100" y="16716375"/>
          <a:ext cx="704850" cy="0"/>
        </a:xfrm>
        <a:prstGeom prst="line">
          <a:avLst/>
        </a:prstGeom>
        <a:noFill/>
        <a:ln w="9525">
          <a:solidFill>
            <a:srgbClr val="000000"/>
          </a:solidFill>
          <a:round/>
          <a:headEnd/>
          <a:tailEnd/>
        </a:ln>
      </xdr:spPr>
    </xdr:sp>
    <xdr:clientData/>
  </xdr:twoCellAnchor>
  <xdr:twoCellAnchor>
    <xdr:from>
      <xdr:col>1</xdr:col>
      <xdr:colOff>1076325</xdr:colOff>
      <xdr:row>29</xdr:row>
      <xdr:rowOff>0</xdr:rowOff>
    </xdr:from>
    <xdr:to>
      <xdr:col>2</xdr:col>
      <xdr:colOff>704850</xdr:colOff>
      <xdr:row>29</xdr:row>
      <xdr:rowOff>0</xdr:rowOff>
    </xdr:to>
    <xdr:sp macro="" textlink="">
      <xdr:nvSpPr>
        <xdr:cNvPr id="1955" name="Line 5">
          <a:extLst>
            <a:ext uri="{FF2B5EF4-FFF2-40B4-BE49-F238E27FC236}">
              <a16:creationId xmlns:a16="http://schemas.microsoft.com/office/drawing/2014/main" id="{00000000-0008-0000-0900-0000A3070000}"/>
            </a:ext>
          </a:extLst>
        </xdr:cNvPr>
        <xdr:cNvSpPr>
          <a:spLocks noChangeShapeType="1"/>
        </xdr:cNvSpPr>
      </xdr:nvSpPr>
      <xdr:spPr bwMode="auto">
        <a:xfrm>
          <a:off x="1838325" y="16716375"/>
          <a:ext cx="1162050" cy="0"/>
        </a:xfrm>
        <a:prstGeom prst="line">
          <a:avLst/>
        </a:prstGeom>
        <a:noFill/>
        <a:ln w="9525">
          <a:solidFill>
            <a:srgbClr val="000000"/>
          </a:solidFill>
          <a:round/>
          <a:headEnd/>
          <a:tailEnd/>
        </a:ln>
      </xdr:spPr>
    </xdr:sp>
    <xdr:clientData/>
  </xdr:twoCellAnchor>
  <xdr:twoCellAnchor>
    <xdr:from>
      <xdr:col>11</xdr:col>
      <xdr:colOff>1076325</xdr:colOff>
      <xdr:row>29</xdr:row>
      <xdr:rowOff>0</xdr:rowOff>
    </xdr:from>
    <xdr:to>
      <xdr:col>12</xdr:col>
      <xdr:colOff>704850</xdr:colOff>
      <xdr:row>29</xdr:row>
      <xdr:rowOff>0</xdr:rowOff>
    </xdr:to>
    <xdr:sp macro="" textlink="">
      <xdr:nvSpPr>
        <xdr:cNvPr id="1956" name="Line 6">
          <a:extLst>
            <a:ext uri="{FF2B5EF4-FFF2-40B4-BE49-F238E27FC236}">
              <a16:creationId xmlns:a16="http://schemas.microsoft.com/office/drawing/2014/main" id="{00000000-0008-0000-0900-0000A4070000}"/>
            </a:ext>
          </a:extLst>
        </xdr:cNvPr>
        <xdr:cNvSpPr>
          <a:spLocks noChangeShapeType="1"/>
        </xdr:cNvSpPr>
      </xdr:nvSpPr>
      <xdr:spPr bwMode="auto">
        <a:xfrm>
          <a:off x="9944100" y="16716375"/>
          <a:ext cx="704850" cy="0"/>
        </a:xfrm>
        <a:prstGeom prst="line">
          <a:avLst/>
        </a:prstGeom>
        <a:noFill/>
        <a:ln w="9525">
          <a:solidFill>
            <a:srgbClr val="000000"/>
          </a:solidFill>
          <a:round/>
          <a:headEnd/>
          <a:tailEnd/>
        </a:ln>
      </xdr:spPr>
    </xdr:sp>
    <xdr:clientData/>
  </xdr:twoCellAnchor>
  <xdr:twoCellAnchor>
    <xdr:from>
      <xdr:col>1</xdr:col>
      <xdr:colOff>1076325</xdr:colOff>
      <xdr:row>29</xdr:row>
      <xdr:rowOff>0</xdr:rowOff>
    </xdr:from>
    <xdr:to>
      <xdr:col>2</xdr:col>
      <xdr:colOff>704850</xdr:colOff>
      <xdr:row>29</xdr:row>
      <xdr:rowOff>0</xdr:rowOff>
    </xdr:to>
    <xdr:sp macro="" textlink="">
      <xdr:nvSpPr>
        <xdr:cNvPr id="1957" name="Line 7">
          <a:extLst>
            <a:ext uri="{FF2B5EF4-FFF2-40B4-BE49-F238E27FC236}">
              <a16:creationId xmlns:a16="http://schemas.microsoft.com/office/drawing/2014/main" id="{00000000-0008-0000-0900-0000A5070000}"/>
            </a:ext>
          </a:extLst>
        </xdr:cNvPr>
        <xdr:cNvSpPr>
          <a:spLocks noChangeShapeType="1"/>
        </xdr:cNvSpPr>
      </xdr:nvSpPr>
      <xdr:spPr bwMode="auto">
        <a:xfrm>
          <a:off x="1838325" y="16716375"/>
          <a:ext cx="1162050" cy="0"/>
        </a:xfrm>
        <a:prstGeom prst="line">
          <a:avLst/>
        </a:prstGeom>
        <a:noFill/>
        <a:ln w="9525">
          <a:solidFill>
            <a:srgbClr val="000000"/>
          </a:solidFill>
          <a:round/>
          <a:headEnd/>
          <a:tailEnd/>
        </a:ln>
      </xdr:spPr>
    </xdr:sp>
    <xdr:clientData/>
  </xdr:twoCellAnchor>
  <xdr:twoCellAnchor>
    <xdr:from>
      <xdr:col>7</xdr:col>
      <xdr:colOff>57150</xdr:colOff>
      <xdr:row>11</xdr:row>
      <xdr:rowOff>238125</xdr:rowOff>
    </xdr:from>
    <xdr:to>
      <xdr:col>12</xdr:col>
      <xdr:colOff>28575</xdr:colOff>
      <xdr:row>14</xdr:row>
      <xdr:rowOff>9525</xdr:rowOff>
    </xdr:to>
    <xdr:sp macro="" textlink="">
      <xdr:nvSpPr>
        <xdr:cNvPr id="1034" name="Rectangle 10">
          <a:hlinkClick xmlns:r="http://schemas.openxmlformats.org/officeDocument/2006/relationships" r:id="rId1"/>
          <a:extLst>
            <a:ext uri="{FF2B5EF4-FFF2-40B4-BE49-F238E27FC236}">
              <a16:creationId xmlns:a16="http://schemas.microsoft.com/office/drawing/2014/main" id="{00000000-0008-0000-0900-00000A040000}"/>
            </a:ext>
          </a:extLst>
        </xdr:cNvPr>
        <xdr:cNvSpPr>
          <a:spLocks noChangeArrowheads="1"/>
        </xdr:cNvSpPr>
      </xdr:nvSpPr>
      <xdr:spPr bwMode="auto">
        <a:xfrm>
          <a:off x="7877175" y="2114550"/>
          <a:ext cx="4448175" cy="361950"/>
        </a:xfrm>
        <a:prstGeom prst="rect">
          <a:avLst/>
        </a:prstGeom>
        <a:gradFill rotWithShape="1">
          <a:gsLst>
            <a:gs pos="0">
              <a:srgbClr val="99FF33"/>
            </a:gs>
            <a:gs pos="100000">
              <a:srgbClr val="767647"/>
            </a:gs>
          </a:gsLst>
          <a:lin ang="5400000" scaled="1"/>
        </a:gradFill>
        <a:ln w="9525" algn="ctr">
          <a:noFill/>
          <a:miter lim="800000"/>
          <a:headEnd/>
          <a:tailEnd/>
        </a:ln>
        <a:effectLst>
          <a:prstShdw prst="shdw18" dist="17961" dir="13500000">
            <a:srgbClr val="33CCCC">
              <a:gamma/>
              <a:shade val="60000"/>
              <a:invGamma/>
            </a:srgbClr>
          </a:prstShdw>
        </a:effectLst>
      </xdr:spPr>
      <xdr:txBody>
        <a:bodyPr vertOverflow="clip" wrap="square" lIns="27432" tIns="22860" rIns="0" bIns="0" anchor="t" upright="1"/>
        <a:lstStyle/>
        <a:p>
          <a:pPr algn="l" rtl="0">
            <a:defRPr sz="1000"/>
          </a:pPr>
          <a:r>
            <a:rPr lang="es-ES" sz="1000" b="1" i="0" strike="noStrike">
              <a:solidFill>
                <a:srgbClr val="000000"/>
              </a:solidFill>
              <a:latin typeface="Arial"/>
              <a:cs typeface="Arial"/>
            </a:rPr>
            <a:t>RESUMEN PRESUPUESTO DE INGRESOS Y COSTOS (INSUMOS)</a:t>
          </a:r>
        </a:p>
        <a:p>
          <a:pPr algn="l" rtl="0">
            <a:defRPr sz="1000"/>
          </a:pPr>
          <a:endParaRPr lang="es-ES" sz="1000" b="1" i="0" strike="noStrike">
            <a:solidFill>
              <a:srgbClr val="000000"/>
            </a:solidFill>
            <a:latin typeface="Arial"/>
            <a:cs typeface="Arial"/>
          </a:endParaRPr>
        </a:p>
      </xdr:txBody>
    </xdr:sp>
    <xdr:clientData/>
  </xdr:twoCellAnchor>
  <xdr:twoCellAnchor>
    <xdr:from>
      <xdr:col>1</xdr:col>
      <xdr:colOff>2343150</xdr:colOff>
      <xdr:row>13</xdr:row>
      <xdr:rowOff>142875</xdr:rowOff>
    </xdr:from>
    <xdr:to>
      <xdr:col>5</xdr:col>
      <xdr:colOff>476250</xdr:colOff>
      <xdr:row>15</xdr:row>
      <xdr:rowOff>180975</xdr:rowOff>
    </xdr:to>
    <xdr:sp macro="" textlink="">
      <xdr:nvSpPr>
        <xdr:cNvPr id="1035" name="Rectangle 11">
          <a:hlinkClick xmlns:r="http://schemas.openxmlformats.org/officeDocument/2006/relationships" r:id="rId2"/>
          <a:extLst>
            <a:ext uri="{FF2B5EF4-FFF2-40B4-BE49-F238E27FC236}">
              <a16:creationId xmlns:a16="http://schemas.microsoft.com/office/drawing/2014/main" id="{00000000-0008-0000-0900-00000B040000}"/>
            </a:ext>
          </a:extLst>
        </xdr:cNvPr>
        <xdr:cNvSpPr>
          <a:spLocks noChangeArrowheads="1"/>
        </xdr:cNvSpPr>
      </xdr:nvSpPr>
      <xdr:spPr bwMode="auto">
        <a:xfrm>
          <a:off x="2495550" y="2447925"/>
          <a:ext cx="4086225" cy="361950"/>
        </a:xfrm>
        <a:prstGeom prst="rect">
          <a:avLst/>
        </a:prstGeom>
        <a:gradFill rotWithShape="1">
          <a:gsLst>
            <a:gs pos="0">
              <a:srgbClr val="99FF33"/>
            </a:gs>
            <a:gs pos="100000">
              <a:srgbClr val="767647"/>
            </a:gs>
          </a:gsLst>
          <a:lin ang="5400000" scaled="1"/>
        </a:gradFill>
        <a:ln w="9525" algn="ctr">
          <a:noFill/>
          <a:miter lim="800000"/>
          <a:headEnd/>
          <a:tailEnd/>
        </a:ln>
        <a:effectLst>
          <a:prstShdw prst="shdw18" dist="17961" dir="13500000">
            <a:srgbClr val="33CCCC">
              <a:gamma/>
              <a:shade val="60000"/>
              <a:invGamma/>
            </a:srgbClr>
          </a:prstShdw>
        </a:effectLst>
      </xdr:spPr>
      <xdr:txBody>
        <a:bodyPr vertOverflow="clip" wrap="square" lIns="27432" tIns="22860" rIns="0" bIns="0" anchor="t" upright="1"/>
        <a:lstStyle/>
        <a:p>
          <a:pPr algn="l" rtl="0">
            <a:defRPr sz="1000"/>
          </a:pPr>
          <a:r>
            <a:rPr lang="es-ES" sz="1000" b="1" i="0" strike="noStrike">
              <a:solidFill>
                <a:srgbClr val="000000"/>
              </a:solidFill>
              <a:latin typeface="Arial"/>
              <a:cs typeface="Arial"/>
            </a:rPr>
            <a:t>PRESUPUESTO DE COMPRAS Y VENTAS AÑOS</a:t>
          </a:r>
        </a:p>
      </xdr:txBody>
    </xdr:sp>
    <xdr:clientData/>
  </xdr:twoCellAnchor>
  <xdr:twoCellAnchor>
    <xdr:from>
      <xdr:col>6</xdr:col>
      <xdr:colOff>485775</xdr:colOff>
      <xdr:row>11</xdr:row>
      <xdr:rowOff>209549</xdr:rowOff>
    </xdr:from>
    <xdr:to>
      <xdr:col>6</xdr:col>
      <xdr:colOff>657224</xdr:colOff>
      <xdr:row>15</xdr:row>
      <xdr:rowOff>476249</xdr:rowOff>
    </xdr:to>
    <xdr:sp macro="" textlink="">
      <xdr:nvSpPr>
        <xdr:cNvPr id="1960" name="AutoShape 12">
          <a:extLst>
            <a:ext uri="{FF2B5EF4-FFF2-40B4-BE49-F238E27FC236}">
              <a16:creationId xmlns:a16="http://schemas.microsoft.com/office/drawing/2014/main" id="{00000000-0008-0000-0900-0000A8070000}"/>
            </a:ext>
          </a:extLst>
        </xdr:cNvPr>
        <xdr:cNvSpPr>
          <a:spLocks/>
        </xdr:cNvSpPr>
      </xdr:nvSpPr>
      <xdr:spPr bwMode="auto">
        <a:xfrm>
          <a:off x="7258050" y="2085974"/>
          <a:ext cx="171449" cy="1019175"/>
        </a:xfrm>
        <a:prstGeom prst="leftBrace">
          <a:avLst>
            <a:gd name="adj1" fmla="val 25758"/>
            <a:gd name="adj2" fmla="val 50000"/>
          </a:avLst>
        </a:prstGeom>
        <a:noFill/>
        <a:ln w="25400">
          <a:solidFill>
            <a:srgbClr val="000000"/>
          </a:solidFill>
          <a:round/>
          <a:headEnd/>
          <a:tailEnd/>
        </a:ln>
      </xdr:spPr>
    </xdr:sp>
    <xdr:clientData/>
  </xdr:twoCellAnchor>
  <xdr:twoCellAnchor>
    <xdr:from>
      <xdr:col>7</xdr:col>
      <xdr:colOff>57150</xdr:colOff>
      <xdr:row>15</xdr:row>
      <xdr:rowOff>19050</xdr:rowOff>
    </xdr:from>
    <xdr:to>
      <xdr:col>12</xdr:col>
      <xdr:colOff>28575</xdr:colOff>
      <xdr:row>15</xdr:row>
      <xdr:rowOff>400050</xdr:rowOff>
    </xdr:to>
    <xdr:sp macro="" textlink="">
      <xdr:nvSpPr>
        <xdr:cNvPr id="1038" name="Rectangle 14">
          <a:hlinkClick xmlns:r="http://schemas.openxmlformats.org/officeDocument/2006/relationships" r:id="rId3"/>
          <a:extLst>
            <a:ext uri="{FF2B5EF4-FFF2-40B4-BE49-F238E27FC236}">
              <a16:creationId xmlns:a16="http://schemas.microsoft.com/office/drawing/2014/main" id="{00000000-0008-0000-0900-00000E040000}"/>
            </a:ext>
          </a:extLst>
        </xdr:cNvPr>
        <xdr:cNvSpPr>
          <a:spLocks noChangeArrowheads="1"/>
        </xdr:cNvSpPr>
      </xdr:nvSpPr>
      <xdr:spPr bwMode="auto">
        <a:xfrm>
          <a:off x="7877175" y="2647950"/>
          <a:ext cx="4448175" cy="381000"/>
        </a:xfrm>
        <a:prstGeom prst="rect">
          <a:avLst/>
        </a:prstGeom>
        <a:gradFill rotWithShape="1">
          <a:gsLst>
            <a:gs pos="0">
              <a:srgbClr val="99FF33"/>
            </a:gs>
            <a:gs pos="100000">
              <a:srgbClr val="767647"/>
            </a:gs>
          </a:gsLst>
          <a:lin ang="5400000" scaled="1"/>
        </a:gradFill>
        <a:ln w="9525" algn="ctr">
          <a:noFill/>
          <a:miter lim="800000"/>
          <a:headEnd/>
          <a:tailEnd/>
        </a:ln>
        <a:effectLst>
          <a:prstShdw prst="shdw18" dist="17961" dir="13500000">
            <a:srgbClr val="33CCCC">
              <a:gamma/>
              <a:shade val="60000"/>
              <a:invGamma/>
            </a:srgbClr>
          </a:prstShdw>
        </a:effectLst>
      </xdr:spPr>
      <xdr:txBody>
        <a:bodyPr vertOverflow="clip" wrap="square" lIns="27432" tIns="22860" rIns="0" bIns="0" anchor="t" upright="1"/>
        <a:lstStyle/>
        <a:p>
          <a:pPr algn="l" rtl="0">
            <a:defRPr sz="1000"/>
          </a:pPr>
          <a:r>
            <a:rPr lang="es-ES" sz="1000" b="1" i="0" strike="noStrike">
              <a:solidFill>
                <a:srgbClr val="000000"/>
              </a:solidFill>
              <a:latin typeface="Arial"/>
              <a:cs typeface="Arial"/>
            </a:rPr>
            <a:t>VENTAS MESES Y ANUALIZADOS</a:t>
          </a:r>
        </a:p>
        <a:p>
          <a:pPr algn="l" rtl="0">
            <a:defRPr sz="1000"/>
          </a:pPr>
          <a:endParaRPr lang="es-ES" sz="1000" b="1" i="0" strike="noStrike">
            <a:solidFill>
              <a:srgbClr val="000000"/>
            </a:solidFill>
            <a:latin typeface="Arial"/>
            <a:cs typeface="Arial"/>
          </a:endParaRPr>
        </a:p>
      </xdr:txBody>
    </xdr:sp>
    <xdr:clientData/>
  </xdr:twoCellAnchor>
  <xdr:twoCellAnchor editAs="oneCell">
    <xdr:from>
      <xdr:col>17</xdr:col>
      <xdr:colOff>28575</xdr:colOff>
      <xdr:row>1</xdr:row>
      <xdr:rowOff>76200</xdr:rowOff>
    </xdr:from>
    <xdr:to>
      <xdr:col>17</xdr:col>
      <xdr:colOff>737775</xdr:colOff>
      <xdr:row>6</xdr:row>
      <xdr:rowOff>80550</xdr:rowOff>
    </xdr:to>
    <xdr:pic>
      <xdr:nvPicPr>
        <xdr:cNvPr id="24" name="31 Imagen">
          <a:hlinkClick xmlns:r="http://schemas.openxmlformats.org/officeDocument/2006/relationships" r:id="rId4"/>
          <a:extLst>
            <a:ext uri="{FF2B5EF4-FFF2-40B4-BE49-F238E27FC236}">
              <a16:creationId xmlns:a16="http://schemas.microsoft.com/office/drawing/2014/main" id="{00000000-0008-0000-0900-00001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7183100" y="247650"/>
          <a:ext cx="709200" cy="766350"/>
        </a:xfrm>
        <a:prstGeom prst="rect">
          <a:avLst/>
        </a:prstGeom>
      </xdr:spPr>
    </xdr:pic>
    <xdr:clientData/>
  </xdr:twoCellAnchor>
  <xdr:twoCellAnchor editAs="oneCell">
    <xdr:from>
      <xdr:col>17</xdr:col>
      <xdr:colOff>95250</xdr:colOff>
      <xdr:row>4</xdr:row>
      <xdr:rowOff>103715</xdr:rowOff>
    </xdr:from>
    <xdr:to>
      <xdr:col>17</xdr:col>
      <xdr:colOff>666750</xdr:colOff>
      <xdr:row>6</xdr:row>
      <xdr:rowOff>76200</xdr:rowOff>
    </xdr:to>
    <xdr:sp macro="" textlink="">
      <xdr:nvSpPr>
        <xdr:cNvPr id="25" name="32 CuadroTexto">
          <a:extLst>
            <a:ext uri="{FF2B5EF4-FFF2-40B4-BE49-F238E27FC236}">
              <a16:creationId xmlns:a16="http://schemas.microsoft.com/office/drawing/2014/main" id="{00000000-0008-0000-0900-000019000000}"/>
            </a:ext>
          </a:extLst>
        </xdr:cNvPr>
        <xdr:cNvSpPr txBox="1"/>
      </xdr:nvSpPr>
      <xdr:spPr>
        <a:xfrm>
          <a:off x="17249775" y="799040"/>
          <a:ext cx="571500" cy="21061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xdr:twoCellAnchor editAs="oneCell">
    <xdr:from>
      <xdr:col>16</xdr:col>
      <xdr:colOff>47625</xdr:colOff>
      <xdr:row>51</xdr:row>
      <xdr:rowOff>57150</xdr:rowOff>
    </xdr:from>
    <xdr:to>
      <xdr:col>16</xdr:col>
      <xdr:colOff>988919</xdr:colOff>
      <xdr:row>53</xdr:row>
      <xdr:rowOff>141941</xdr:rowOff>
    </xdr:to>
    <xdr:sp macro="" textlink="" fLocksText="0">
      <xdr:nvSpPr>
        <xdr:cNvPr id="26" name="AutoShape 15">
          <a:hlinkClick xmlns:r="http://schemas.openxmlformats.org/officeDocument/2006/relationships" r:id="rId6"/>
          <a:extLst>
            <a:ext uri="{FF2B5EF4-FFF2-40B4-BE49-F238E27FC236}">
              <a16:creationId xmlns:a16="http://schemas.microsoft.com/office/drawing/2014/main" id="{00000000-0008-0000-0900-00001A000000}"/>
            </a:ext>
          </a:extLst>
        </xdr:cNvPr>
        <xdr:cNvSpPr>
          <a:spLocks noChangeArrowheads="1"/>
        </xdr:cNvSpPr>
      </xdr:nvSpPr>
      <xdr:spPr bwMode="auto">
        <a:xfrm>
          <a:off x="16202025" y="13077825"/>
          <a:ext cx="941294" cy="465791"/>
        </a:xfrm>
        <a:prstGeom prst="bevel">
          <a:avLst>
            <a:gd name="adj" fmla="val 12500"/>
          </a:avLst>
        </a:prstGeom>
        <a:gradFill rotWithShape="1">
          <a:gsLst>
            <a:gs pos="0">
              <a:srgbClr val="99FF33"/>
            </a:gs>
            <a:gs pos="100000">
              <a:srgbClr val="767647"/>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twoCellAnchor editAs="oneCell">
    <xdr:from>
      <xdr:col>16</xdr:col>
      <xdr:colOff>47625</xdr:colOff>
      <xdr:row>29</xdr:row>
      <xdr:rowOff>57150</xdr:rowOff>
    </xdr:from>
    <xdr:to>
      <xdr:col>16</xdr:col>
      <xdr:colOff>988919</xdr:colOff>
      <xdr:row>31</xdr:row>
      <xdr:rowOff>145116</xdr:rowOff>
    </xdr:to>
    <xdr:sp macro="" textlink="" fLocksText="0">
      <xdr:nvSpPr>
        <xdr:cNvPr id="27" name="AutoShape 15">
          <a:hlinkClick xmlns:r="http://schemas.openxmlformats.org/officeDocument/2006/relationships" r:id="rId6"/>
          <a:extLst>
            <a:ext uri="{FF2B5EF4-FFF2-40B4-BE49-F238E27FC236}">
              <a16:creationId xmlns:a16="http://schemas.microsoft.com/office/drawing/2014/main" id="{00000000-0008-0000-0900-00001B000000}"/>
            </a:ext>
          </a:extLst>
        </xdr:cNvPr>
        <xdr:cNvSpPr>
          <a:spLocks noChangeArrowheads="1"/>
        </xdr:cNvSpPr>
      </xdr:nvSpPr>
      <xdr:spPr bwMode="auto">
        <a:xfrm>
          <a:off x="16202025" y="7905750"/>
          <a:ext cx="941294" cy="468966"/>
        </a:xfrm>
        <a:prstGeom prst="bevel">
          <a:avLst>
            <a:gd name="adj" fmla="val 12500"/>
          </a:avLst>
        </a:prstGeom>
        <a:gradFill rotWithShape="1">
          <a:gsLst>
            <a:gs pos="0">
              <a:srgbClr val="99FF33"/>
            </a:gs>
            <a:gs pos="100000">
              <a:srgbClr val="767647"/>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wsDr>
</file>

<file path=xl/drawings/drawing10.xml><?xml version="1.0" encoding="utf-8"?>
<xdr:wsDr xmlns:xdr="http://schemas.openxmlformats.org/drawingml/2006/spreadsheetDrawing" xmlns:a="http://schemas.openxmlformats.org/drawingml/2006/main">
  <xdr:twoCellAnchor>
    <xdr:from>
      <xdr:col>11</xdr:col>
      <xdr:colOff>1076325</xdr:colOff>
      <xdr:row>17</xdr:row>
      <xdr:rowOff>0</xdr:rowOff>
    </xdr:from>
    <xdr:to>
      <xdr:col>12</xdr:col>
      <xdr:colOff>704850</xdr:colOff>
      <xdr:row>17</xdr:row>
      <xdr:rowOff>0</xdr:rowOff>
    </xdr:to>
    <xdr:sp macro="" textlink="">
      <xdr:nvSpPr>
        <xdr:cNvPr id="21" name="Line 2">
          <a:extLst>
            <a:ext uri="{FF2B5EF4-FFF2-40B4-BE49-F238E27FC236}">
              <a16:creationId xmlns:a16="http://schemas.microsoft.com/office/drawing/2014/main" id="{00000000-0008-0000-0A00-000015000000}"/>
            </a:ext>
          </a:extLst>
        </xdr:cNvPr>
        <xdr:cNvSpPr>
          <a:spLocks noChangeShapeType="1"/>
        </xdr:cNvSpPr>
      </xdr:nvSpPr>
      <xdr:spPr bwMode="auto">
        <a:xfrm>
          <a:off x="12344400" y="3505200"/>
          <a:ext cx="704850" cy="0"/>
        </a:xfrm>
        <a:prstGeom prst="line">
          <a:avLst/>
        </a:prstGeom>
        <a:noFill/>
        <a:ln w="9525">
          <a:solidFill>
            <a:srgbClr val="000000"/>
          </a:solidFill>
          <a:round/>
          <a:headEnd/>
          <a:tailEnd/>
        </a:ln>
      </xdr:spPr>
    </xdr:sp>
    <xdr:clientData/>
  </xdr:twoCellAnchor>
  <xdr:twoCellAnchor>
    <xdr:from>
      <xdr:col>7</xdr:col>
      <xdr:colOff>57149</xdr:colOff>
      <xdr:row>11</xdr:row>
      <xdr:rowOff>238125</xdr:rowOff>
    </xdr:from>
    <xdr:to>
      <xdr:col>13</xdr:col>
      <xdr:colOff>423333</xdr:colOff>
      <xdr:row>14</xdr:row>
      <xdr:rowOff>52042</xdr:rowOff>
    </xdr:to>
    <xdr:sp macro="" textlink="">
      <xdr:nvSpPr>
        <xdr:cNvPr id="22" name="Rectangle 10">
          <a:hlinkClick xmlns:r="http://schemas.openxmlformats.org/officeDocument/2006/relationships" r:id="rId1"/>
          <a:extLst>
            <a:ext uri="{FF2B5EF4-FFF2-40B4-BE49-F238E27FC236}">
              <a16:creationId xmlns:a16="http://schemas.microsoft.com/office/drawing/2014/main" id="{00000000-0008-0000-0A00-000016000000}"/>
            </a:ext>
          </a:extLst>
        </xdr:cNvPr>
        <xdr:cNvSpPr>
          <a:spLocks noChangeArrowheads="1"/>
        </xdr:cNvSpPr>
      </xdr:nvSpPr>
      <xdr:spPr bwMode="auto">
        <a:xfrm>
          <a:off x="6502399" y="2100792"/>
          <a:ext cx="4610101" cy="396000"/>
        </a:xfrm>
        <a:prstGeom prst="rect">
          <a:avLst/>
        </a:prstGeom>
        <a:gradFill rotWithShape="1">
          <a:gsLst>
            <a:gs pos="0">
              <a:srgbClr val="99FF33"/>
            </a:gs>
            <a:gs pos="100000">
              <a:srgbClr val="767647"/>
            </a:gs>
          </a:gsLst>
          <a:lin ang="5400000" scaled="1"/>
        </a:gradFill>
        <a:ln w="9525" algn="ctr">
          <a:noFill/>
          <a:miter lim="800000"/>
          <a:headEnd/>
          <a:tailEnd/>
        </a:ln>
        <a:effectLst>
          <a:prstShdw prst="shdw18" dist="17961" dir="13500000">
            <a:srgbClr val="33CCCC">
              <a:gamma/>
              <a:shade val="60000"/>
              <a:invGamma/>
            </a:srgbClr>
          </a:prstShdw>
        </a:effectLst>
      </xdr:spPr>
      <xdr:txBody>
        <a:bodyPr vertOverflow="clip" wrap="square" lIns="27432" tIns="22860" rIns="0" bIns="0" anchor="t" upright="1"/>
        <a:lstStyle/>
        <a:p>
          <a:pPr algn="l" rtl="0">
            <a:defRPr sz="1000"/>
          </a:pPr>
          <a:r>
            <a:rPr lang="es-ES" sz="1000" b="1" i="0" strike="noStrike">
              <a:solidFill>
                <a:srgbClr val="000000"/>
              </a:solidFill>
              <a:latin typeface="Arial"/>
              <a:cs typeface="Arial"/>
            </a:rPr>
            <a:t>1 - REQUERIMIENTOS DE PERSONAL</a:t>
          </a:r>
        </a:p>
        <a:p>
          <a:pPr algn="l" rtl="0">
            <a:defRPr sz="1000"/>
          </a:pPr>
          <a:endParaRPr lang="es-ES" sz="1000" b="1" i="0" strike="noStrike">
            <a:solidFill>
              <a:srgbClr val="000000"/>
            </a:solidFill>
            <a:latin typeface="Arial"/>
            <a:cs typeface="Arial"/>
          </a:endParaRPr>
        </a:p>
      </xdr:txBody>
    </xdr:sp>
    <xdr:clientData/>
  </xdr:twoCellAnchor>
  <xdr:twoCellAnchor>
    <xdr:from>
      <xdr:col>1</xdr:col>
      <xdr:colOff>1551515</xdr:colOff>
      <xdr:row>13</xdr:row>
      <xdr:rowOff>100547</xdr:rowOff>
    </xdr:from>
    <xdr:to>
      <xdr:col>5</xdr:col>
      <xdr:colOff>825498</xdr:colOff>
      <xdr:row>15</xdr:row>
      <xdr:rowOff>232839</xdr:rowOff>
    </xdr:to>
    <xdr:sp macro="" textlink="">
      <xdr:nvSpPr>
        <xdr:cNvPr id="23" name="Rectangle 11">
          <a:hlinkClick xmlns:r="http://schemas.openxmlformats.org/officeDocument/2006/relationships" r:id="rId2"/>
          <a:extLst>
            <a:ext uri="{FF2B5EF4-FFF2-40B4-BE49-F238E27FC236}">
              <a16:creationId xmlns:a16="http://schemas.microsoft.com/office/drawing/2014/main" id="{00000000-0008-0000-0A00-000017000000}"/>
            </a:ext>
          </a:extLst>
        </xdr:cNvPr>
        <xdr:cNvSpPr>
          <a:spLocks noChangeArrowheads="1"/>
        </xdr:cNvSpPr>
      </xdr:nvSpPr>
      <xdr:spPr bwMode="auto">
        <a:xfrm>
          <a:off x="1890182" y="2386547"/>
          <a:ext cx="3560233" cy="449792"/>
        </a:xfrm>
        <a:prstGeom prst="rect">
          <a:avLst/>
        </a:prstGeom>
        <a:gradFill rotWithShape="1">
          <a:gsLst>
            <a:gs pos="0">
              <a:srgbClr val="99FF33"/>
            </a:gs>
            <a:gs pos="100000">
              <a:srgbClr val="767647"/>
            </a:gs>
          </a:gsLst>
          <a:lin ang="5400000" scaled="1"/>
        </a:gradFill>
        <a:ln w="9525" algn="ctr">
          <a:noFill/>
          <a:miter lim="800000"/>
          <a:headEnd/>
          <a:tailEnd/>
        </a:ln>
        <a:effectLst>
          <a:prstShdw prst="shdw18" dist="17961" dir="13500000">
            <a:srgbClr val="33CCCC">
              <a:gamma/>
              <a:shade val="60000"/>
              <a:invGamma/>
            </a:srgbClr>
          </a:prstShdw>
        </a:effectLst>
      </xdr:spPr>
      <xdr:txBody>
        <a:bodyPr vertOverflow="clip" wrap="square" lIns="27432" tIns="22860" rIns="0" bIns="0" anchor="t" upright="1"/>
        <a:lstStyle/>
        <a:p>
          <a:pPr algn="l" rtl="0">
            <a:defRPr sz="1000"/>
          </a:pPr>
          <a:r>
            <a:rPr lang="es-ES" sz="1000" b="1" i="0" strike="noStrike">
              <a:solidFill>
                <a:srgbClr val="000000"/>
              </a:solidFill>
              <a:latin typeface="Arial"/>
              <a:cs typeface="Arial"/>
            </a:rPr>
            <a:t>PRESUPUESTO DE COSTOS Y GASTOS AÑO 1</a:t>
          </a:r>
        </a:p>
      </xdr:txBody>
    </xdr:sp>
    <xdr:clientData/>
  </xdr:twoCellAnchor>
  <xdr:twoCellAnchor>
    <xdr:from>
      <xdr:col>6</xdr:col>
      <xdr:colOff>485775</xdr:colOff>
      <xdr:row>11</xdr:row>
      <xdr:rowOff>209549</xdr:rowOff>
    </xdr:from>
    <xdr:to>
      <xdr:col>6</xdr:col>
      <xdr:colOff>740834</xdr:colOff>
      <xdr:row>15</xdr:row>
      <xdr:rowOff>529167</xdr:rowOff>
    </xdr:to>
    <xdr:sp macro="" textlink="">
      <xdr:nvSpPr>
        <xdr:cNvPr id="24" name="AutoShape 12">
          <a:extLst>
            <a:ext uri="{FF2B5EF4-FFF2-40B4-BE49-F238E27FC236}">
              <a16:creationId xmlns:a16="http://schemas.microsoft.com/office/drawing/2014/main" id="{00000000-0008-0000-0A00-000018000000}"/>
            </a:ext>
          </a:extLst>
        </xdr:cNvPr>
        <xdr:cNvSpPr>
          <a:spLocks/>
        </xdr:cNvSpPr>
      </xdr:nvSpPr>
      <xdr:spPr bwMode="auto">
        <a:xfrm>
          <a:off x="5989108" y="2072216"/>
          <a:ext cx="255059" cy="1060451"/>
        </a:xfrm>
        <a:prstGeom prst="leftBrace">
          <a:avLst>
            <a:gd name="adj1" fmla="val 25758"/>
            <a:gd name="adj2" fmla="val 50000"/>
          </a:avLst>
        </a:prstGeom>
        <a:noFill/>
        <a:ln w="25400">
          <a:solidFill>
            <a:srgbClr val="000000"/>
          </a:solidFill>
          <a:round/>
          <a:headEnd/>
          <a:tailEnd/>
        </a:ln>
      </xdr:spPr>
    </xdr:sp>
    <xdr:clientData/>
  </xdr:twoCellAnchor>
  <xdr:twoCellAnchor>
    <xdr:from>
      <xdr:col>7</xdr:col>
      <xdr:colOff>57149</xdr:colOff>
      <xdr:row>15</xdr:row>
      <xdr:rowOff>19050</xdr:rowOff>
    </xdr:from>
    <xdr:to>
      <xdr:col>13</xdr:col>
      <xdr:colOff>423333</xdr:colOff>
      <xdr:row>15</xdr:row>
      <xdr:rowOff>415050</xdr:rowOff>
    </xdr:to>
    <xdr:sp macro="" textlink="">
      <xdr:nvSpPr>
        <xdr:cNvPr id="25" name="Rectangle 14">
          <a:hlinkClick xmlns:r="http://schemas.openxmlformats.org/officeDocument/2006/relationships" r:id="rId3"/>
          <a:extLst>
            <a:ext uri="{FF2B5EF4-FFF2-40B4-BE49-F238E27FC236}">
              <a16:creationId xmlns:a16="http://schemas.microsoft.com/office/drawing/2014/main" id="{00000000-0008-0000-0A00-000019000000}"/>
            </a:ext>
          </a:extLst>
        </xdr:cNvPr>
        <xdr:cNvSpPr>
          <a:spLocks noChangeArrowheads="1"/>
        </xdr:cNvSpPr>
      </xdr:nvSpPr>
      <xdr:spPr bwMode="auto">
        <a:xfrm>
          <a:off x="6502399" y="2622550"/>
          <a:ext cx="4610101" cy="396000"/>
        </a:xfrm>
        <a:prstGeom prst="rect">
          <a:avLst/>
        </a:prstGeom>
        <a:gradFill rotWithShape="1">
          <a:gsLst>
            <a:gs pos="0">
              <a:srgbClr val="99FF33"/>
            </a:gs>
            <a:gs pos="100000">
              <a:srgbClr val="767647"/>
            </a:gs>
          </a:gsLst>
          <a:lin ang="5400000" scaled="1"/>
        </a:gradFill>
        <a:ln w="9525" algn="ctr">
          <a:noFill/>
          <a:miter lim="800000"/>
          <a:headEnd/>
          <a:tailEnd/>
        </a:ln>
        <a:effectLst>
          <a:prstShdw prst="shdw18" dist="17961" dir="13500000">
            <a:srgbClr val="33CCCC">
              <a:gamma/>
              <a:shade val="60000"/>
              <a:invGamma/>
            </a:srgbClr>
          </a:prstShdw>
        </a:effectLst>
      </xdr:spPr>
      <xdr:txBody>
        <a:bodyPr vertOverflow="clip" wrap="square" lIns="27432" tIns="22860" rIns="0" bIns="0" anchor="t" upright="1"/>
        <a:lstStyle/>
        <a:p>
          <a:pPr algn="l" rtl="0">
            <a:defRPr sz="1000"/>
          </a:pPr>
          <a:r>
            <a:rPr lang="es-ES" sz="1000" b="1" i="0" strike="noStrike">
              <a:solidFill>
                <a:srgbClr val="000000"/>
              </a:solidFill>
              <a:latin typeface="Arial"/>
              <a:cs typeface="Arial"/>
            </a:rPr>
            <a:t>2 - OTROS COSTOS DE PRODUCCIÓN Y GASTOS DE ADMON Y VENTAS</a:t>
          </a:r>
        </a:p>
        <a:p>
          <a:pPr algn="l" rtl="0">
            <a:defRPr sz="1000"/>
          </a:pPr>
          <a:endParaRPr lang="es-ES" sz="1000" b="1" i="0" strike="noStrike">
            <a:solidFill>
              <a:srgbClr val="000000"/>
            </a:solidFill>
            <a:latin typeface="Arial"/>
            <a:cs typeface="Arial"/>
          </a:endParaRPr>
        </a:p>
      </xdr:txBody>
    </xdr:sp>
    <xdr:clientData/>
  </xdr:twoCellAnchor>
  <xdr:twoCellAnchor editAs="oneCell">
    <xdr:from>
      <xdr:col>15</xdr:col>
      <xdr:colOff>28575</xdr:colOff>
      <xdr:row>1</xdr:row>
      <xdr:rowOff>76200</xdr:rowOff>
    </xdr:from>
    <xdr:to>
      <xdr:col>15</xdr:col>
      <xdr:colOff>737775</xdr:colOff>
      <xdr:row>6</xdr:row>
      <xdr:rowOff>32925</xdr:rowOff>
    </xdr:to>
    <xdr:pic>
      <xdr:nvPicPr>
        <xdr:cNvPr id="26" name="31 Imagen">
          <a:hlinkClick xmlns:r="http://schemas.openxmlformats.org/officeDocument/2006/relationships" r:id="rId4"/>
          <a:extLst>
            <a:ext uri="{FF2B5EF4-FFF2-40B4-BE49-F238E27FC236}">
              <a16:creationId xmlns:a16="http://schemas.microsoft.com/office/drawing/2014/main" id="{00000000-0008-0000-0A00-00001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7230725" y="247650"/>
          <a:ext cx="709200" cy="766350"/>
        </a:xfrm>
        <a:prstGeom prst="rect">
          <a:avLst/>
        </a:prstGeom>
      </xdr:spPr>
    </xdr:pic>
    <xdr:clientData/>
  </xdr:twoCellAnchor>
  <xdr:twoCellAnchor editAs="oneCell">
    <xdr:from>
      <xdr:col>15</xdr:col>
      <xdr:colOff>95250</xdr:colOff>
      <xdr:row>4</xdr:row>
      <xdr:rowOff>103715</xdr:rowOff>
    </xdr:from>
    <xdr:to>
      <xdr:col>15</xdr:col>
      <xdr:colOff>666750</xdr:colOff>
      <xdr:row>6</xdr:row>
      <xdr:rowOff>4233</xdr:rowOff>
    </xdr:to>
    <xdr:sp macro="" textlink="">
      <xdr:nvSpPr>
        <xdr:cNvPr id="27" name="32 CuadroTexto">
          <a:extLst>
            <a:ext uri="{FF2B5EF4-FFF2-40B4-BE49-F238E27FC236}">
              <a16:creationId xmlns:a16="http://schemas.microsoft.com/office/drawing/2014/main" id="{00000000-0008-0000-0A00-00001B000000}"/>
            </a:ext>
          </a:extLst>
        </xdr:cNvPr>
        <xdr:cNvSpPr txBox="1"/>
      </xdr:nvSpPr>
      <xdr:spPr>
        <a:xfrm>
          <a:off x="17297400" y="799040"/>
          <a:ext cx="571500" cy="21061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xdr:twoCellAnchor editAs="oneCell">
    <xdr:from>
      <xdr:col>13</xdr:col>
      <xdr:colOff>485775</xdr:colOff>
      <xdr:row>49</xdr:row>
      <xdr:rowOff>85726</xdr:rowOff>
    </xdr:from>
    <xdr:to>
      <xdr:col>14</xdr:col>
      <xdr:colOff>665069</xdr:colOff>
      <xdr:row>51</xdr:row>
      <xdr:rowOff>152400</xdr:rowOff>
    </xdr:to>
    <xdr:sp macro="" textlink="" fLocksText="0">
      <xdr:nvSpPr>
        <xdr:cNvPr id="30" name="AutoShape 15">
          <a:hlinkClick xmlns:r="http://schemas.openxmlformats.org/officeDocument/2006/relationships" r:id="rId6"/>
          <a:extLst>
            <a:ext uri="{FF2B5EF4-FFF2-40B4-BE49-F238E27FC236}">
              <a16:creationId xmlns:a16="http://schemas.microsoft.com/office/drawing/2014/main" id="{00000000-0008-0000-0A00-00001E000000}"/>
            </a:ext>
          </a:extLst>
        </xdr:cNvPr>
        <xdr:cNvSpPr>
          <a:spLocks noChangeArrowheads="1"/>
        </xdr:cNvSpPr>
      </xdr:nvSpPr>
      <xdr:spPr bwMode="auto">
        <a:xfrm>
          <a:off x="11172825" y="11582401"/>
          <a:ext cx="941294" cy="447674"/>
        </a:xfrm>
        <a:prstGeom prst="bevel">
          <a:avLst>
            <a:gd name="adj" fmla="val 12500"/>
          </a:avLst>
        </a:prstGeom>
        <a:gradFill rotWithShape="1">
          <a:gsLst>
            <a:gs pos="0">
              <a:srgbClr val="99FF33"/>
            </a:gs>
            <a:gs pos="100000">
              <a:srgbClr val="767647"/>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twoCellAnchor editAs="oneCell">
    <xdr:from>
      <xdr:col>13</xdr:col>
      <xdr:colOff>485775</xdr:colOff>
      <xdr:row>60</xdr:row>
      <xdr:rowOff>66675</xdr:rowOff>
    </xdr:from>
    <xdr:to>
      <xdr:col>14</xdr:col>
      <xdr:colOff>665069</xdr:colOff>
      <xdr:row>62</xdr:row>
      <xdr:rowOff>113366</xdr:rowOff>
    </xdr:to>
    <xdr:sp macro="" textlink="" fLocksText="0">
      <xdr:nvSpPr>
        <xdr:cNvPr id="31" name="AutoShape 15">
          <a:hlinkClick xmlns:r="http://schemas.openxmlformats.org/officeDocument/2006/relationships" r:id="rId6"/>
          <a:extLst>
            <a:ext uri="{FF2B5EF4-FFF2-40B4-BE49-F238E27FC236}">
              <a16:creationId xmlns:a16="http://schemas.microsoft.com/office/drawing/2014/main" id="{00000000-0008-0000-0A00-00001F000000}"/>
            </a:ext>
          </a:extLst>
        </xdr:cNvPr>
        <xdr:cNvSpPr>
          <a:spLocks noChangeArrowheads="1"/>
        </xdr:cNvSpPr>
      </xdr:nvSpPr>
      <xdr:spPr bwMode="auto">
        <a:xfrm>
          <a:off x="11172825" y="14116050"/>
          <a:ext cx="941294" cy="427691"/>
        </a:xfrm>
        <a:prstGeom prst="bevel">
          <a:avLst>
            <a:gd name="adj" fmla="val 12500"/>
          </a:avLst>
        </a:prstGeom>
        <a:gradFill rotWithShape="1">
          <a:gsLst>
            <a:gs pos="0">
              <a:srgbClr val="99FF33"/>
            </a:gs>
            <a:gs pos="100000">
              <a:srgbClr val="767647"/>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wsDr>
</file>

<file path=xl/drawings/drawing11.xml><?xml version="1.0" encoding="utf-8"?>
<xdr:wsDr xmlns:xdr="http://schemas.openxmlformats.org/drawingml/2006/spreadsheetDrawing" xmlns:a="http://schemas.openxmlformats.org/drawingml/2006/main">
  <xdr:twoCellAnchor>
    <xdr:from>
      <xdr:col>7</xdr:col>
      <xdr:colOff>57149</xdr:colOff>
      <xdr:row>11</xdr:row>
      <xdr:rowOff>238125</xdr:rowOff>
    </xdr:from>
    <xdr:to>
      <xdr:col>12</xdr:col>
      <xdr:colOff>0</xdr:colOff>
      <xdr:row>14</xdr:row>
      <xdr:rowOff>52042</xdr:rowOff>
    </xdr:to>
    <xdr:sp macro="" textlink="">
      <xdr:nvSpPr>
        <xdr:cNvPr id="27" name="Rectangle 10">
          <a:hlinkClick xmlns:r="http://schemas.openxmlformats.org/officeDocument/2006/relationships" r:id="rId1"/>
          <a:extLst>
            <a:ext uri="{FF2B5EF4-FFF2-40B4-BE49-F238E27FC236}">
              <a16:creationId xmlns:a16="http://schemas.microsoft.com/office/drawing/2014/main" id="{00000000-0008-0000-0B00-00001B000000}"/>
            </a:ext>
          </a:extLst>
        </xdr:cNvPr>
        <xdr:cNvSpPr>
          <a:spLocks noChangeArrowheads="1"/>
        </xdr:cNvSpPr>
      </xdr:nvSpPr>
      <xdr:spPr bwMode="auto">
        <a:xfrm>
          <a:off x="4972049" y="2114550"/>
          <a:ext cx="4938184" cy="404467"/>
        </a:xfrm>
        <a:prstGeom prst="rect">
          <a:avLst/>
        </a:prstGeom>
        <a:gradFill rotWithShape="1">
          <a:gsLst>
            <a:gs pos="0">
              <a:srgbClr val="99FF33"/>
            </a:gs>
            <a:gs pos="100000">
              <a:srgbClr val="767647"/>
            </a:gs>
          </a:gsLst>
          <a:lin ang="5400000" scaled="1"/>
        </a:gradFill>
        <a:ln w="9525" algn="ctr">
          <a:noFill/>
          <a:miter lim="800000"/>
          <a:headEnd/>
          <a:tailEnd/>
        </a:ln>
        <a:effectLst>
          <a:prstShdw prst="shdw18" dist="17961" dir="13500000">
            <a:srgbClr val="33CCCC">
              <a:gamma/>
              <a:shade val="60000"/>
              <a:invGamma/>
            </a:srgbClr>
          </a:prstShdw>
        </a:effectLst>
      </xdr:spPr>
      <xdr:txBody>
        <a:bodyPr vertOverflow="clip" wrap="square" lIns="27432" tIns="22860" rIns="0" bIns="0" anchor="t" upright="1"/>
        <a:lstStyle/>
        <a:p>
          <a:pPr algn="l" rtl="0">
            <a:defRPr sz="1000"/>
          </a:pPr>
          <a:r>
            <a:rPr lang="es-ES" sz="1000" b="1" i="0" strike="noStrike">
              <a:solidFill>
                <a:srgbClr val="000000"/>
              </a:solidFill>
              <a:latin typeface="Arial"/>
              <a:cs typeface="Arial"/>
            </a:rPr>
            <a:t>1 - PLAN DE INVERSIÓN Y FINANCIACIÓN</a:t>
          </a:r>
        </a:p>
        <a:p>
          <a:pPr algn="l" rtl="0">
            <a:defRPr sz="1000"/>
          </a:pPr>
          <a:endParaRPr lang="es-ES" sz="1000" b="1" i="0" strike="noStrike">
            <a:solidFill>
              <a:srgbClr val="000000"/>
            </a:solidFill>
            <a:latin typeface="Arial"/>
            <a:cs typeface="Arial"/>
          </a:endParaRPr>
        </a:p>
      </xdr:txBody>
    </xdr:sp>
    <xdr:clientData/>
  </xdr:twoCellAnchor>
  <xdr:twoCellAnchor>
    <xdr:from>
      <xdr:col>1</xdr:col>
      <xdr:colOff>694265</xdr:colOff>
      <xdr:row>15</xdr:row>
      <xdr:rowOff>14822</xdr:rowOff>
    </xdr:from>
    <xdr:to>
      <xdr:col>6</xdr:col>
      <xdr:colOff>257175</xdr:colOff>
      <xdr:row>15</xdr:row>
      <xdr:rowOff>470964</xdr:rowOff>
    </xdr:to>
    <xdr:sp macro="" textlink="">
      <xdr:nvSpPr>
        <xdr:cNvPr id="28" name="Rectangle 11">
          <a:hlinkClick xmlns:r="http://schemas.openxmlformats.org/officeDocument/2006/relationships" r:id="rId2"/>
          <a:extLst>
            <a:ext uri="{FF2B5EF4-FFF2-40B4-BE49-F238E27FC236}">
              <a16:creationId xmlns:a16="http://schemas.microsoft.com/office/drawing/2014/main" id="{00000000-0008-0000-0B00-00001C000000}"/>
            </a:ext>
          </a:extLst>
        </xdr:cNvPr>
        <xdr:cNvSpPr>
          <a:spLocks noChangeArrowheads="1"/>
        </xdr:cNvSpPr>
      </xdr:nvSpPr>
      <xdr:spPr bwMode="auto">
        <a:xfrm>
          <a:off x="941915" y="2567522"/>
          <a:ext cx="3372910" cy="456142"/>
        </a:xfrm>
        <a:prstGeom prst="rect">
          <a:avLst/>
        </a:prstGeom>
        <a:gradFill rotWithShape="1">
          <a:gsLst>
            <a:gs pos="0">
              <a:srgbClr val="99FF33"/>
            </a:gs>
            <a:gs pos="100000">
              <a:srgbClr val="767647"/>
            </a:gs>
          </a:gsLst>
          <a:lin ang="5400000" scaled="1"/>
        </a:gradFill>
        <a:ln w="9525" algn="ctr">
          <a:noFill/>
          <a:miter lim="800000"/>
          <a:headEnd/>
          <a:tailEnd/>
        </a:ln>
        <a:effectLst>
          <a:prstShdw prst="shdw18" dist="17961" dir="13500000">
            <a:srgbClr val="33CCCC">
              <a:gamma/>
              <a:shade val="60000"/>
              <a:invGamma/>
            </a:srgbClr>
          </a:prstShdw>
        </a:effectLst>
      </xdr:spPr>
      <xdr:txBody>
        <a:bodyPr vertOverflow="clip" wrap="square" lIns="27432" tIns="22860" rIns="0" bIns="0" anchor="t" upright="1"/>
        <a:lstStyle/>
        <a:p>
          <a:pPr rtl="0"/>
          <a:r>
            <a:rPr lang="es-ES" sz="1000" b="1" i="0" strike="noStrike">
              <a:solidFill>
                <a:srgbClr val="000000"/>
              </a:solidFill>
              <a:latin typeface="Arial" panose="020B0604020202020204" pitchFamily="34" charset="0"/>
              <a:ea typeface="+mn-ea"/>
              <a:cs typeface="Arial" panose="020B0604020202020204" pitchFamily="34" charset="0"/>
            </a:rPr>
            <a:t>RESUMEN</a:t>
          </a:r>
          <a:r>
            <a:rPr lang="es-ES" sz="1000" b="1" i="0">
              <a:effectLst/>
              <a:latin typeface="Arial" panose="020B0604020202020204" pitchFamily="34" charset="0"/>
              <a:ea typeface="+mn-ea"/>
              <a:cs typeface="Arial" panose="020B0604020202020204" pitchFamily="34" charset="0"/>
            </a:rPr>
            <a:t> PLAN DE INVERSIÓN Y FINANCIACIÓN</a:t>
          </a:r>
          <a:endParaRPr lang="es-CO" sz="1000">
            <a:effectLst/>
            <a:latin typeface="Arial" panose="020B0604020202020204" pitchFamily="34" charset="0"/>
            <a:cs typeface="Arial" panose="020B0604020202020204" pitchFamily="34" charset="0"/>
          </a:endParaRPr>
        </a:p>
      </xdr:txBody>
    </xdr:sp>
    <xdr:clientData/>
  </xdr:twoCellAnchor>
  <xdr:twoCellAnchor>
    <xdr:from>
      <xdr:col>6</xdr:col>
      <xdr:colOff>485775</xdr:colOff>
      <xdr:row>11</xdr:row>
      <xdr:rowOff>209549</xdr:rowOff>
    </xdr:from>
    <xdr:to>
      <xdr:col>6</xdr:col>
      <xdr:colOff>740834</xdr:colOff>
      <xdr:row>17</xdr:row>
      <xdr:rowOff>114300</xdr:rowOff>
    </xdr:to>
    <xdr:sp macro="" textlink="">
      <xdr:nvSpPr>
        <xdr:cNvPr id="29" name="AutoShape 12">
          <a:extLst>
            <a:ext uri="{FF2B5EF4-FFF2-40B4-BE49-F238E27FC236}">
              <a16:creationId xmlns:a16="http://schemas.microsoft.com/office/drawing/2014/main" id="{00000000-0008-0000-0B00-00001D000000}"/>
            </a:ext>
          </a:extLst>
        </xdr:cNvPr>
        <xdr:cNvSpPr>
          <a:spLocks/>
        </xdr:cNvSpPr>
      </xdr:nvSpPr>
      <xdr:spPr bwMode="auto">
        <a:xfrm>
          <a:off x="6657975" y="2085974"/>
          <a:ext cx="255059" cy="1533526"/>
        </a:xfrm>
        <a:prstGeom prst="leftBrace">
          <a:avLst>
            <a:gd name="adj1" fmla="val 25758"/>
            <a:gd name="adj2" fmla="val 50000"/>
          </a:avLst>
        </a:prstGeom>
        <a:noFill/>
        <a:ln w="25400">
          <a:solidFill>
            <a:srgbClr val="000000"/>
          </a:solidFill>
          <a:round/>
          <a:headEnd/>
          <a:tailEnd/>
        </a:ln>
      </xdr:spPr>
    </xdr:sp>
    <xdr:clientData/>
  </xdr:twoCellAnchor>
  <xdr:twoCellAnchor>
    <xdr:from>
      <xdr:col>7</xdr:col>
      <xdr:colOff>57149</xdr:colOff>
      <xdr:row>15</xdr:row>
      <xdr:rowOff>19050</xdr:rowOff>
    </xdr:from>
    <xdr:to>
      <xdr:col>12</xdr:col>
      <xdr:colOff>0</xdr:colOff>
      <xdr:row>15</xdr:row>
      <xdr:rowOff>415050</xdr:rowOff>
    </xdr:to>
    <xdr:sp macro="" textlink="">
      <xdr:nvSpPr>
        <xdr:cNvPr id="30" name="Rectangle 14">
          <a:hlinkClick xmlns:r="http://schemas.openxmlformats.org/officeDocument/2006/relationships" r:id="rId3"/>
          <a:extLst>
            <a:ext uri="{FF2B5EF4-FFF2-40B4-BE49-F238E27FC236}">
              <a16:creationId xmlns:a16="http://schemas.microsoft.com/office/drawing/2014/main" id="{00000000-0008-0000-0B00-00001E000000}"/>
            </a:ext>
          </a:extLst>
        </xdr:cNvPr>
        <xdr:cNvSpPr>
          <a:spLocks noChangeArrowheads="1"/>
        </xdr:cNvSpPr>
      </xdr:nvSpPr>
      <xdr:spPr bwMode="auto">
        <a:xfrm>
          <a:off x="6991349" y="2647950"/>
          <a:ext cx="4976284" cy="396000"/>
        </a:xfrm>
        <a:prstGeom prst="rect">
          <a:avLst/>
        </a:prstGeom>
        <a:gradFill rotWithShape="1">
          <a:gsLst>
            <a:gs pos="0">
              <a:srgbClr val="99FF33"/>
            </a:gs>
            <a:gs pos="100000">
              <a:srgbClr val="767647"/>
            </a:gs>
          </a:gsLst>
          <a:lin ang="5400000" scaled="1"/>
        </a:gradFill>
        <a:ln w="9525" algn="ctr">
          <a:noFill/>
          <a:miter lim="800000"/>
          <a:headEnd/>
          <a:tailEnd/>
        </a:ln>
        <a:effectLst>
          <a:prstShdw prst="shdw18" dist="17961" dir="13500000">
            <a:srgbClr val="33CCCC">
              <a:gamma/>
              <a:shade val="60000"/>
              <a:invGamma/>
            </a:srgbClr>
          </a:prstShdw>
        </a:effectLst>
      </xdr:spPr>
      <xdr:txBody>
        <a:bodyPr vertOverflow="clip" wrap="square" lIns="27432" tIns="22860" rIns="0" bIns="0" anchor="t" upright="1"/>
        <a:lstStyle/>
        <a:p>
          <a:pPr algn="l" rtl="0">
            <a:defRPr sz="1000"/>
          </a:pPr>
          <a:r>
            <a:rPr lang="es-ES" sz="1000" b="1" i="0" strike="noStrike">
              <a:solidFill>
                <a:srgbClr val="000000"/>
              </a:solidFill>
              <a:latin typeface="Arial"/>
              <a:cs typeface="Arial"/>
            </a:rPr>
            <a:t>2 - DEPRECIACIONES Y AMORTIZACIÓN DIFERIDO</a:t>
          </a:r>
        </a:p>
        <a:p>
          <a:pPr algn="l" rtl="0">
            <a:defRPr sz="1000"/>
          </a:pPr>
          <a:endParaRPr lang="es-ES" sz="1000" b="1" i="0" strike="noStrike">
            <a:solidFill>
              <a:srgbClr val="000000"/>
            </a:solidFill>
            <a:latin typeface="Arial"/>
            <a:cs typeface="Arial"/>
          </a:endParaRPr>
        </a:p>
      </xdr:txBody>
    </xdr:sp>
    <xdr:clientData/>
  </xdr:twoCellAnchor>
  <xdr:twoCellAnchor editAs="oneCell">
    <xdr:from>
      <xdr:col>13</xdr:col>
      <xdr:colOff>28575</xdr:colOff>
      <xdr:row>1</xdr:row>
      <xdr:rowOff>76200</xdr:rowOff>
    </xdr:from>
    <xdr:to>
      <xdr:col>13</xdr:col>
      <xdr:colOff>737775</xdr:colOff>
      <xdr:row>6</xdr:row>
      <xdr:rowOff>4350</xdr:rowOff>
    </xdr:to>
    <xdr:pic>
      <xdr:nvPicPr>
        <xdr:cNvPr id="31" name="31 Imagen">
          <a:hlinkClick xmlns:r="http://schemas.openxmlformats.org/officeDocument/2006/relationships" r:id="rId4"/>
          <a:extLst>
            <a:ext uri="{FF2B5EF4-FFF2-40B4-BE49-F238E27FC236}">
              <a16:creationId xmlns:a16="http://schemas.microsoft.com/office/drawing/2014/main" id="{00000000-0008-0000-0B00-00001F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1039475" y="247650"/>
          <a:ext cx="709200" cy="718725"/>
        </a:xfrm>
        <a:prstGeom prst="rect">
          <a:avLst/>
        </a:prstGeom>
      </xdr:spPr>
    </xdr:pic>
    <xdr:clientData/>
  </xdr:twoCellAnchor>
  <xdr:twoCellAnchor editAs="oneCell">
    <xdr:from>
      <xdr:col>13</xdr:col>
      <xdr:colOff>95250</xdr:colOff>
      <xdr:row>4</xdr:row>
      <xdr:rowOff>103715</xdr:rowOff>
    </xdr:from>
    <xdr:to>
      <xdr:col>13</xdr:col>
      <xdr:colOff>666750</xdr:colOff>
      <xdr:row>6</xdr:row>
      <xdr:rowOff>4233</xdr:rowOff>
    </xdr:to>
    <xdr:sp macro="" textlink="">
      <xdr:nvSpPr>
        <xdr:cNvPr id="32" name="32 CuadroTexto">
          <a:extLst>
            <a:ext uri="{FF2B5EF4-FFF2-40B4-BE49-F238E27FC236}">
              <a16:creationId xmlns:a16="http://schemas.microsoft.com/office/drawing/2014/main" id="{00000000-0008-0000-0B00-000020000000}"/>
            </a:ext>
          </a:extLst>
        </xdr:cNvPr>
        <xdr:cNvSpPr txBox="1"/>
      </xdr:nvSpPr>
      <xdr:spPr>
        <a:xfrm>
          <a:off x="11106150" y="799040"/>
          <a:ext cx="571500" cy="1386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xdr:twoCellAnchor>
    <xdr:from>
      <xdr:col>7</xdr:col>
      <xdr:colOff>57149</xdr:colOff>
      <xdr:row>15</xdr:row>
      <xdr:rowOff>561975</xdr:rowOff>
    </xdr:from>
    <xdr:to>
      <xdr:col>12</xdr:col>
      <xdr:colOff>0</xdr:colOff>
      <xdr:row>17</xdr:row>
      <xdr:rowOff>81675</xdr:rowOff>
    </xdr:to>
    <xdr:sp macro="" textlink="">
      <xdr:nvSpPr>
        <xdr:cNvPr id="33" name="Rectangle 14">
          <a:hlinkClick xmlns:r="http://schemas.openxmlformats.org/officeDocument/2006/relationships" r:id="rId6"/>
          <a:extLst>
            <a:ext uri="{FF2B5EF4-FFF2-40B4-BE49-F238E27FC236}">
              <a16:creationId xmlns:a16="http://schemas.microsoft.com/office/drawing/2014/main" id="{00000000-0008-0000-0B00-000021000000}"/>
            </a:ext>
          </a:extLst>
        </xdr:cNvPr>
        <xdr:cNvSpPr>
          <a:spLocks noChangeArrowheads="1"/>
        </xdr:cNvSpPr>
      </xdr:nvSpPr>
      <xdr:spPr bwMode="auto">
        <a:xfrm>
          <a:off x="6991349" y="3190875"/>
          <a:ext cx="4976284" cy="396000"/>
        </a:xfrm>
        <a:prstGeom prst="rect">
          <a:avLst/>
        </a:prstGeom>
        <a:gradFill rotWithShape="1">
          <a:gsLst>
            <a:gs pos="0">
              <a:srgbClr val="99FF33"/>
            </a:gs>
            <a:gs pos="100000">
              <a:srgbClr val="767647"/>
            </a:gs>
          </a:gsLst>
          <a:lin ang="5400000" scaled="1"/>
        </a:gradFill>
        <a:ln w="9525" algn="ctr">
          <a:noFill/>
          <a:miter lim="800000"/>
          <a:headEnd/>
          <a:tailEnd/>
        </a:ln>
        <a:effectLst>
          <a:prstShdw prst="shdw18" dist="17961" dir="13500000">
            <a:srgbClr val="33CCCC">
              <a:gamma/>
              <a:shade val="60000"/>
              <a:invGamma/>
            </a:srgbClr>
          </a:prstShdw>
        </a:effectLst>
      </xdr:spPr>
      <xdr:txBody>
        <a:bodyPr vertOverflow="clip" wrap="square" lIns="27432" tIns="22860" rIns="0" bIns="0" anchor="t" upright="1"/>
        <a:lstStyle/>
        <a:p>
          <a:pPr algn="l" rtl="0">
            <a:defRPr sz="1000"/>
          </a:pPr>
          <a:r>
            <a:rPr lang="es-ES" sz="1000" b="1" i="0" strike="noStrike">
              <a:solidFill>
                <a:srgbClr val="000000"/>
              </a:solidFill>
              <a:latin typeface="Arial"/>
              <a:cs typeface="Arial"/>
            </a:rPr>
            <a:t>3 - TABLA DE AMORTIZACIÓN</a:t>
          </a:r>
        </a:p>
        <a:p>
          <a:pPr algn="l" rtl="0">
            <a:defRPr sz="1000"/>
          </a:pPr>
          <a:endParaRPr lang="es-ES" sz="1000" b="1" i="0" strike="noStrike">
            <a:solidFill>
              <a:srgbClr val="000000"/>
            </a:solidFill>
            <a:latin typeface="Arial"/>
            <a:cs typeface="Arial"/>
          </a:endParaRPr>
        </a:p>
      </xdr:txBody>
    </xdr:sp>
    <xdr:clientData/>
  </xdr:twoCellAnchor>
  <xdr:twoCellAnchor editAs="oneCell">
    <xdr:from>
      <xdr:col>11</xdr:col>
      <xdr:colOff>485775</xdr:colOff>
      <xdr:row>37</xdr:row>
      <xdr:rowOff>85726</xdr:rowOff>
    </xdr:from>
    <xdr:to>
      <xdr:col>12</xdr:col>
      <xdr:colOff>665069</xdr:colOff>
      <xdr:row>39</xdr:row>
      <xdr:rowOff>76200</xdr:rowOff>
    </xdr:to>
    <xdr:sp macro="" textlink="" fLocksText="0">
      <xdr:nvSpPr>
        <xdr:cNvPr id="34" name="AutoShape 15">
          <a:hlinkClick xmlns:r="http://schemas.openxmlformats.org/officeDocument/2006/relationships" r:id="rId7"/>
          <a:extLst>
            <a:ext uri="{FF2B5EF4-FFF2-40B4-BE49-F238E27FC236}">
              <a16:creationId xmlns:a16="http://schemas.microsoft.com/office/drawing/2014/main" id="{00000000-0008-0000-0B00-000022000000}"/>
            </a:ext>
          </a:extLst>
        </xdr:cNvPr>
        <xdr:cNvSpPr>
          <a:spLocks noChangeArrowheads="1"/>
        </xdr:cNvSpPr>
      </xdr:nvSpPr>
      <xdr:spPr bwMode="auto">
        <a:xfrm>
          <a:off x="9782175" y="11582401"/>
          <a:ext cx="941294" cy="447674"/>
        </a:xfrm>
        <a:prstGeom prst="bevel">
          <a:avLst>
            <a:gd name="adj" fmla="val 12500"/>
          </a:avLst>
        </a:prstGeom>
        <a:gradFill rotWithShape="1">
          <a:gsLst>
            <a:gs pos="0">
              <a:srgbClr val="99FF33"/>
            </a:gs>
            <a:gs pos="100000">
              <a:srgbClr val="767647"/>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oneCellAnchor>
    <xdr:from>
      <xdr:col>11</xdr:col>
      <xdr:colOff>485775</xdr:colOff>
      <xdr:row>54</xdr:row>
      <xdr:rowOff>85726</xdr:rowOff>
    </xdr:from>
    <xdr:ext cx="941294" cy="371474"/>
    <xdr:sp macro="" textlink="" fLocksText="0">
      <xdr:nvSpPr>
        <xdr:cNvPr id="35" name="AutoShape 15">
          <a:hlinkClick xmlns:r="http://schemas.openxmlformats.org/officeDocument/2006/relationships" r:id="rId7"/>
          <a:extLst>
            <a:ext uri="{FF2B5EF4-FFF2-40B4-BE49-F238E27FC236}">
              <a16:creationId xmlns:a16="http://schemas.microsoft.com/office/drawing/2014/main" id="{00000000-0008-0000-0B00-000023000000}"/>
            </a:ext>
          </a:extLst>
        </xdr:cNvPr>
        <xdr:cNvSpPr>
          <a:spLocks noChangeArrowheads="1"/>
        </xdr:cNvSpPr>
      </xdr:nvSpPr>
      <xdr:spPr bwMode="auto">
        <a:xfrm>
          <a:off x="9991725" y="8848726"/>
          <a:ext cx="941294" cy="371474"/>
        </a:xfrm>
        <a:prstGeom prst="bevel">
          <a:avLst>
            <a:gd name="adj" fmla="val 12500"/>
          </a:avLst>
        </a:prstGeom>
        <a:gradFill rotWithShape="1">
          <a:gsLst>
            <a:gs pos="0">
              <a:srgbClr val="99FF33"/>
            </a:gs>
            <a:gs pos="100000">
              <a:srgbClr val="767647"/>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oneCellAnchor>
  <xdr:twoCellAnchor editAs="oneCell">
    <xdr:from>
      <xdr:col>11</xdr:col>
      <xdr:colOff>485775</xdr:colOff>
      <xdr:row>133</xdr:row>
      <xdr:rowOff>104775</xdr:rowOff>
    </xdr:from>
    <xdr:to>
      <xdr:col>12</xdr:col>
      <xdr:colOff>665069</xdr:colOff>
      <xdr:row>135</xdr:row>
      <xdr:rowOff>133350</xdr:rowOff>
    </xdr:to>
    <xdr:sp macro="" textlink="" fLocksText="0">
      <xdr:nvSpPr>
        <xdr:cNvPr id="36" name="AutoShape 15">
          <a:hlinkClick xmlns:r="http://schemas.openxmlformats.org/officeDocument/2006/relationships" r:id="rId7"/>
          <a:extLst>
            <a:ext uri="{FF2B5EF4-FFF2-40B4-BE49-F238E27FC236}">
              <a16:creationId xmlns:a16="http://schemas.microsoft.com/office/drawing/2014/main" id="{00000000-0008-0000-0B00-000024000000}"/>
            </a:ext>
          </a:extLst>
        </xdr:cNvPr>
        <xdr:cNvSpPr>
          <a:spLocks noChangeArrowheads="1"/>
        </xdr:cNvSpPr>
      </xdr:nvSpPr>
      <xdr:spPr bwMode="auto">
        <a:xfrm>
          <a:off x="8353425" y="30937200"/>
          <a:ext cx="941294" cy="409575"/>
        </a:xfrm>
        <a:prstGeom prst="bevel">
          <a:avLst>
            <a:gd name="adj" fmla="val 12500"/>
          </a:avLst>
        </a:prstGeom>
        <a:gradFill rotWithShape="1">
          <a:gsLst>
            <a:gs pos="0">
              <a:srgbClr val="99FF33"/>
            </a:gs>
            <a:gs pos="100000">
              <a:srgbClr val="767647"/>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wsDr>
</file>

<file path=xl/drawings/drawing12.xml><?xml version="1.0" encoding="utf-8"?>
<xdr:wsDr xmlns:xdr="http://schemas.openxmlformats.org/drawingml/2006/spreadsheetDrawing" xmlns:a="http://schemas.openxmlformats.org/drawingml/2006/main">
  <xdr:twoCellAnchor editAs="oneCell">
    <xdr:from>
      <xdr:col>11</xdr:col>
      <xdr:colOff>28575</xdr:colOff>
      <xdr:row>1</xdr:row>
      <xdr:rowOff>76200</xdr:rowOff>
    </xdr:from>
    <xdr:to>
      <xdr:col>11</xdr:col>
      <xdr:colOff>737775</xdr:colOff>
      <xdr:row>6</xdr:row>
      <xdr:rowOff>4350</xdr:rowOff>
    </xdr:to>
    <xdr:pic>
      <xdr:nvPicPr>
        <xdr:cNvPr id="9" name="31 Imagen">
          <a:hlinkClick xmlns:r="http://schemas.openxmlformats.org/officeDocument/2006/relationships" r:id="rId1"/>
          <a:extLst>
            <a:ext uri="{FF2B5EF4-FFF2-40B4-BE49-F238E27FC236}">
              <a16:creationId xmlns:a16="http://schemas.microsoft.com/office/drawing/2014/main" id="{00000000-0008-0000-0C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324975" y="247650"/>
          <a:ext cx="709200" cy="690150"/>
        </a:xfrm>
        <a:prstGeom prst="rect">
          <a:avLst/>
        </a:prstGeom>
      </xdr:spPr>
    </xdr:pic>
    <xdr:clientData/>
  </xdr:twoCellAnchor>
  <xdr:twoCellAnchor editAs="oneCell">
    <xdr:from>
      <xdr:col>11</xdr:col>
      <xdr:colOff>95250</xdr:colOff>
      <xdr:row>4</xdr:row>
      <xdr:rowOff>103715</xdr:rowOff>
    </xdr:from>
    <xdr:to>
      <xdr:col>11</xdr:col>
      <xdr:colOff>666750</xdr:colOff>
      <xdr:row>6</xdr:row>
      <xdr:rowOff>4233</xdr:rowOff>
    </xdr:to>
    <xdr:sp macro="" textlink="">
      <xdr:nvSpPr>
        <xdr:cNvPr id="10" name="32 CuadroTexto">
          <a:extLst>
            <a:ext uri="{FF2B5EF4-FFF2-40B4-BE49-F238E27FC236}">
              <a16:creationId xmlns:a16="http://schemas.microsoft.com/office/drawing/2014/main" id="{00000000-0008-0000-0C00-00000A000000}"/>
            </a:ext>
          </a:extLst>
        </xdr:cNvPr>
        <xdr:cNvSpPr txBox="1"/>
      </xdr:nvSpPr>
      <xdr:spPr>
        <a:xfrm>
          <a:off x="9391650" y="799040"/>
          <a:ext cx="571500" cy="1386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xdr:twoCellAnchor editAs="oneCell">
    <xdr:from>
      <xdr:col>10</xdr:col>
      <xdr:colOff>133350</xdr:colOff>
      <xdr:row>36</xdr:row>
      <xdr:rowOff>85726</xdr:rowOff>
    </xdr:from>
    <xdr:to>
      <xdr:col>10</xdr:col>
      <xdr:colOff>1074644</xdr:colOff>
      <xdr:row>38</xdr:row>
      <xdr:rowOff>123826</xdr:rowOff>
    </xdr:to>
    <xdr:sp macro="" textlink="" fLocksText="0">
      <xdr:nvSpPr>
        <xdr:cNvPr id="11" name="AutoShape 15">
          <a:hlinkClick xmlns:r="http://schemas.openxmlformats.org/officeDocument/2006/relationships" r:id="rId3"/>
          <a:extLst>
            <a:ext uri="{FF2B5EF4-FFF2-40B4-BE49-F238E27FC236}">
              <a16:creationId xmlns:a16="http://schemas.microsoft.com/office/drawing/2014/main" id="{00000000-0008-0000-0C00-00000B000000}"/>
            </a:ext>
          </a:extLst>
        </xdr:cNvPr>
        <xdr:cNvSpPr>
          <a:spLocks noChangeArrowheads="1"/>
        </xdr:cNvSpPr>
      </xdr:nvSpPr>
      <xdr:spPr bwMode="auto">
        <a:xfrm>
          <a:off x="10572750" y="8667751"/>
          <a:ext cx="941294" cy="419100"/>
        </a:xfrm>
        <a:prstGeom prst="bevel">
          <a:avLst>
            <a:gd name="adj" fmla="val 12500"/>
          </a:avLst>
        </a:prstGeom>
        <a:gradFill rotWithShape="1">
          <a:gsLst>
            <a:gs pos="0">
              <a:srgbClr val="99FF33"/>
            </a:gs>
            <a:gs pos="100000">
              <a:srgbClr val="767647"/>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wsDr>
</file>

<file path=xl/drawings/drawing13.xml><?xml version="1.0" encoding="utf-8"?>
<xdr:wsDr xmlns:xdr="http://schemas.openxmlformats.org/drawingml/2006/spreadsheetDrawing" xmlns:a="http://schemas.openxmlformats.org/drawingml/2006/main">
  <xdr:twoCellAnchor>
    <xdr:from>
      <xdr:col>0</xdr:col>
      <xdr:colOff>238125</xdr:colOff>
      <xdr:row>50</xdr:row>
      <xdr:rowOff>0</xdr:rowOff>
    </xdr:from>
    <xdr:to>
      <xdr:col>1</xdr:col>
      <xdr:colOff>1171575</xdr:colOff>
      <xdr:row>50</xdr:row>
      <xdr:rowOff>0</xdr:rowOff>
    </xdr:to>
    <xdr:sp macro="" textlink="">
      <xdr:nvSpPr>
        <xdr:cNvPr id="14719" name="Rectangle 4">
          <a:extLst>
            <a:ext uri="{FF2B5EF4-FFF2-40B4-BE49-F238E27FC236}">
              <a16:creationId xmlns:a16="http://schemas.microsoft.com/office/drawing/2014/main" id="{00000000-0008-0000-0D00-00007F390000}"/>
            </a:ext>
          </a:extLst>
        </xdr:cNvPr>
        <xdr:cNvSpPr>
          <a:spLocks noChangeArrowheads="1"/>
        </xdr:cNvSpPr>
      </xdr:nvSpPr>
      <xdr:spPr bwMode="auto">
        <a:xfrm>
          <a:off x="238125" y="8772525"/>
          <a:ext cx="1238250" cy="0"/>
        </a:xfrm>
        <a:prstGeom prst="rect">
          <a:avLst/>
        </a:prstGeom>
        <a:solidFill>
          <a:srgbClr val="FFFFFF"/>
        </a:solidFill>
        <a:ln w="9525">
          <a:noFill/>
          <a:miter lim="800000"/>
          <a:headEnd/>
          <a:tailEnd/>
        </a:ln>
      </xdr:spPr>
    </xdr:sp>
    <xdr:clientData/>
  </xdr:twoCellAnchor>
  <xdr:twoCellAnchor editAs="oneCell">
    <xdr:from>
      <xdr:col>11</xdr:col>
      <xdr:colOff>28575</xdr:colOff>
      <xdr:row>1</xdr:row>
      <xdr:rowOff>76200</xdr:rowOff>
    </xdr:from>
    <xdr:to>
      <xdr:col>11</xdr:col>
      <xdr:colOff>737775</xdr:colOff>
      <xdr:row>6</xdr:row>
      <xdr:rowOff>886</xdr:rowOff>
    </xdr:to>
    <xdr:pic>
      <xdr:nvPicPr>
        <xdr:cNvPr id="12" name="31 Imagen">
          <a:hlinkClick xmlns:r="http://schemas.openxmlformats.org/officeDocument/2006/relationships" r:id="rId1"/>
          <a:extLst>
            <a:ext uri="{FF2B5EF4-FFF2-40B4-BE49-F238E27FC236}">
              <a16:creationId xmlns:a16="http://schemas.microsoft.com/office/drawing/2014/main" id="{00000000-0008-0000-0D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610975" y="247650"/>
          <a:ext cx="709200" cy="690150"/>
        </a:xfrm>
        <a:prstGeom prst="rect">
          <a:avLst/>
        </a:prstGeom>
      </xdr:spPr>
    </xdr:pic>
    <xdr:clientData/>
  </xdr:twoCellAnchor>
  <xdr:twoCellAnchor editAs="oneCell">
    <xdr:from>
      <xdr:col>11</xdr:col>
      <xdr:colOff>95250</xdr:colOff>
      <xdr:row>4</xdr:row>
      <xdr:rowOff>103715</xdr:rowOff>
    </xdr:from>
    <xdr:to>
      <xdr:col>11</xdr:col>
      <xdr:colOff>666750</xdr:colOff>
      <xdr:row>6</xdr:row>
      <xdr:rowOff>769</xdr:rowOff>
    </xdr:to>
    <xdr:sp macro="" textlink="">
      <xdr:nvSpPr>
        <xdr:cNvPr id="13" name="32 CuadroTexto">
          <a:extLst>
            <a:ext uri="{FF2B5EF4-FFF2-40B4-BE49-F238E27FC236}">
              <a16:creationId xmlns:a16="http://schemas.microsoft.com/office/drawing/2014/main" id="{00000000-0008-0000-0D00-00000D000000}"/>
            </a:ext>
          </a:extLst>
        </xdr:cNvPr>
        <xdr:cNvSpPr txBox="1"/>
      </xdr:nvSpPr>
      <xdr:spPr>
        <a:xfrm>
          <a:off x="11677650" y="799040"/>
          <a:ext cx="571500" cy="1386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xdr:twoCellAnchor editAs="oneCell">
    <xdr:from>
      <xdr:col>10</xdr:col>
      <xdr:colOff>133350</xdr:colOff>
      <xdr:row>53</xdr:row>
      <xdr:rowOff>85726</xdr:rowOff>
    </xdr:from>
    <xdr:to>
      <xdr:col>10</xdr:col>
      <xdr:colOff>1074644</xdr:colOff>
      <xdr:row>55</xdr:row>
      <xdr:rowOff>114301</xdr:rowOff>
    </xdr:to>
    <xdr:sp macro="" textlink="" fLocksText="0">
      <xdr:nvSpPr>
        <xdr:cNvPr id="14" name="AutoShape 15">
          <a:hlinkClick xmlns:r="http://schemas.openxmlformats.org/officeDocument/2006/relationships" r:id="rId3"/>
          <a:extLst>
            <a:ext uri="{FF2B5EF4-FFF2-40B4-BE49-F238E27FC236}">
              <a16:creationId xmlns:a16="http://schemas.microsoft.com/office/drawing/2014/main" id="{00000000-0008-0000-0D00-00000E000000}"/>
            </a:ext>
          </a:extLst>
        </xdr:cNvPr>
        <xdr:cNvSpPr>
          <a:spLocks noChangeArrowheads="1"/>
        </xdr:cNvSpPr>
      </xdr:nvSpPr>
      <xdr:spPr bwMode="auto">
        <a:xfrm>
          <a:off x="10572750" y="8458201"/>
          <a:ext cx="941294" cy="419100"/>
        </a:xfrm>
        <a:prstGeom prst="bevel">
          <a:avLst>
            <a:gd name="adj" fmla="val 12500"/>
          </a:avLst>
        </a:prstGeom>
        <a:gradFill rotWithShape="1">
          <a:gsLst>
            <a:gs pos="0">
              <a:srgbClr val="99FF33"/>
            </a:gs>
            <a:gs pos="100000">
              <a:srgbClr val="767647"/>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wsDr>
</file>

<file path=xl/drawings/drawing14.xml><?xml version="1.0" encoding="utf-8"?>
<xdr:wsDr xmlns:xdr="http://schemas.openxmlformats.org/drawingml/2006/spreadsheetDrawing" xmlns:a="http://schemas.openxmlformats.org/drawingml/2006/main">
  <xdr:twoCellAnchor editAs="oneCell">
    <xdr:from>
      <xdr:col>15</xdr:col>
      <xdr:colOff>28575</xdr:colOff>
      <xdr:row>0</xdr:row>
      <xdr:rowOff>161925</xdr:rowOff>
    </xdr:from>
    <xdr:to>
      <xdr:col>15</xdr:col>
      <xdr:colOff>737775</xdr:colOff>
      <xdr:row>4</xdr:row>
      <xdr:rowOff>171450</xdr:rowOff>
    </xdr:to>
    <xdr:pic>
      <xdr:nvPicPr>
        <xdr:cNvPr id="9" name="31 Imagen">
          <a:hlinkClick xmlns:r="http://schemas.openxmlformats.org/officeDocument/2006/relationships" r:id="rId1"/>
          <a:extLst>
            <a:ext uri="{FF2B5EF4-FFF2-40B4-BE49-F238E27FC236}">
              <a16:creationId xmlns:a16="http://schemas.microsoft.com/office/drawing/2014/main" id="{00000000-0008-0000-0E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696825" y="161925"/>
          <a:ext cx="709200" cy="704850"/>
        </a:xfrm>
        <a:prstGeom prst="rect">
          <a:avLst/>
        </a:prstGeom>
      </xdr:spPr>
    </xdr:pic>
    <xdr:clientData/>
  </xdr:twoCellAnchor>
  <xdr:twoCellAnchor editAs="oneCell">
    <xdr:from>
      <xdr:col>15</xdr:col>
      <xdr:colOff>95250</xdr:colOff>
      <xdr:row>4</xdr:row>
      <xdr:rowOff>103715</xdr:rowOff>
    </xdr:from>
    <xdr:to>
      <xdr:col>15</xdr:col>
      <xdr:colOff>666750</xdr:colOff>
      <xdr:row>5</xdr:row>
      <xdr:rowOff>32808</xdr:rowOff>
    </xdr:to>
    <xdr:sp macro="" textlink="">
      <xdr:nvSpPr>
        <xdr:cNvPr id="10" name="32 CuadroTexto">
          <a:extLst>
            <a:ext uri="{FF2B5EF4-FFF2-40B4-BE49-F238E27FC236}">
              <a16:creationId xmlns:a16="http://schemas.microsoft.com/office/drawing/2014/main" id="{00000000-0008-0000-0E00-00000A000000}"/>
            </a:ext>
          </a:extLst>
        </xdr:cNvPr>
        <xdr:cNvSpPr txBox="1"/>
      </xdr:nvSpPr>
      <xdr:spPr>
        <a:xfrm>
          <a:off x="18621375" y="799040"/>
          <a:ext cx="571500" cy="8149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xdr:twoCellAnchor editAs="oneCell">
    <xdr:from>
      <xdr:col>13</xdr:col>
      <xdr:colOff>523875</xdr:colOff>
      <xdr:row>82</xdr:row>
      <xdr:rowOff>95250</xdr:rowOff>
    </xdr:from>
    <xdr:to>
      <xdr:col>14</xdr:col>
      <xdr:colOff>512669</xdr:colOff>
      <xdr:row>84</xdr:row>
      <xdr:rowOff>133350</xdr:rowOff>
    </xdr:to>
    <xdr:sp macro="" textlink="" fLocksText="0">
      <xdr:nvSpPr>
        <xdr:cNvPr id="12" name="AutoShape 15">
          <a:hlinkClick xmlns:r="http://schemas.openxmlformats.org/officeDocument/2006/relationships" r:id="rId3"/>
          <a:extLst>
            <a:ext uri="{FF2B5EF4-FFF2-40B4-BE49-F238E27FC236}">
              <a16:creationId xmlns:a16="http://schemas.microsoft.com/office/drawing/2014/main" id="{00000000-0008-0000-0E00-00000C000000}"/>
            </a:ext>
          </a:extLst>
        </xdr:cNvPr>
        <xdr:cNvSpPr>
          <a:spLocks noChangeArrowheads="1"/>
        </xdr:cNvSpPr>
      </xdr:nvSpPr>
      <xdr:spPr bwMode="auto">
        <a:xfrm>
          <a:off x="11668125" y="14411325"/>
          <a:ext cx="941294" cy="419100"/>
        </a:xfrm>
        <a:prstGeom prst="bevel">
          <a:avLst>
            <a:gd name="adj" fmla="val 12500"/>
          </a:avLst>
        </a:prstGeom>
        <a:gradFill rotWithShape="1">
          <a:gsLst>
            <a:gs pos="0">
              <a:srgbClr val="99FF33"/>
            </a:gs>
            <a:gs pos="100000">
              <a:srgbClr val="767647"/>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wsDr>
</file>

<file path=xl/drawings/drawing15.xml><?xml version="1.0" encoding="utf-8"?>
<xdr:wsDr xmlns:xdr="http://schemas.openxmlformats.org/drawingml/2006/spreadsheetDrawing" xmlns:a="http://schemas.openxmlformats.org/drawingml/2006/main">
  <xdr:twoCellAnchor editAs="oneCell">
    <xdr:from>
      <xdr:col>15</xdr:col>
      <xdr:colOff>28575</xdr:colOff>
      <xdr:row>1</xdr:row>
      <xdr:rowOff>76200</xdr:rowOff>
    </xdr:from>
    <xdr:to>
      <xdr:col>15</xdr:col>
      <xdr:colOff>737775</xdr:colOff>
      <xdr:row>5</xdr:row>
      <xdr:rowOff>28575</xdr:rowOff>
    </xdr:to>
    <xdr:pic>
      <xdr:nvPicPr>
        <xdr:cNvPr id="6" name="31 Imagen">
          <a:hlinkClick xmlns:r="http://schemas.openxmlformats.org/officeDocument/2006/relationships" r:id="rId1"/>
          <a:extLst>
            <a:ext uri="{FF2B5EF4-FFF2-40B4-BE49-F238E27FC236}">
              <a16:creationId xmlns:a16="http://schemas.microsoft.com/office/drawing/2014/main" id="{00000000-0008-0000-0F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554700" y="247650"/>
          <a:ext cx="709200" cy="657225"/>
        </a:xfrm>
        <a:prstGeom prst="rect">
          <a:avLst/>
        </a:prstGeom>
      </xdr:spPr>
    </xdr:pic>
    <xdr:clientData/>
  </xdr:twoCellAnchor>
  <xdr:twoCellAnchor editAs="oneCell">
    <xdr:from>
      <xdr:col>15</xdr:col>
      <xdr:colOff>95250</xdr:colOff>
      <xdr:row>4</xdr:row>
      <xdr:rowOff>103715</xdr:rowOff>
    </xdr:from>
    <xdr:to>
      <xdr:col>15</xdr:col>
      <xdr:colOff>666750</xdr:colOff>
      <xdr:row>5</xdr:row>
      <xdr:rowOff>4233</xdr:rowOff>
    </xdr:to>
    <xdr:sp macro="" textlink="">
      <xdr:nvSpPr>
        <xdr:cNvPr id="7" name="32 CuadroTexto">
          <a:extLst>
            <a:ext uri="{FF2B5EF4-FFF2-40B4-BE49-F238E27FC236}">
              <a16:creationId xmlns:a16="http://schemas.microsoft.com/office/drawing/2014/main" id="{00000000-0008-0000-0F00-000007000000}"/>
            </a:ext>
          </a:extLst>
        </xdr:cNvPr>
        <xdr:cNvSpPr txBox="1"/>
      </xdr:nvSpPr>
      <xdr:spPr>
        <a:xfrm>
          <a:off x="10915650" y="799040"/>
          <a:ext cx="571500" cy="1386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xdr:twoCellAnchor editAs="oneCell">
    <xdr:from>
      <xdr:col>13</xdr:col>
      <xdr:colOff>914404</xdr:colOff>
      <xdr:row>74</xdr:row>
      <xdr:rowOff>66675</xdr:rowOff>
    </xdr:from>
    <xdr:to>
      <xdr:col>14</xdr:col>
      <xdr:colOff>903198</xdr:colOff>
      <xdr:row>76</xdr:row>
      <xdr:rowOff>84791</xdr:rowOff>
    </xdr:to>
    <xdr:sp macro="" textlink="" fLocksText="0">
      <xdr:nvSpPr>
        <xdr:cNvPr id="8" name="AutoShape 15">
          <a:hlinkClick xmlns:r="http://schemas.openxmlformats.org/officeDocument/2006/relationships" r:id="rId3"/>
          <a:extLst>
            <a:ext uri="{FF2B5EF4-FFF2-40B4-BE49-F238E27FC236}">
              <a16:creationId xmlns:a16="http://schemas.microsoft.com/office/drawing/2014/main" id="{00000000-0008-0000-0F00-000008000000}"/>
            </a:ext>
          </a:extLst>
        </xdr:cNvPr>
        <xdr:cNvSpPr>
          <a:spLocks noChangeArrowheads="1"/>
        </xdr:cNvSpPr>
      </xdr:nvSpPr>
      <xdr:spPr bwMode="auto">
        <a:xfrm>
          <a:off x="14594685" y="18735675"/>
          <a:ext cx="941294" cy="399116"/>
        </a:xfrm>
        <a:prstGeom prst="bevel">
          <a:avLst>
            <a:gd name="adj" fmla="val 12500"/>
          </a:avLst>
        </a:prstGeom>
        <a:gradFill rotWithShape="1">
          <a:gsLst>
            <a:gs pos="0">
              <a:srgbClr val="99FF33"/>
            </a:gs>
            <a:gs pos="100000">
              <a:srgbClr val="767647"/>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wsDr>
</file>

<file path=xl/drawings/drawing16.xml><?xml version="1.0" encoding="utf-8"?>
<xdr:wsDr xmlns:xdr="http://schemas.openxmlformats.org/drawingml/2006/spreadsheetDrawing" xmlns:a="http://schemas.openxmlformats.org/drawingml/2006/main">
  <xdr:twoCellAnchor>
    <xdr:from>
      <xdr:col>7</xdr:col>
      <xdr:colOff>57149</xdr:colOff>
      <xdr:row>11</xdr:row>
      <xdr:rowOff>238125</xdr:rowOff>
    </xdr:from>
    <xdr:to>
      <xdr:col>12</xdr:col>
      <xdr:colOff>0</xdr:colOff>
      <xdr:row>14</xdr:row>
      <xdr:rowOff>52042</xdr:rowOff>
    </xdr:to>
    <xdr:sp macro="" textlink="">
      <xdr:nvSpPr>
        <xdr:cNvPr id="22" name="Rectangle 10">
          <a:hlinkClick xmlns:r="http://schemas.openxmlformats.org/officeDocument/2006/relationships" r:id="rId1"/>
          <a:extLst>
            <a:ext uri="{FF2B5EF4-FFF2-40B4-BE49-F238E27FC236}">
              <a16:creationId xmlns:a16="http://schemas.microsoft.com/office/drawing/2014/main" id="{00000000-0008-0000-1000-000016000000}"/>
            </a:ext>
          </a:extLst>
        </xdr:cNvPr>
        <xdr:cNvSpPr>
          <a:spLocks noChangeArrowheads="1"/>
        </xdr:cNvSpPr>
      </xdr:nvSpPr>
      <xdr:spPr bwMode="auto">
        <a:xfrm>
          <a:off x="4781549" y="2066925"/>
          <a:ext cx="3752851" cy="375892"/>
        </a:xfrm>
        <a:prstGeom prst="rect">
          <a:avLst/>
        </a:prstGeom>
        <a:gradFill rotWithShape="1">
          <a:gsLst>
            <a:gs pos="0">
              <a:srgbClr val="99FF33"/>
            </a:gs>
            <a:gs pos="100000">
              <a:srgbClr val="767647"/>
            </a:gs>
          </a:gsLst>
          <a:lin ang="5400000" scaled="1"/>
        </a:gradFill>
        <a:ln w="9525" algn="ctr">
          <a:noFill/>
          <a:miter lim="800000"/>
          <a:headEnd/>
          <a:tailEnd/>
        </a:ln>
        <a:effectLst>
          <a:prstShdw prst="shdw18" dist="17961" dir="13500000">
            <a:srgbClr val="33CCCC">
              <a:gamma/>
              <a:shade val="60000"/>
              <a:invGamma/>
            </a:srgbClr>
          </a:prstShdw>
        </a:effectLst>
      </xdr:spPr>
      <xdr:txBody>
        <a:bodyPr vertOverflow="clip" wrap="square" lIns="27432" tIns="22860" rIns="0" bIns="0" anchor="t" upright="1"/>
        <a:lstStyle/>
        <a:p>
          <a:pPr algn="l" rtl="0">
            <a:defRPr sz="1000"/>
          </a:pPr>
          <a:r>
            <a:rPr lang="es-ES" sz="1000" b="1" i="0" strike="noStrike">
              <a:solidFill>
                <a:srgbClr val="000000"/>
              </a:solidFill>
              <a:latin typeface="Arial"/>
              <a:cs typeface="Arial"/>
            </a:rPr>
            <a:t>1 - RESUMEN INDICADORES</a:t>
          </a:r>
        </a:p>
        <a:p>
          <a:pPr algn="l" rtl="0">
            <a:defRPr sz="1000"/>
          </a:pPr>
          <a:endParaRPr lang="es-ES" sz="1000" b="1" i="0" strike="noStrike">
            <a:solidFill>
              <a:srgbClr val="000000"/>
            </a:solidFill>
            <a:latin typeface="Arial"/>
            <a:cs typeface="Arial"/>
          </a:endParaRPr>
        </a:p>
      </xdr:txBody>
    </xdr:sp>
    <xdr:clientData/>
  </xdr:twoCellAnchor>
  <xdr:twoCellAnchor>
    <xdr:from>
      <xdr:col>1</xdr:col>
      <xdr:colOff>694265</xdr:colOff>
      <xdr:row>13</xdr:row>
      <xdr:rowOff>110072</xdr:rowOff>
    </xdr:from>
    <xdr:to>
      <xdr:col>6</xdr:col>
      <xdr:colOff>257175</xdr:colOff>
      <xdr:row>15</xdr:row>
      <xdr:rowOff>242364</xdr:rowOff>
    </xdr:to>
    <xdr:sp macro="" textlink="">
      <xdr:nvSpPr>
        <xdr:cNvPr id="23" name="Rectangle 11">
          <a:hlinkClick xmlns:r="http://schemas.openxmlformats.org/officeDocument/2006/relationships" r:id="rId2"/>
          <a:extLst>
            <a:ext uri="{FF2B5EF4-FFF2-40B4-BE49-F238E27FC236}">
              <a16:creationId xmlns:a16="http://schemas.microsoft.com/office/drawing/2014/main" id="{00000000-0008-0000-1000-000017000000}"/>
            </a:ext>
          </a:extLst>
        </xdr:cNvPr>
        <xdr:cNvSpPr>
          <a:spLocks noChangeArrowheads="1"/>
        </xdr:cNvSpPr>
      </xdr:nvSpPr>
      <xdr:spPr bwMode="auto">
        <a:xfrm>
          <a:off x="970490" y="2338922"/>
          <a:ext cx="4915960" cy="456142"/>
        </a:xfrm>
        <a:prstGeom prst="rect">
          <a:avLst/>
        </a:prstGeom>
        <a:gradFill rotWithShape="1">
          <a:gsLst>
            <a:gs pos="0">
              <a:srgbClr val="99FF33"/>
            </a:gs>
            <a:gs pos="100000">
              <a:srgbClr val="767647"/>
            </a:gs>
          </a:gsLst>
          <a:lin ang="5400000" scaled="1"/>
        </a:gradFill>
        <a:ln w="9525" algn="ctr">
          <a:noFill/>
          <a:miter lim="800000"/>
          <a:headEnd/>
          <a:tailEnd/>
        </a:ln>
        <a:effectLst>
          <a:prstShdw prst="shdw18" dist="17961" dir="13500000">
            <a:srgbClr val="33CCCC">
              <a:gamma/>
              <a:shade val="60000"/>
              <a:invGamma/>
            </a:srgbClr>
          </a:prstShdw>
        </a:effectLst>
      </xdr:spPr>
      <xdr:txBody>
        <a:bodyPr vertOverflow="clip" wrap="square" lIns="27432" tIns="22860" rIns="0" bIns="0" anchor="t" upright="1"/>
        <a:lstStyle/>
        <a:p>
          <a:pPr rtl="0"/>
          <a:r>
            <a:rPr lang="es-ES" sz="1000" b="1" i="0" strike="noStrike">
              <a:solidFill>
                <a:srgbClr val="000000"/>
              </a:solidFill>
              <a:latin typeface="Arial" panose="020B0604020202020204" pitchFamily="34" charset="0"/>
              <a:ea typeface="+mn-ea"/>
              <a:cs typeface="Arial" panose="020B0604020202020204" pitchFamily="34" charset="0"/>
            </a:rPr>
            <a:t>INDICADORES FINANCIEROS</a:t>
          </a:r>
          <a:endParaRPr lang="es-CO" sz="1000">
            <a:effectLst/>
            <a:latin typeface="Arial" panose="020B0604020202020204" pitchFamily="34" charset="0"/>
            <a:cs typeface="Arial" panose="020B0604020202020204" pitchFamily="34" charset="0"/>
          </a:endParaRPr>
        </a:p>
      </xdr:txBody>
    </xdr:sp>
    <xdr:clientData/>
  </xdr:twoCellAnchor>
  <xdr:twoCellAnchor>
    <xdr:from>
      <xdr:col>6</xdr:col>
      <xdr:colOff>485775</xdr:colOff>
      <xdr:row>11</xdr:row>
      <xdr:rowOff>161924</xdr:rowOff>
    </xdr:from>
    <xdr:to>
      <xdr:col>6</xdr:col>
      <xdr:colOff>740834</xdr:colOff>
      <xdr:row>15</xdr:row>
      <xdr:rowOff>476250</xdr:rowOff>
    </xdr:to>
    <xdr:sp macro="" textlink="">
      <xdr:nvSpPr>
        <xdr:cNvPr id="24" name="AutoShape 12">
          <a:extLst>
            <a:ext uri="{FF2B5EF4-FFF2-40B4-BE49-F238E27FC236}">
              <a16:creationId xmlns:a16="http://schemas.microsoft.com/office/drawing/2014/main" id="{00000000-0008-0000-1000-000018000000}"/>
            </a:ext>
          </a:extLst>
        </xdr:cNvPr>
        <xdr:cNvSpPr>
          <a:spLocks/>
        </xdr:cNvSpPr>
      </xdr:nvSpPr>
      <xdr:spPr bwMode="auto">
        <a:xfrm>
          <a:off x="6115050" y="2038349"/>
          <a:ext cx="255059" cy="990601"/>
        </a:xfrm>
        <a:prstGeom prst="leftBrace">
          <a:avLst>
            <a:gd name="adj1" fmla="val 25758"/>
            <a:gd name="adj2" fmla="val 50000"/>
          </a:avLst>
        </a:prstGeom>
        <a:noFill/>
        <a:ln w="25400">
          <a:solidFill>
            <a:srgbClr val="000000"/>
          </a:solidFill>
          <a:round/>
          <a:headEnd/>
          <a:tailEnd/>
        </a:ln>
      </xdr:spPr>
    </xdr:sp>
    <xdr:clientData/>
  </xdr:twoCellAnchor>
  <xdr:twoCellAnchor>
    <xdr:from>
      <xdr:col>7</xdr:col>
      <xdr:colOff>57149</xdr:colOff>
      <xdr:row>15</xdr:row>
      <xdr:rowOff>19050</xdr:rowOff>
    </xdr:from>
    <xdr:to>
      <xdr:col>12</xdr:col>
      <xdr:colOff>0</xdr:colOff>
      <xdr:row>15</xdr:row>
      <xdr:rowOff>415050</xdr:rowOff>
    </xdr:to>
    <xdr:sp macro="" textlink="">
      <xdr:nvSpPr>
        <xdr:cNvPr id="25" name="Rectangle 14">
          <a:hlinkClick xmlns:r="http://schemas.openxmlformats.org/officeDocument/2006/relationships" r:id="rId3"/>
          <a:extLst>
            <a:ext uri="{FF2B5EF4-FFF2-40B4-BE49-F238E27FC236}">
              <a16:creationId xmlns:a16="http://schemas.microsoft.com/office/drawing/2014/main" id="{00000000-0008-0000-1000-000019000000}"/>
            </a:ext>
          </a:extLst>
        </xdr:cNvPr>
        <xdr:cNvSpPr>
          <a:spLocks noChangeArrowheads="1"/>
        </xdr:cNvSpPr>
      </xdr:nvSpPr>
      <xdr:spPr bwMode="auto">
        <a:xfrm>
          <a:off x="4781549" y="2571750"/>
          <a:ext cx="3752851" cy="396000"/>
        </a:xfrm>
        <a:prstGeom prst="rect">
          <a:avLst/>
        </a:prstGeom>
        <a:gradFill rotWithShape="1">
          <a:gsLst>
            <a:gs pos="0">
              <a:srgbClr val="99FF33"/>
            </a:gs>
            <a:gs pos="100000">
              <a:srgbClr val="767647"/>
            </a:gs>
          </a:gsLst>
          <a:lin ang="5400000" scaled="1"/>
        </a:gradFill>
        <a:ln w="9525" algn="ctr">
          <a:noFill/>
          <a:miter lim="800000"/>
          <a:headEnd/>
          <a:tailEnd/>
        </a:ln>
        <a:effectLst>
          <a:prstShdw prst="shdw18" dist="17961" dir="13500000">
            <a:srgbClr val="33CCCC">
              <a:gamma/>
              <a:shade val="60000"/>
              <a:invGamma/>
            </a:srgbClr>
          </a:prstShdw>
        </a:effectLst>
      </xdr:spPr>
      <xdr:txBody>
        <a:bodyPr vertOverflow="clip" wrap="square" lIns="27432" tIns="22860" rIns="0" bIns="0" anchor="t" upright="1"/>
        <a:lstStyle/>
        <a:p>
          <a:pPr algn="l" rtl="0">
            <a:defRPr sz="1000"/>
          </a:pPr>
          <a:r>
            <a:rPr lang="es-ES" sz="1000" b="1" i="0" strike="noStrike">
              <a:solidFill>
                <a:srgbClr val="000000"/>
              </a:solidFill>
              <a:latin typeface="Arial"/>
              <a:cs typeface="Arial"/>
            </a:rPr>
            <a:t>2 - MARGEN DE CONTRIBUCIÓN</a:t>
          </a:r>
          <a:r>
            <a:rPr lang="es-ES" sz="1000" b="1" i="0" strike="noStrike" baseline="0">
              <a:solidFill>
                <a:srgbClr val="000000"/>
              </a:solidFill>
              <a:latin typeface="Arial"/>
              <a:cs typeface="Arial"/>
            </a:rPr>
            <a:t> Y PUNTO DE EQUILIBRIO</a:t>
          </a:r>
          <a:endParaRPr lang="es-ES" sz="1000" b="1" i="0" strike="noStrike">
            <a:solidFill>
              <a:srgbClr val="000000"/>
            </a:solidFill>
            <a:latin typeface="Arial"/>
            <a:cs typeface="Arial"/>
          </a:endParaRPr>
        </a:p>
        <a:p>
          <a:pPr algn="l" rtl="0">
            <a:defRPr sz="1000"/>
          </a:pPr>
          <a:endParaRPr lang="es-ES" sz="1000" b="1" i="0" strike="noStrike">
            <a:solidFill>
              <a:srgbClr val="000000"/>
            </a:solidFill>
            <a:latin typeface="Arial"/>
            <a:cs typeface="Arial"/>
          </a:endParaRPr>
        </a:p>
      </xdr:txBody>
    </xdr:sp>
    <xdr:clientData/>
  </xdr:twoCellAnchor>
  <xdr:twoCellAnchor editAs="oneCell">
    <xdr:from>
      <xdr:col>13</xdr:col>
      <xdr:colOff>28575</xdr:colOff>
      <xdr:row>1</xdr:row>
      <xdr:rowOff>76200</xdr:rowOff>
    </xdr:from>
    <xdr:to>
      <xdr:col>13</xdr:col>
      <xdr:colOff>737775</xdr:colOff>
      <xdr:row>6</xdr:row>
      <xdr:rowOff>4350</xdr:rowOff>
    </xdr:to>
    <xdr:pic>
      <xdr:nvPicPr>
        <xdr:cNvPr id="26" name="31 Imagen">
          <a:hlinkClick xmlns:r="http://schemas.openxmlformats.org/officeDocument/2006/relationships" r:id="rId4"/>
          <a:extLst>
            <a:ext uri="{FF2B5EF4-FFF2-40B4-BE49-F238E27FC236}">
              <a16:creationId xmlns:a16="http://schemas.microsoft.com/office/drawing/2014/main" id="{00000000-0008-0000-1000-00001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324975" y="247650"/>
          <a:ext cx="709200" cy="690150"/>
        </a:xfrm>
        <a:prstGeom prst="rect">
          <a:avLst/>
        </a:prstGeom>
      </xdr:spPr>
    </xdr:pic>
    <xdr:clientData/>
  </xdr:twoCellAnchor>
  <xdr:twoCellAnchor editAs="oneCell">
    <xdr:from>
      <xdr:col>13</xdr:col>
      <xdr:colOff>95250</xdr:colOff>
      <xdr:row>4</xdr:row>
      <xdr:rowOff>103715</xdr:rowOff>
    </xdr:from>
    <xdr:to>
      <xdr:col>13</xdr:col>
      <xdr:colOff>666750</xdr:colOff>
      <xdr:row>6</xdr:row>
      <xdr:rowOff>4233</xdr:rowOff>
    </xdr:to>
    <xdr:sp macro="" textlink="">
      <xdr:nvSpPr>
        <xdr:cNvPr id="27" name="32 CuadroTexto">
          <a:extLst>
            <a:ext uri="{FF2B5EF4-FFF2-40B4-BE49-F238E27FC236}">
              <a16:creationId xmlns:a16="http://schemas.microsoft.com/office/drawing/2014/main" id="{00000000-0008-0000-1000-00001B000000}"/>
            </a:ext>
          </a:extLst>
        </xdr:cNvPr>
        <xdr:cNvSpPr txBox="1"/>
      </xdr:nvSpPr>
      <xdr:spPr>
        <a:xfrm>
          <a:off x="9391650" y="799040"/>
          <a:ext cx="571500" cy="1386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xdr:twoCellAnchor editAs="oneCell">
    <xdr:from>
      <xdr:col>11</xdr:col>
      <xdr:colOff>485775</xdr:colOff>
      <xdr:row>35</xdr:row>
      <xdr:rowOff>38101</xdr:rowOff>
    </xdr:from>
    <xdr:to>
      <xdr:col>12</xdr:col>
      <xdr:colOff>665069</xdr:colOff>
      <xdr:row>37</xdr:row>
      <xdr:rowOff>104775</xdr:rowOff>
    </xdr:to>
    <xdr:sp macro="" textlink="" fLocksText="0">
      <xdr:nvSpPr>
        <xdr:cNvPr id="29" name="AutoShape 15">
          <a:hlinkClick xmlns:r="http://schemas.openxmlformats.org/officeDocument/2006/relationships" r:id="rId6"/>
          <a:extLst>
            <a:ext uri="{FF2B5EF4-FFF2-40B4-BE49-F238E27FC236}">
              <a16:creationId xmlns:a16="http://schemas.microsoft.com/office/drawing/2014/main" id="{00000000-0008-0000-1000-00001D000000}"/>
            </a:ext>
          </a:extLst>
        </xdr:cNvPr>
        <xdr:cNvSpPr>
          <a:spLocks noChangeArrowheads="1"/>
        </xdr:cNvSpPr>
      </xdr:nvSpPr>
      <xdr:spPr bwMode="auto">
        <a:xfrm>
          <a:off x="9925050" y="8048626"/>
          <a:ext cx="941294" cy="447674"/>
        </a:xfrm>
        <a:prstGeom prst="bevel">
          <a:avLst>
            <a:gd name="adj" fmla="val 12500"/>
          </a:avLst>
        </a:prstGeom>
        <a:gradFill rotWithShape="1">
          <a:gsLst>
            <a:gs pos="0">
              <a:srgbClr val="99FF33"/>
            </a:gs>
            <a:gs pos="100000">
              <a:srgbClr val="767647"/>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twoCellAnchor editAs="oneCell">
    <xdr:from>
      <xdr:col>11</xdr:col>
      <xdr:colOff>504825</xdr:colOff>
      <xdr:row>62</xdr:row>
      <xdr:rowOff>66675</xdr:rowOff>
    </xdr:from>
    <xdr:to>
      <xdr:col>12</xdr:col>
      <xdr:colOff>684119</xdr:colOff>
      <xdr:row>64</xdr:row>
      <xdr:rowOff>114300</xdr:rowOff>
    </xdr:to>
    <xdr:sp macro="" textlink="" fLocksText="0">
      <xdr:nvSpPr>
        <xdr:cNvPr id="30" name="AutoShape 15">
          <a:hlinkClick xmlns:r="http://schemas.openxmlformats.org/officeDocument/2006/relationships" r:id="rId6"/>
          <a:extLst>
            <a:ext uri="{FF2B5EF4-FFF2-40B4-BE49-F238E27FC236}">
              <a16:creationId xmlns:a16="http://schemas.microsoft.com/office/drawing/2014/main" id="{00000000-0008-0000-1000-00001E000000}"/>
            </a:ext>
          </a:extLst>
        </xdr:cNvPr>
        <xdr:cNvSpPr>
          <a:spLocks noChangeArrowheads="1"/>
        </xdr:cNvSpPr>
      </xdr:nvSpPr>
      <xdr:spPr bwMode="auto">
        <a:xfrm>
          <a:off x="9944100" y="13849350"/>
          <a:ext cx="941294" cy="428625"/>
        </a:xfrm>
        <a:prstGeom prst="bevel">
          <a:avLst>
            <a:gd name="adj" fmla="val 12500"/>
          </a:avLst>
        </a:prstGeom>
        <a:gradFill rotWithShape="1">
          <a:gsLst>
            <a:gs pos="0">
              <a:srgbClr val="99FF33"/>
            </a:gs>
            <a:gs pos="100000">
              <a:srgbClr val="767647"/>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image" Target="../media/image2.emf"/><Relationship Id="rId2" Type="http://schemas.openxmlformats.org/officeDocument/2006/relationships/printerSettings" Target="../printerSettings/printerSettings2.bin"/><Relationship Id="rId1" Type="http://schemas.openxmlformats.org/officeDocument/2006/relationships/hyperlink" Target="mailto:pab@correo.com" TargetMode="External"/><Relationship Id="rId6" Type="http://schemas.openxmlformats.org/officeDocument/2006/relationships/control" Target="../activeX/activeX1.xml"/><Relationship Id="rId5" Type="http://schemas.openxmlformats.org/officeDocument/2006/relationships/vmlDrawing" Target="../drawings/vmlDrawing2.v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7" Type="http://schemas.openxmlformats.org/officeDocument/2006/relationships/image" Target="../media/image5.emf"/><Relationship Id="rId2" Type="http://schemas.openxmlformats.org/officeDocument/2006/relationships/hyperlink" Target="mailto:mailcode@correo.com" TargetMode="External"/><Relationship Id="rId1" Type="http://schemas.openxmlformats.org/officeDocument/2006/relationships/hyperlink" Target="mailto:mailcode@correo.com" TargetMode="External"/><Relationship Id="rId6" Type="http://schemas.openxmlformats.org/officeDocument/2006/relationships/control" Target="../activeX/activeX2.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image" Target="../media/image6.emf"/><Relationship Id="rId5" Type="http://schemas.openxmlformats.org/officeDocument/2006/relationships/control" Target="../activeX/activeX3.xml"/><Relationship Id="rId4" Type="http://schemas.openxmlformats.org/officeDocument/2006/relationships/vmlDrawing" Target="../drawings/vmlDrawing6.v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omments" Target="../comments2.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7"/>
  <dimension ref="A5:AN692"/>
  <sheetViews>
    <sheetView workbookViewId="0"/>
  </sheetViews>
  <sheetFormatPr baseColWidth="10" defaultRowHeight="12.75"/>
  <sheetData>
    <row r="5" spans="1:13" s="42" customFormat="1">
      <c r="A5" s="36" t="s">
        <v>13</v>
      </c>
      <c r="B5" s="36" t="s">
        <v>2537</v>
      </c>
      <c r="C5" s="134" t="s">
        <v>284</v>
      </c>
      <c r="D5" s="134" t="s">
        <v>182</v>
      </c>
      <c r="E5" s="134" t="s">
        <v>2517</v>
      </c>
      <c r="F5" s="134" t="s">
        <v>188</v>
      </c>
      <c r="G5" s="134" t="s">
        <v>281</v>
      </c>
      <c r="H5" s="134" t="s">
        <v>2509</v>
      </c>
      <c r="I5" s="134" t="s">
        <v>208</v>
      </c>
      <c r="J5" s="134" t="s">
        <v>251</v>
      </c>
      <c r="K5" s="134" t="s">
        <v>280</v>
      </c>
      <c r="L5" s="134" t="s">
        <v>1285</v>
      </c>
      <c r="M5" s="134" t="s">
        <v>1286</v>
      </c>
    </row>
    <row r="6" spans="1:13" s="42" customFormat="1">
      <c r="A6" s="36" t="s">
        <v>272</v>
      </c>
      <c r="B6" s="36" t="s">
        <v>272</v>
      </c>
      <c r="C6" s="141" t="s">
        <v>272</v>
      </c>
      <c r="D6" s="134" t="s">
        <v>272</v>
      </c>
      <c r="E6" s="134" t="s">
        <v>272</v>
      </c>
      <c r="F6" s="134" t="s">
        <v>272</v>
      </c>
      <c r="G6" s="134" t="s">
        <v>272</v>
      </c>
      <c r="H6" s="134" t="s">
        <v>272</v>
      </c>
      <c r="I6" s="134" t="s">
        <v>272</v>
      </c>
      <c r="J6" s="134" t="s">
        <v>272</v>
      </c>
      <c r="K6" s="141" t="s">
        <v>272</v>
      </c>
      <c r="L6" s="143" t="s">
        <v>285</v>
      </c>
      <c r="M6" s="143" t="s">
        <v>286</v>
      </c>
    </row>
    <row r="7" spans="1:13" s="42" customFormat="1" ht="16.5">
      <c r="A7" s="36" t="s">
        <v>48</v>
      </c>
      <c r="B7" s="185" t="s">
        <v>2538</v>
      </c>
      <c r="C7" s="141" t="s">
        <v>282</v>
      </c>
      <c r="D7" s="134" t="s">
        <v>183</v>
      </c>
      <c r="E7" s="134" t="s">
        <v>2518</v>
      </c>
      <c r="F7" s="134" t="s">
        <v>189</v>
      </c>
      <c r="G7" s="36" t="s">
        <v>253</v>
      </c>
      <c r="H7" s="134" t="s">
        <v>205</v>
      </c>
      <c r="I7" s="134" t="s">
        <v>209</v>
      </c>
      <c r="J7" s="134" t="s">
        <v>260</v>
      </c>
      <c r="K7" s="142" t="s">
        <v>273</v>
      </c>
      <c r="L7" s="143" t="s">
        <v>287</v>
      </c>
      <c r="M7" s="143" t="s">
        <v>288</v>
      </c>
    </row>
    <row r="8" spans="1:13" s="42" customFormat="1" ht="16.5">
      <c r="A8" s="36" t="s">
        <v>2618</v>
      </c>
      <c r="B8" s="185" t="s">
        <v>2539</v>
      </c>
      <c r="C8" s="141" t="s">
        <v>283</v>
      </c>
      <c r="D8" s="134" t="s">
        <v>187</v>
      </c>
      <c r="E8" s="134" t="s">
        <v>2519</v>
      </c>
      <c r="F8" s="134" t="s">
        <v>190</v>
      </c>
      <c r="G8" s="36" t="s">
        <v>254</v>
      </c>
      <c r="H8" s="134" t="s">
        <v>207</v>
      </c>
      <c r="I8" s="134" t="s">
        <v>210</v>
      </c>
      <c r="J8" s="134" t="s">
        <v>23</v>
      </c>
      <c r="K8" s="142" t="s">
        <v>274</v>
      </c>
      <c r="L8" s="143" t="s">
        <v>289</v>
      </c>
      <c r="M8" s="143" t="s">
        <v>290</v>
      </c>
    </row>
    <row r="9" spans="1:13" s="42" customFormat="1" ht="16.5">
      <c r="A9" s="36" t="s">
        <v>2619</v>
      </c>
      <c r="B9" s="185" t="s">
        <v>2540</v>
      </c>
      <c r="C9" s="134"/>
      <c r="D9" s="134" t="s">
        <v>186</v>
      </c>
      <c r="E9" s="134"/>
      <c r="F9" s="134" t="s">
        <v>191</v>
      </c>
      <c r="G9" s="134"/>
      <c r="H9" s="134" t="s">
        <v>206</v>
      </c>
      <c r="I9" s="134" t="s">
        <v>211</v>
      </c>
      <c r="J9" s="134"/>
      <c r="K9" s="142" t="s">
        <v>275</v>
      </c>
      <c r="L9" s="143" t="s">
        <v>291</v>
      </c>
      <c r="M9" s="143" t="s">
        <v>292</v>
      </c>
    </row>
    <row r="10" spans="1:13" s="42" customFormat="1" ht="16.5">
      <c r="A10" s="36" t="s">
        <v>2620</v>
      </c>
      <c r="B10" s="185" t="s">
        <v>2541</v>
      </c>
      <c r="C10" s="134"/>
      <c r="D10" s="134" t="s">
        <v>185</v>
      </c>
      <c r="E10" s="134"/>
      <c r="F10" s="134" t="s">
        <v>192</v>
      </c>
      <c r="G10" s="134"/>
      <c r="H10" s="134"/>
      <c r="I10" s="134"/>
      <c r="J10" s="134"/>
      <c r="K10" s="142" t="s">
        <v>276</v>
      </c>
      <c r="L10" s="143" t="s">
        <v>293</v>
      </c>
      <c r="M10" s="143" t="s">
        <v>294</v>
      </c>
    </row>
    <row r="11" spans="1:13" s="42" customFormat="1" ht="16.5">
      <c r="A11" s="36" t="s">
        <v>2621</v>
      </c>
      <c r="B11" s="185" t="s">
        <v>2542</v>
      </c>
      <c r="C11" s="134"/>
      <c r="D11" s="134" t="s">
        <v>184</v>
      </c>
      <c r="E11" s="134"/>
      <c r="F11" s="134" t="s">
        <v>193</v>
      </c>
      <c r="G11" s="134"/>
      <c r="H11" s="134"/>
      <c r="I11" s="134"/>
      <c r="J11" s="134"/>
      <c r="K11" s="142" t="s">
        <v>277</v>
      </c>
      <c r="L11" s="143" t="s">
        <v>295</v>
      </c>
      <c r="M11" s="143" t="s">
        <v>296</v>
      </c>
    </row>
    <row r="12" spans="1:13" s="42" customFormat="1" ht="16.5">
      <c r="A12" s="36" t="s">
        <v>2622</v>
      </c>
      <c r="B12" s="185" t="s">
        <v>2627</v>
      </c>
      <c r="C12" s="134"/>
      <c r="D12" s="134" t="s">
        <v>23</v>
      </c>
      <c r="E12" s="134"/>
      <c r="F12" s="134"/>
      <c r="G12" s="134"/>
      <c r="H12" s="134"/>
      <c r="I12" s="134"/>
      <c r="J12" s="134"/>
      <c r="K12" s="142" t="s">
        <v>278</v>
      </c>
      <c r="L12" s="143" t="s">
        <v>297</v>
      </c>
      <c r="M12" s="143" t="s">
        <v>298</v>
      </c>
    </row>
    <row r="13" spans="1:13" s="42" customFormat="1" ht="16.5">
      <c r="A13" s="36" t="s">
        <v>2623</v>
      </c>
      <c r="B13" s="185" t="s">
        <v>2543</v>
      </c>
      <c r="C13" s="134"/>
      <c r="D13" s="140"/>
      <c r="E13" s="140"/>
      <c r="F13" s="134"/>
      <c r="G13" s="134"/>
      <c r="H13" s="134"/>
      <c r="I13" s="134"/>
      <c r="J13" s="134"/>
      <c r="K13" s="142" t="s">
        <v>279</v>
      </c>
      <c r="L13" s="143" t="s">
        <v>299</v>
      </c>
      <c r="M13" s="143" t="s">
        <v>300</v>
      </c>
    </row>
    <row r="14" spans="1:13" s="42" customFormat="1" ht="16.5">
      <c r="A14" s="36" t="s">
        <v>2624</v>
      </c>
      <c r="K14" s="142" t="s">
        <v>211</v>
      </c>
      <c r="L14" s="143" t="s">
        <v>301</v>
      </c>
      <c r="M14" s="143" t="s">
        <v>302</v>
      </c>
    </row>
    <row r="15" spans="1:13" s="42" customFormat="1">
      <c r="A15" s="36" t="s">
        <v>2625</v>
      </c>
      <c r="L15" s="143" t="s">
        <v>303</v>
      </c>
      <c r="M15" s="143" t="s">
        <v>304</v>
      </c>
    </row>
    <row r="16" spans="1:13" s="42" customFormat="1">
      <c r="A16" s="36" t="s">
        <v>2626</v>
      </c>
      <c r="L16" s="143" t="s">
        <v>305</v>
      </c>
      <c r="M16" s="143" t="s">
        <v>306</v>
      </c>
    </row>
    <row r="17" spans="1:13" s="42" customFormat="1">
      <c r="A17" s="36" t="s">
        <v>8</v>
      </c>
      <c r="L17" s="143" t="s">
        <v>307</v>
      </c>
      <c r="M17" s="143" t="s">
        <v>308</v>
      </c>
    </row>
    <row r="18" spans="1:13" s="42" customFormat="1">
      <c r="A18" s="36" t="s">
        <v>193</v>
      </c>
      <c r="L18" s="143" t="s">
        <v>309</v>
      </c>
      <c r="M18" s="143" t="s">
        <v>310</v>
      </c>
    </row>
    <row r="19" spans="1:13" s="42" customFormat="1">
      <c r="A19" s="36"/>
      <c r="L19" s="143" t="s">
        <v>311</v>
      </c>
      <c r="M19" s="143" t="s">
        <v>312</v>
      </c>
    </row>
    <row r="20" spans="1:13" s="42" customFormat="1">
      <c r="L20" s="143" t="s">
        <v>313</v>
      </c>
      <c r="M20" s="143" t="s">
        <v>314</v>
      </c>
    </row>
    <row r="21" spans="1:13" s="42" customFormat="1">
      <c r="L21" s="143" t="s">
        <v>315</v>
      </c>
      <c r="M21" s="143" t="s">
        <v>316</v>
      </c>
    </row>
    <row r="22" spans="1:13" s="42" customFormat="1">
      <c r="A22" s="36"/>
      <c r="L22" s="143" t="s">
        <v>317</v>
      </c>
      <c r="M22" s="143" t="s">
        <v>318</v>
      </c>
    </row>
    <row r="23" spans="1:13" s="42" customFormat="1">
      <c r="L23" s="143" t="s">
        <v>319</v>
      </c>
      <c r="M23" s="143" t="s">
        <v>320</v>
      </c>
    </row>
    <row r="24" spans="1:13" s="42" customFormat="1">
      <c r="L24" s="143" t="s">
        <v>321</v>
      </c>
      <c r="M24" s="143" t="s">
        <v>322</v>
      </c>
    </row>
    <row r="25" spans="1:13" s="42" customFormat="1">
      <c r="L25" s="143" t="s">
        <v>323</v>
      </c>
      <c r="M25" s="143" t="s">
        <v>324</v>
      </c>
    </row>
    <row r="26" spans="1:13" s="42" customFormat="1">
      <c r="L26" s="143" t="s">
        <v>325</v>
      </c>
      <c r="M26" s="143" t="s">
        <v>326</v>
      </c>
    </row>
    <row r="27" spans="1:13" s="42" customFormat="1">
      <c r="L27" s="143" t="s">
        <v>327</v>
      </c>
      <c r="M27" s="143" t="s">
        <v>328</v>
      </c>
    </row>
    <row r="28" spans="1:13" s="42" customFormat="1">
      <c r="L28" s="143" t="s">
        <v>329</v>
      </c>
      <c r="M28" s="143" t="s">
        <v>330</v>
      </c>
    </row>
    <row r="29" spans="1:13" s="42" customFormat="1">
      <c r="L29" s="143" t="s">
        <v>331</v>
      </c>
      <c r="M29" s="143" t="s">
        <v>332</v>
      </c>
    </row>
    <row r="30" spans="1:13" s="42" customFormat="1">
      <c r="L30" s="143" t="s">
        <v>333</v>
      </c>
      <c r="M30" s="143" t="s">
        <v>334</v>
      </c>
    </row>
    <row r="31" spans="1:13" s="42" customFormat="1">
      <c r="L31" s="143" t="s">
        <v>335</v>
      </c>
      <c r="M31" s="143" t="s">
        <v>336</v>
      </c>
    </row>
    <row r="32" spans="1:13" s="42" customFormat="1">
      <c r="L32" s="143" t="s">
        <v>337</v>
      </c>
      <c r="M32" s="143" t="s">
        <v>338</v>
      </c>
    </row>
    <row r="33" spans="12:13" s="42" customFormat="1">
      <c r="L33" s="143" t="s">
        <v>339</v>
      </c>
      <c r="M33" s="143" t="s">
        <v>340</v>
      </c>
    </row>
    <row r="34" spans="12:13" s="42" customFormat="1">
      <c r="L34" s="143" t="s">
        <v>341</v>
      </c>
      <c r="M34" s="143" t="s">
        <v>342</v>
      </c>
    </row>
    <row r="35" spans="12:13" s="42" customFormat="1">
      <c r="L35" s="143" t="s">
        <v>343</v>
      </c>
      <c r="M35" s="143" t="s">
        <v>344</v>
      </c>
    </row>
    <row r="36" spans="12:13" s="42" customFormat="1">
      <c r="L36" s="143" t="s">
        <v>345</v>
      </c>
      <c r="M36" s="143" t="s">
        <v>346</v>
      </c>
    </row>
    <row r="37" spans="12:13" s="42" customFormat="1">
      <c r="L37" s="143" t="s">
        <v>347</v>
      </c>
      <c r="M37" s="143" t="s">
        <v>348</v>
      </c>
    </row>
    <row r="38" spans="12:13" s="42" customFormat="1">
      <c r="L38" s="143" t="s">
        <v>349</v>
      </c>
      <c r="M38" s="143" t="s">
        <v>350</v>
      </c>
    </row>
    <row r="39" spans="12:13" s="42" customFormat="1">
      <c r="L39" s="143" t="s">
        <v>351</v>
      </c>
      <c r="M39" s="143" t="s">
        <v>352</v>
      </c>
    </row>
    <row r="40" spans="12:13" s="42" customFormat="1">
      <c r="L40" s="143" t="s">
        <v>353</v>
      </c>
      <c r="M40" s="143" t="s">
        <v>354</v>
      </c>
    </row>
    <row r="41" spans="12:13" s="42" customFormat="1">
      <c r="L41" s="143" t="s">
        <v>355</v>
      </c>
      <c r="M41" s="143" t="s">
        <v>356</v>
      </c>
    </row>
    <row r="42" spans="12:13" s="42" customFormat="1">
      <c r="L42" s="143" t="s">
        <v>357</v>
      </c>
      <c r="M42" s="143" t="s">
        <v>358</v>
      </c>
    </row>
    <row r="43" spans="12:13" s="42" customFormat="1">
      <c r="L43" s="143" t="s">
        <v>359</v>
      </c>
      <c r="M43" s="143" t="s">
        <v>360</v>
      </c>
    </row>
    <row r="44" spans="12:13" s="42" customFormat="1">
      <c r="L44" s="143" t="s">
        <v>361</v>
      </c>
      <c r="M44" s="143" t="s">
        <v>362</v>
      </c>
    </row>
    <row r="45" spans="12:13" s="42" customFormat="1">
      <c r="L45" s="143" t="s">
        <v>363</v>
      </c>
      <c r="M45" s="143" t="s">
        <v>364</v>
      </c>
    </row>
    <row r="46" spans="12:13" s="42" customFormat="1">
      <c r="L46" s="143" t="s">
        <v>365</v>
      </c>
      <c r="M46" s="143" t="s">
        <v>366</v>
      </c>
    </row>
    <row r="47" spans="12:13" s="42" customFormat="1">
      <c r="L47" s="143" t="s">
        <v>367</v>
      </c>
      <c r="M47" s="143" t="s">
        <v>368</v>
      </c>
    </row>
    <row r="48" spans="12:13" s="42" customFormat="1">
      <c r="L48" s="143" t="s">
        <v>369</v>
      </c>
      <c r="M48" s="143" t="s">
        <v>370</v>
      </c>
    </row>
    <row r="49" spans="12:13" s="42" customFormat="1">
      <c r="L49" s="143" t="s">
        <v>371</v>
      </c>
      <c r="M49" s="143" t="s">
        <v>372</v>
      </c>
    </row>
    <row r="50" spans="12:13" s="42" customFormat="1">
      <c r="L50" s="143" t="s">
        <v>373</v>
      </c>
      <c r="M50" s="143" t="s">
        <v>374</v>
      </c>
    </row>
    <row r="51" spans="12:13" s="42" customFormat="1">
      <c r="L51" s="143" t="s">
        <v>375</v>
      </c>
      <c r="M51" s="143" t="s">
        <v>376</v>
      </c>
    </row>
    <row r="52" spans="12:13" s="42" customFormat="1">
      <c r="L52" s="143" t="s">
        <v>377</v>
      </c>
      <c r="M52" s="143" t="s">
        <v>378</v>
      </c>
    </row>
    <row r="53" spans="12:13" s="42" customFormat="1">
      <c r="L53" s="143" t="s">
        <v>379</v>
      </c>
      <c r="M53" s="143" t="s">
        <v>380</v>
      </c>
    </row>
    <row r="54" spans="12:13" s="42" customFormat="1">
      <c r="L54" s="143" t="s">
        <v>381</v>
      </c>
      <c r="M54" s="143" t="s">
        <v>382</v>
      </c>
    </row>
    <row r="55" spans="12:13" s="42" customFormat="1">
      <c r="L55" s="143" t="s">
        <v>383</v>
      </c>
      <c r="M55" s="143" t="s">
        <v>384</v>
      </c>
    </row>
    <row r="56" spans="12:13" s="42" customFormat="1">
      <c r="L56" s="143" t="s">
        <v>385</v>
      </c>
      <c r="M56" s="143" t="s">
        <v>386</v>
      </c>
    </row>
    <row r="57" spans="12:13" s="42" customFormat="1">
      <c r="L57" s="143" t="s">
        <v>387</v>
      </c>
      <c r="M57" s="143" t="s">
        <v>388</v>
      </c>
    </row>
    <row r="58" spans="12:13" s="42" customFormat="1">
      <c r="L58" s="143" t="s">
        <v>389</v>
      </c>
      <c r="M58" s="143" t="s">
        <v>390</v>
      </c>
    </row>
    <row r="59" spans="12:13" s="42" customFormat="1">
      <c r="L59" s="143" t="s">
        <v>391</v>
      </c>
      <c r="M59" s="143" t="s">
        <v>392</v>
      </c>
    </row>
    <row r="60" spans="12:13" s="42" customFormat="1">
      <c r="L60" s="143" t="s">
        <v>393</v>
      </c>
      <c r="M60" s="143" t="s">
        <v>394</v>
      </c>
    </row>
    <row r="61" spans="12:13" s="42" customFormat="1">
      <c r="L61" s="143" t="s">
        <v>395</v>
      </c>
      <c r="M61" s="143" t="s">
        <v>396</v>
      </c>
    </row>
    <row r="62" spans="12:13" s="42" customFormat="1">
      <c r="L62" s="143" t="s">
        <v>397</v>
      </c>
      <c r="M62" s="143" t="s">
        <v>398</v>
      </c>
    </row>
    <row r="63" spans="12:13" s="42" customFormat="1">
      <c r="L63" s="143" t="s">
        <v>399</v>
      </c>
      <c r="M63" s="143" t="s">
        <v>400</v>
      </c>
    </row>
    <row r="64" spans="12:13" s="42" customFormat="1">
      <c r="L64" s="143" t="s">
        <v>401</v>
      </c>
      <c r="M64" s="143" t="s">
        <v>402</v>
      </c>
    </row>
    <row r="65" spans="12:13" s="42" customFormat="1">
      <c r="L65" s="143" t="s">
        <v>403</v>
      </c>
      <c r="M65" s="143" t="s">
        <v>404</v>
      </c>
    </row>
    <row r="66" spans="12:13" s="42" customFormat="1">
      <c r="L66" s="143" t="s">
        <v>405</v>
      </c>
      <c r="M66" s="143" t="s">
        <v>406</v>
      </c>
    </row>
    <row r="67" spans="12:13" s="42" customFormat="1">
      <c r="L67" s="143" t="s">
        <v>407</v>
      </c>
      <c r="M67" s="143" t="s">
        <v>408</v>
      </c>
    </row>
    <row r="68" spans="12:13" s="42" customFormat="1">
      <c r="L68" s="143" t="s">
        <v>409</v>
      </c>
      <c r="M68" s="143" t="s">
        <v>410</v>
      </c>
    </row>
    <row r="69" spans="12:13" s="42" customFormat="1">
      <c r="L69" s="143" t="s">
        <v>411</v>
      </c>
      <c r="M69" s="143" t="s">
        <v>412</v>
      </c>
    </row>
    <row r="70" spans="12:13" s="42" customFormat="1">
      <c r="L70" s="143" t="s">
        <v>413</v>
      </c>
      <c r="M70" s="143" t="s">
        <v>414</v>
      </c>
    </row>
    <row r="71" spans="12:13" s="42" customFormat="1">
      <c r="L71" s="143" t="s">
        <v>415</v>
      </c>
      <c r="M71" s="143" t="s">
        <v>416</v>
      </c>
    </row>
    <row r="72" spans="12:13" s="42" customFormat="1">
      <c r="L72" s="143" t="s">
        <v>417</v>
      </c>
      <c r="M72" s="143" t="s">
        <v>418</v>
      </c>
    </row>
    <row r="73" spans="12:13" s="42" customFormat="1">
      <c r="L73" s="143" t="s">
        <v>419</v>
      </c>
      <c r="M73" s="143" t="s">
        <v>420</v>
      </c>
    </row>
    <row r="74" spans="12:13" s="42" customFormat="1">
      <c r="L74" s="143" t="s">
        <v>421</v>
      </c>
      <c r="M74" s="143" t="s">
        <v>422</v>
      </c>
    </row>
    <row r="75" spans="12:13" s="42" customFormat="1">
      <c r="L75" s="143" t="s">
        <v>423</v>
      </c>
      <c r="M75" s="143" t="s">
        <v>424</v>
      </c>
    </row>
    <row r="76" spans="12:13" s="42" customFormat="1">
      <c r="L76" s="143" t="s">
        <v>425</v>
      </c>
      <c r="M76" s="143" t="s">
        <v>426</v>
      </c>
    </row>
    <row r="77" spans="12:13" s="42" customFormat="1">
      <c r="L77" s="143" t="s">
        <v>427</v>
      </c>
      <c r="M77" s="143" t="s">
        <v>428</v>
      </c>
    </row>
    <row r="78" spans="12:13" s="42" customFormat="1">
      <c r="L78" s="143" t="s">
        <v>429</v>
      </c>
      <c r="M78" s="143" t="s">
        <v>430</v>
      </c>
    </row>
    <row r="79" spans="12:13" s="42" customFormat="1">
      <c r="L79" s="143" t="s">
        <v>431</v>
      </c>
      <c r="M79" s="143" t="s">
        <v>432</v>
      </c>
    </row>
    <row r="80" spans="12:13" s="42" customFormat="1">
      <c r="L80" s="143" t="s">
        <v>433</v>
      </c>
      <c r="M80" s="143" t="s">
        <v>434</v>
      </c>
    </row>
    <row r="81" spans="12:13" s="42" customFormat="1">
      <c r="L81" s="143" t="s">
        <v>435</v>
      </c>
      <c r="M81" s="143" t="s">
        <v>436</v>
      </c>
    </row>
    <row r="82" spans="12:13" s="42" customFormat="1">
      <c r="L82" s="143" t="s">
        <v>437</v>
      </c>
      <c r="M82" s="143" t="s">
        <v>438</v>
      </c>
    </row>
    <row r="83" spans="12:13" s="42" customFormat="1">
      <c r="L83" s="143" t="s">
        <v>439</v>
      </c>
      <c r="M83" s="143" t="s">
        <v>440</v>
      </c>
    </row>
    <row r="84" spans="12:13" s="42" customFormat="1">
      <c r="L84" s="143" t="s">
        <v>441</v>
      </c>
      <c r="M84" s="143" t="s">
        <v>442</v>
      </c>
    </row>
    <row r="85" spans="12:13" s="42" customFormat="1">
      <c r="L85" s="143" t="s">
        <v>443</v>
      </c>
      <c r="M85" s="143" t="s">
        <v>444</v>
      </c>
    </row>
    <row r="86" spans="12:13" s="42" customFormat="1">
      <c r="L86" s="143" t="s">
        <v>445</v>
      </c>
      <c r="M86" s="143" t="s">
        <v>446</v>
      </c>
    </row>
    <row r="87" spans="12:13" s="42" customFormat="1">
      <c r="L87" s="143" t="s">
        <v>447</v>
      </c>
      <c r="M87" s="143" t="s">
        <v>448</v>
      </c>
    </row>
    <row r="88" spans="12:13" s="42" customFormat="1">
      <c r="L88" s="143" t="s">
        <v>449</v>
      </c>
      <c r="M88" s="143" t="s">
        <v>450</v>
      </c>
    </row>
    <row r="89" spans="12:13" s="42" customFormat="1">
      <c r="L89" s="143" t="s">
        <v>451</v>
      </c>
      <c r="M89" s="143" t="s">
        <v>452</v>
      </c>
    </row>
    <row r="90" spans="12:13" s="42" customFormat="1">
      <c r="L90" s="143" t="s">
        <v>453</v>
      </c>
      <c r="M90" s="143" t="s">
        <v>454</v>
      </c>
    </row>
    <row r="91" spans="12:13" s="42" customFormat="1">
      <c r="L91" s="143" t="s">
        <v>455</v>
      </c>
      <c r="M91" s="143" t="s">
        <v>456</v>
      </c>
    </row>
    <row r="92" spans="12:13" s="42" customFormat="1">
      <c r="L92" s="143" t="s">
        <v>457</v>
      </c>
      <c r="M92" s="143" t="s">
        <v>458</v>
      </c>
    </row>
    <row r="93" spans="12:13" s="42" customFormat="1">
      <c r="L93" s="143" t="s">
        <v>459</v>
      </c>
      <c r="M93" s="143" t="s">
        <v>460</v>
      </c>
    </row>
    <row r="94" spans="12:13" s="42" customFormat="1">
      <c r="L94" s="143" t="s">
        <v>461</v>
      </c>
      <c r="M94" s="143" t="s">
        <v>462</v>
      </c>
    </row>
    <row r="95" spans="12:13" s="42" customFormat="1">
      <c r="L95" s="143" t="s">
        <v>463</v>
      </c>
      <c r="M95" s="143" t="s">
        <v>464</v>
      </c>
    </row>
    <row r="96" spans="12:13" s="42" customFormat="1">
      <c r="L96" s="143" t="s">
        <v>465</v>
      </c>
      <c r="M96" s="143" t="s">
        <v>466</v>
      </c>
    </row>
    <row r="97" spans="12:13" s="42" customFormat="1">
      <c r="L97" s="143" t="s">
        <v>467</v>
      </c>
      <c r="M97" s="143" t="s">
        <v>468</v>
      </c>
    </row>
    <row r="98" spans="12:13" s="42" customFormat="1">
      <c r="L98" s="143" t="s">
        <v>469</v>
      </c>
      <c r="M98" s="143" t="s">
        <v>470</v>
      </c>
    </row>
    <row r="99" spans="12:13" s="42" customFormat="1">
      <c r="L99" s="143" t="s">
        <v>471</v>
      </c>
      <c r="M99" s="143" t="s">
        <v>472</v>
      </c>
    </row>
    <row r="100" spans="12:13" s="42" customFormat="1">
      <c r="L100" s="143" t="s">
        <v>473</v>
      </c>
      <c r="M100" s="143" t="s">
        <v>474</v>
      </c>
    </row>
    <row r="101" spans="12:13" s="42" customFormat="1">
      <c r="L101" s="143" t="s">
        <v>475</v>
      </c>
      <c r="M101" s="143" t="s">
        <v>476</v>
      </c>
    </row>
    <row r="102" spans="12:13" s="42" customFormat="1">
      <c r="L102" s="143" t="s">
        <v>477</v>
      </c>
      <c r="M102" s="143" t="s">
        <v>478</v>
      </c>
    </row>
    <row r="103" spans="12:13" s="42" customFormat="1">
      <c r="L103" s="143" t="s">
        <v>479</v>
      </c>
      <c r="M103" s="143" t="s">
        <v>480</v>
      </c>
    </row>
    <row r="104" spans="12:13" s="42" customFormat="1">
      <c r="L104" s="143" t="s">
        <v>481</v>
      </c>
      <c r="M104" s="143" t="s">
        <v>482</v>
      </c>
    </row>
    <row r="105" spans="12:13" s="42" customFormat="1">
      <c r="L105" s="143" t="s">
        <v>483</v>
      </c>
      <c r="M105" s="143" t="s">
        <v>484</v>
      </c>
    </row>
    <row r="106" spans="12:13" s="42" customFormat="1">
      <c r="L106" s="143" t="s">
        <v>485</v>
      </c>
      <c r="M106" s="143" t="s">
        <v>486</v>
      </c>
    </row>
    <row r="107" spans="12:13" s="42" customFormat="1">
      <c r="L107" s="143" t="s">
        <v>487</v>
      </c>
      <c r="M107" s="143" t="s">
        <v>488</v>
      </c>
    </row>
    <row r="108" spans="12:13" s="42" customFormat="1">
      <c r="L108" s="143" t="s">
        <v>489</v>
      </c>
      <c r="M108" s="143" t="s">
        <v>490</v>
      </c>
    </row>
    <row r="109" spans="12:13" s="42" customFormat="1">
      <c r="L109" s="143" t="s">
        <v>491</v>
      </c>
      <c r="M109" s="143" t="s">
        <v>492</v>
      </c>
    </row>
    <row r="110" spans="12:13" s="42" customFormat="1">
      <c r="L110" s="143" t="s">
        <v>493</v>
      </c>
      <c r="M110" s="143" t="s">
        <v>494</v>
      </c>
    </row>
    <row r="111" spans="12:13" s="42" customFormat="1">
      <c r="L111" s="143" t="s">
        <v>495</v>
      </c>
      <c r="M111" s="143" t="s">
        <v>496</v>
      </c>
    </row>
    <row r="112" spans="12:13" s="42" customFormat="1">
      <c r="L112" s="143" t="s">
        <v>497</v>
      </c>
      <c r="M112" s="143" t="s">
        <v>498</v>
      </c>
    </row>
    <row r="113" spans="12:13" s="42" customFormat="1">
      <c r="L113" s="143" t="s">
        <v>499</v>
      </c>
      <c r="M113" s="143" t="s">
        <v>500</v>
      </c>
    </row>
    <row r="114" spans="12:13" s="42" customFormat="1">
      <c r="L114" s="143" t="s">
        <v>501</v>
      </c>
      <c r="M114" s="143" t="s">
        <v>502</v>
      </c>
    </row>
    <row r="115" spans="12:13" s="42" customFormat="1">
      <c r="L115" s="143" t="s">
        <v>503</v>
      </c>
      <c r="M115" s="143" t="s">
        <v>504</v>
      </c>
    </row>
    <row r="116" spans="12:13" s="42" customFormat="1">
      <c r="L116" s="143" t="s">
        <v>505</v>
      </c>
      <c r="M116" s="143" t="s">
        <v>506</v>
      </c>
    </row>
    <row r="117" spans="12:13" s="42" customFormat="1">
      <c r="L117" s="143" t="s">
        <v>507</v>
      </c>
      <c r="M117" s="143" t="s">
        <v>508</v>
      </c>
    </row>
    <row r="118" spans="12:13" s="42" customFormat="1">
      <c r="L118" s="143" t="s">
        <v>509</v>
      </c>
      <c r="M118" s="143" t="s">
        <v>510</v>
      </c>
    </row>
    <row r="119" spans="12:13" s="42" customFormat="1">
      <c r="L119" s="143" t="s">
        <v>511</v>
      </c>
      <c r="M119" s="143" t="s">
        <v>512</v>
      </c>
    </row>
    <row r="120" spans="12:13" s="42" customFormat="1">
      <c r="L120" s="143" t="s">
        <v>513</v>
      </c>
      <c r="M120" s="143" t="s">
        <v>514</v>
      </c>
    </row>
    <row r="121" spans="12:13" s="42" customFormat="1">
      <c r="L121" s="143" t="s">
        <v>515</v>
      </c>
      <c r="M121" s="143" t="s">
        <v>516</v>
      </c>
    </row>
    <row r="122" spans="12:13" s="42" customFormat="1">
      <c r="L122" s="143" t="s">
        <v>517</v>
      </c>
      <c r="M122" s="143" t="s">
        <v>518</v>
      </c>
    </row>
    <row r="123" spans="12:13" s="42" customFormat="1">
      <c r="L123" s="143" t="s">
        <v>519</v>
      </c>
      <c r="M123" s="143" t="s">
        <v>520</v>
      </c>
    </row>
    <row r="124" spans="12:13" s="42" customFormat="1">
      <c r="L124" s="143" t="s">
        <v>521</v>
      </c>
      <c r="M124" s="143" t="s">
        <v>522</v>
      </c>
    </row>
    <row r="125" spans="12:13" s="42" customFormat="1">
      <c r="L125" s="143" t="s">
        <v>523</v>
      </c>
      <c r="M125" s="143" t="s">
        <v>524</v>
      </c>
    </row>
    <row r="126" spans="12:13" s="42" customFormat="1">
      <c r="L126" s="143" t="s">
        <v>525</v>
      </c>
      <c r="M126" s="143" t="s">
        <v>526</v>
      </c>
    </row>
    <row r="127" spans="12:13" s="42" customFormat="1">
      <c r="L127" s="143" t="s">
        <v>527</v>
      </c>
      <c r="M127" s="143" t="s">
        <v>528</v>
      </c>
    </row>
    <row r="128" spans="12:13" s="42" customFormat="1">
      <c r="L128" s="143" t="s">
        <v>529</v>
      </c>
      <c r="M128" s="143" t="s">
        <v>530</v>
      </c>
    </row>
    <row r="129" spans="12:13" s="42" customFormat="1">
      <c r="L129" s="143" t="s">
        <v>531</v>
      </c>
      <c r="M129" s="143" t="s">
        <v>532</v>
      </c>
    </row>
    <row r="130" spans="12:13" s="42" customFormat="1">
      <c r="L130" s="143" t="s">
        <v>533</v>
      </c>
      <c r="M130" s="143" t="s">
        <v>534</v>
      </c>
    </row>
    <row r="131" spans="12:13" s="42" customFormat="1">
      <c r="L131" s="143" t="s">
        <v>535</v>
      </c>
      <c r="M131" s="143" t="s">
        <v>536</v>
      </c>
    </row>
    <row r="132" spans="12:13" s="42" customFormat="1">
      <c r="L132" s="143" t="s">
        <v>537</v>
      </c>
      <c r="M132" s="143" t="s">
        <v>538</v>
      </c>
    </row>
    <row r="133" spans="12:13" s="42" customFormat="1">
      <c r="L133" s="143" t="s">
        <v>539</v>
      </c>
      <c r="M133" s="143" t="s">
        <v>540</v>
      </c>
    </row>
    <row r="134" spans="12:13" s="42" customFormat="1">
      <c r="L134" s="143" t="s">
        <v>541</v>
      </c>
      <c r="M134" s="143" t="s">
        <v>542</v>
      </c>
    </row>
    <row r="135" spans="12:13" s="42" customFormat="1">
      <c r="L135" s="143" t="s">
        <v>543</v>
      </c>
      <c r="M135" s="143" t="s">
        <v>544</v>
      </c>
    </row>
    <row r="136" spans="12:13" s="42" customFormat="1">
      <c r="L136" s="143" t="s">
        <v>545</v>
      </c>
      <c r="M136" s="143" t="s">
        <v>546</v>
      </c>
    </row>
    <row r="137" spans="12:13" s="42" customFormat="1">
      <c r="L137" s="143" t="s">
        <v>547</v>
      </c>
      <c r="M137" s="143" t="s">
        <v>548</v>
      </c>
    </row>
    <row r="138" spans="12:13" s="42" customFormat="1">
      <c r="L138" s="143" t="s">
        <v>549</v>
      </c>
      <c r="M138" s="143" t="s">
        <v>550</v>
      </c>
    </row>
    <row r="139" spans="12:13" s="42" customFormat="1">
      <c r="L139" s="143" t="s">
        <v>551</v>
      </c>
      <c r="M139" s="143" t="s">
        <v>552</v>
      </c>
    </row>
    <row r="140" spans="12:13" s="42" customFormat="1">
      <c r="L140" s="143" t="s">
        <v>553</v>
      </c>
      <c r="M140" s="143" t="s">
        <v>554</v>
      </c>
    </row>
    <row r="141" spans="12:13" s="42" customFormat="1">
      <c r="L141" s="143" t="s">
        <v>555</v>
      </c>
      <c r="M141" s="143" t="s">
        <v>556</v>
      </c>
    </row>
    <row r="142" spans="12:13" s="42" customFormat="1">
      <c r="L142" s="143" t="s">
        <v>557</v>
      </c>
      <c r="M142" s="143" t="s">
        <v>558</v>
      </c>
    </row>
    <row r="143" spans="12:13" s="42" customFormat="1">
      <c r="L143" s="143" t="s">
        <v>559</v>
      </c>
      <c r="M143" s="143" t="s">
        <v>560</v>
      </c>
    </row>
    <row r="144" spans="12:13" s="42" customFormat="1">
      <c r="L144" s="143" t="s">
        <v>561</v>
      </c>
      <c r="M144" s="143" t="s">
        <v>562</v>
      </c>
    </row>
    <row r="145" spans="12:13" s="42" customFormat="1">
      <c r="L145" s="143" t="s">
        <v>563</v>
      </c>
      <c r="M145" s="143" t="s">
        <v>564</v>
      </c>
    </row>
    <row r="146" spans="12:13" s="42" customFormat="1">
      <c r="L146" s="143" t="s">
        <v>565</v>
      </c>
      <c r="M146" s="143" t="s">
        <v>566</v>
      </c>
    </row>
    <row r="147" spans="12:13" s="42" customFormat="1">
      <c r="L147" s="143" t="s">
        <v>567</v>
      </c>
      <c r="M147" s="143" t="s">
        <v>568</v>
      </c>
    </row>
    <row r="148" spans="12:13" s="42" customFormat="1">
      <c r="L148" s="143" t="s">
        <v>569</v>
      </c>
      <c r="M148" s="143" t="s">
        <v>570</v>
      </c>
    </row>
    <row r="149" spans="12:13" s="42" customFormat="1">
      <c r="L149" s="143" t="s">
        <v>571</v>
      </c>
      <c r="M149" s="143" t="s">
        <v>572</v>
      </c>
    </row>
    <row r="150" spans="12:13" s="42" customFormat="1">
      <c r="L150" s="143" t="s">
        <v>573</v>
      </c>
      <c r="M150" s="143" t="s">
        <v>574</v>
      </c>
    </row>
    <row r="151" spans="12:13" s="42" customFormat="1">
      <c r="L151" s="143" t="s">
        <v>575</v>
      </c>
      <c r="M151" s="143" t="s">
        <v>576</v>
      </c>
    </row>
    <row r="152" spans="12:13" s="42" customFormat="1">
      <c r="L152" s="143" t="s">
        <v>577</v>
      </c>
      <c r="M152" s="143" t="s">
        <v>578</v>
      </c>
    </row>
    <row r="153" spans="12:13" s="42" customFormat="1">
      <c r="L153" s="143" t="s">
        <v>579</v>
      </c>
      <c r="M153" s="143" t="s">
        <v>580</v>
      </c>
    </row>
    <row r="154" spans="12:13" s="42" customFormat="1">
      <c r="L154" s="143" t="s">
        <v>581</v>
      </c>
      <c r="M154" s="143" t="s">
        <v>582</v>
      </c>
    </row>
    <row r="155" spans="12:13" s="42" customFormat="1">
      <c r="L155" s="143" t="s">
        <v>583</v>
      </c>
      <c r="M155" s="143" t="s">
        <v>584</v>
      </c>
    </row>
    <row r="156" spans="12:13" s="42" customFormat="1">
      <c r="L156" s="143" t="s">
        <v>585</v>
      </c>
      <c r="M156" s="143" t="s">
        <v>586</v>
      </c>
    </row>
    <row r="157" spans="12:13" s="42" customFormat="1">
      <c r="L157" s="143" t="s">
        <v>587</v>
      </c>
      <c r="M157" s="143" t="s">
        <v>588</v>
      </c>
    </row>
    <row r="158" spans="12:13" s="42" customFormat="1">
      <c r="L158" s="143" t="s">
        <v>589</v>
      </c>
      <c r="M158" s="143" t="s">
        <v>590</v>
      </c>
    </row>
    <row r="159" spans="12:13" s="42" customFormat="1">
      <c r="L159" s="143" t="s">
        <v>591</v>
      </c>
      <c r="M159" s="143" t="s">
        <v>592</v>
      </c>
    </row>
    <row r="160" spans="12:13" s="42" customFormat="1">
      <c r="L160" s="143" t="s">
        <v>593</v>
      </c>
      <c r="M160" s="143" t="s">
        <v>594</v>
      </c>
    </row>
    <row r="161" spans="12:13" s="42" customFormat="1">
      <c r="L161" s="143" t="s">
        <v>595</v>
      </c>
      <c r="M161" s="143" t="s">
        <v>596</v>
      </c>
    </row>
    <row r="162" spans="12:13" s="42" customFormat="1">
      <c r="L162" s="143" t="s">
        <v>597</v>
      </c>
      <c r="M162" s="143" t="s">
        <v>598</v>
      </c>
    </row>
    <row r="163" spans="12:13" s="42" customFormat="1">
      <c r="L163" s="143" t="s">
        <v>599</v>
      </c>
      <c r="M163" s="143" t="s">
        <v>600</v>
      </c>
    </row>
    <row r="164" spans="12:13" s="42" customFormat="1">
      <c r="L164" s="143" t="s">
        <v>601</v>
      </c>
      <c r="M164" s="143" t="s">
        <v>602</v>
      </c>
    </row>
    <row r="165" spans="12:13" s="42" customFormat="1">
      <c r="L165" s="143" t="s">
        <v>603</v>
      </c>
      <c r="M165" s="143" t="s">
        <v>604</v>
      </c>
    </row>
    <row r="166" spans="12:13" s="42" customFormat="1">
      <c r="L166" s="143" t="s">
        <v>605</v>
      </c>
      <c r="M166" s="143" t="s">
        <v>606</v>
      </c>
    </row>
    <row r="167" spans="12:13" s="42" customFormat="1">
      <c r="L167" s="143" t="s">
        <v>607</v>
      </c>
      <c r="M167" s="143" t="s">
        <v>608</v>
      </c>
    </row>
    <row r="168" spans="12:13" s="42" customFormat="1">
      <c r="L168" s="143" t="s">
        <v>609</v>
      </c>
      <c r="M168" s="143" t="s">
        <v>610</v>
      </c>
    </row>
    <row r="169" spans="12:13" s="42" customFormat="1">
      <c r="L169" s="143" t="s">
        <v>611</v>
      </c>
      <c r="M169" s="143" t="s">
        <v>612</v>
      </c>
    </row>
    <row r="170" spans="12:13" s="42" customFormat="1">
      <c r="L170" s="143" t="s">
        <v>613</v>
      </c>
      <c r="M170" s="143" t="s">
        <v>614</v>
      </c>
    </row>
    <row r="171" spans="12:13" s="42" customFormat="1">
      <c r="L171" s="143" t="s">
        <v>615</v>
      </c>
      <c r="M171" s="143" t="s">
        <v>616</v>
      </c>
    </row>
    <row r="172" spans="12:13" s="42" customFormat="1">
      <c r="L172" s="143" t="s">
        <v>617</v>
      </c>
      <c r="M172" s="143" t="s">
        <v>618</v>
      </c>
    </row>
    <row r="173" spans="12:13" s="42" customFormat="1">
      <c r="L173" s="143" t="s">
        <v>619</v>
      </c>
      <c r="M173" s="143" t="s">
        <v>620</v>
      </c>
    </row>
    <row r="174" spans="12:13" s="42" customFormat="1">
      <c r="L174" s="143" t="s">
        <v>621</v>
      </c>
      <c r="M174" s="143" t="s">
        <v>622</v>
      </c>
    </row>
    <row r="175" spans="12:13" s="42" customFormat="1">
      <c r="L175" s="143" t="s">
        <v>623</v>
      </c>
      <c r="M175" s="143" t="s">
        <v>624</v>
      </c>
    </row>
    <row r="176" spans="12:13" s="42" customFormat="1">
      <c r="L176" s="143" t="s">
        <v>625</v>
      </c>
      <c r="M176" s="143" t="s">
        <v>626</v>
      </c>
    </row>
    <row r="177" spans="12:13" s="42" customFormat="1">
      <c r="L177" s="143" t="s">
        <v>627</v>
      </c>
      <c r="M177" s="143" t="s">
        <v>628</v>
      </c>
    </row>
    <row r="178" spans="12:13" s="42" customFormat="1">
      <c r="L178" s="143" t="s">
        <v>629</v>
      </c>
      <c r="M178" s="143" t="s">
        <v>630</v>
      </c>
    </row>
    <row r="179" spans="12:13" s="42" customFormat="1">
      <c r="L179" s="143" t="s">
        <v>631</v>
      </c>
      <c r="M179" s="143" t="s">
        <v>632</v>
      </c>
    </row>
    <row r="180" spans="12:13" s="42" customFormat="1">
      <c r="L180" s="143" t="s">
        <v>633</v>
      </c>
      <c r="M180" s="143" t="s">
        <v>634</v>
      </c>
    </row>
    <row r="181" spans="12:13" s="42" customFormat="1">
      <c r="L181" s="143" t="s">
        <v>635</v>
      </c>
      <c r="M181" s="143" t="s">
        <v>636</v>
      </c>
    </row>
    <row r="182" spans="12:13" s="42" customFormat="1">
      <c r="L182" s="143" t="s">
        <v>637</v>
      </c>
      <c r="M182" s="143" t="s">
        <v>638</v>
      </c>
    </row>
    <row r="183" spans="12:13" s="42" customFormat="1">
      <c r="L183" s="143" t="s">
        <v>639</v>
      </c>
      <c r="M183" s="143" t="s">
        <v>640</v>
      </c>
    </row>
    <row r="184" spans="12:13" s="42" customFormat="1">
      <c r="L184" s="143" t="s">
        <v>641</v>
      </c>
      <c r="M184" s="143" t="s">
        <v>642</v>
      </c>
    </row>
    <row r="185" spans="12:13" s="42" customFormat="1">
      <c r="L185" s="143" t="s">
        <v>643</v>
      </c>
      <c r="M185" s="143" t="s">
        <v>644</v>
      </c>
    </row>
    <row r="186" spans="12:13" s="42" customFormat="1">
      <c r="L186" s="143" t="s">
        <v>645</v>
      </c>
      <c r="M186" s="143" t="s">
        <v>646</v>
      </c>
    </row>
    <row r="187" spans="12:13" s="42" customFormat="1">
      <c r="L187" s="143" t="s">
        <v>647</v>
      </c>
      <c r="M187" s="143" t="s">
        <v>648</v>
      </c>
    </row>
    <row r="188" spans="12:13" s="42" customFormat="1">
      <c r="L188" s="143" t="s">
        <v>649</v>
      </c>
      <c r="M188" s="143" t="s">
        <v>650</v>
      </c>
    </row>
    <row r="189" spans="12:13" s="42" customFormat="1">
      <c r="L189" s="143" t="s">
        <v>651</v>
      </c>
      <c r="M189" s="143" t="s">
        <v>652</v>
      </c>
    </row>
    <row r="190" spans="12:13" s="42" customFormat="1">
      <c r="L190" s="143" t="s">
        <v>653</v>
      </c>
      <c r="M190" s="143" t="s">
        <v>654</v>
      </c>
    </row>
    <row r="191" spans="12:13" s="42" customFormat="1">
      <c r="L191" s="143" t="s">
        <v>655</v>
      </c>
      <c r="M191" s="143" t="s">
        <v>656</v>
      </c>
    </row>
    <row r="192" spans="12:13" s="42" customFormat="1">
      <c r="L192" s="143" t="s">
        <v>657</v>
      </c>
      <c r="M192" s="143" t="s">
        <v>658</v>
      </c>
    </row>
    <row r="193" spans="12:13" s="42" customFormat="1">
      <c r="L193" s="143" t="s">
        <v>659</v>
      </c>
      <c r="M193" s="143" t="s">
        <v>660</v>
      </c>
    </row>
    <row r="194" spans="12:13" s="42" customFormat="1">
      <c r="L194" s="143" t="s">
        <v>661</v>
      </c>
      <c r="M194" s="143" t="s">
        <v>662</v>
      </c>
    </row>
    <row r="195" spans="12:13" s="42" customFormat="1">
      <c r="L195" s="143" t="s">
        <v>663</v>
      </c>
      <c r="M195" s="143" t="s">
        <v>664</v>
      </c>
    </row>
    <row r="196" spans="12:13" s="42" customFormat="1">
      <c r="L196" s="143" t="s">
        <v>665</v>
      </c>
      <c r="M196" s="143" t="s">
        <v>666</v>
      </c>
    </row>
    <row r="197" spans="12:13" s="42" customFormat="1">
      <c r="L197" s="143" t="s">
        <v>667</v>
      </c>
      <c r="M197" s="143" t="s">
        <v>668</v>
      </c>
    </row>
    <row r="198" spans="12:13" s="42" customFormat="1">
      <c r="L198" s="143" t="s">
        <v>669</v>
      </c>
      <c r="M198" s="143" t="s">
        <v>670</v>
      </c>
    </row>
    <row r="199" spans="12:13" s="42" customFormat="1">
      <c r="L199" s="143" t="s">
        <v>671</v>
      </c>
      <c r="M199" s="143" t="s">
        <v>672</v>
      </c>
    </row>
    <row r="200" spans="12:13" s="42" customFormat="1">
      <c r="L200" s="143" t="s">
        <v>673</v>
      </c>
      <c r="M200" s="143" t="s">
        <v>674</v>
      </c>
    </row>
    <row r="201" spans="12:13" s="42" customFormat="1">
      <c r="L201" s="143" t="s">
        <v>675</v>
      </c>
      <c r="M201" s="143" t="s">
        <v>676</v>
      </c>
    </row>
    <row r="202" spans="12:13" s="42" customFormat="1">
      <c r="L202" s="143" t="s">
        <v>677</v>
      </c>
      <c r="M202" s="143" t="s">
        <v>678</v>
      </c>
    </row>
    <row r="203" spans="12:13" s="42" customFormat="1">
      <c r="L203" s="143" t="s">
        <v>679</v>
      </c>
      <c r="M203" s="143" t="s">
        <v>680</v>
      </c>
    </row>
    <row r="204" spans="12:13" s="42" customFormat="1">
      <c r="L204" s="143" t="s">
        <v>681</v>
      </c>
      <c r="M204" s="143" t="s">
        <v>682</v>
      </c>
    </row>
    <row r="205" spans="12:13" s="42" customFormat="1">
      <c r="L205" s="143" t="s">
        <v>683</v>
      </c>
      <c r="M205" s="143" t="s">
        <v>684</v>
      </c>
    </row>
    <row r="206" spans="12:13" s="42" customFormat="1">
      <c r="L206" s="143" t="s">
        <v>685</v>
      </c>
      <c r="M206" s="143" t="s">
        <v>686</v>
      </c>
    </row>
    <row r="207" spans="12:13" s="42" customFormat="1">
      <c r="L207" s="143" t="s">
        <v>687</v>
      </c>
      <c r="M207" s="143" t="s">
        <v>688</v>
      </c>
    </row>
    <row r="208" spans="12:13" s="42" customFormat="1">
      <c r="L208" s="143" t="s">
        <v>689</v>
      </c>
      <c r="M208" s="143" t="s">
        <v>690</v>
      </c>
    </row>
    <row r="209" spans="12:13" s="42" customFormat="1">
      <c r="L209" s="143" t="s">
        <v>691</v>
      </c>
      <c r="M209" s="143" t="s">
        <v>692</v>
      </c>
    </row>
    <row r="210" spans="12:13" s="42" customFormat="1">
      <c r="L210" s="143" t="s">
        <v>693</v>
      </c>
      <c r="M210" s="143" t="s">
        <v>694</v>
      </c>
    </row>
    <row r="211" spans="12:13" s="42" customFormat="1">
      <c r="L211" s="143" t="s">
        <v>695</v>
      </c>
      <c r="M211" s="143" t="s">
        <v>696</v>
      </c>
    </row>
    <row r="212" spans="12:13" s="42" customFormat="1">
      <c r="L212" s="143" t="s">
        <v>697</v>
      </c>
      <c r="M212" s="143" t="s">
        <v>698</v>
      </c>
    </row>
    <row r="213" spans="12:13" s="42" customFormat="1">
      <c r="L213" s="143" t="s">
        <v>699</v>
      </c>
      <c r="M213" s="143" t="s">
        <v>700</v>
      </c>
    </row>
    <row r="214" spans="12:13" s="42" customFormat="1">
      <c r="L214" s="143" t="s">
        <v>701</v>
      </c>
      <c r="M214" s="143" t="s">
        <v>702</v>
      </c>
    </row>
    <row r="215" spans="12:13" s="42" customFormat="1">
      <c r="L215" s="143" t="s">
        <v>703</v>
      </c>
      <c r="M215" s="143" t="s">
        <v>704</v>
      </c>
    </row>
    <row r="216" spans="12:13" s="42" customFormat="1">
      <c r="L216" s="143" t="s">
        <v>705</v>
      </c>
      <c r="M216" s="143" t="s">
        <v>706</v>
      </c>
    </row>
    <row r="217" spans="12:13" s="42" customFormat="1">
      <c r="L217" s="143" t="s">
        <v>707</v>
      </c>
      <c r="M217" s="143" t="s">
        <v>708</v>
      </c>
    </row>
    <row r="218" spans="12:13" s="42" customFormat="1">
      <c r="L218" s="143" t="s">
        <v>709</v>
      </c>
      <c r="M218" s="143" t="s">
        <v>710</v>
      </c>
    </row>
    <row r="219" spans="12:13" s="42" customFormat="1">
      <c r="L219" s="143" t="s">
        <v>711</v>
      </c>
      <c r="M219" s="143" t="s">
        <v>712</v>
      </c>
    </row>
    <row r="220" spans="12:13" s="42" customFormat="1">
      <c r="L220" s="143" t="s">
        <v>713</v>
      </c>
      <c r="M220" s="143" t="s">
        <v>714</v>
      </c>
    </row>
    <row r="221" spans="12:13" s="42" customFormat="1">
      <c r="L221" s="143" t="s">
        <v>715</v>
      </c>
      <c r="M221" s="143" t="s">
        <v>716</v>
      </c>
    </row>
    <row r="222" spans="12:13" s="42" customFormat="1">
      <c r="L222" s="143" t="s">
        <v>717</v>
      </c>
      <c r="M222" s="143" t="s">
        <v>718</v>
      </c>
    </row>
    <row r="223" spans="12:13" s="42" customFormat="1">
      <c r="L223" s="143" t="s">
        <v>719</v>
      </c>
      <c r="M223" s="143" t="s">
        <v>720</v>
      </c>
    </row>
    <row r="224" spans="12:13" s="42" customFormat="1">
      <c r="L224" s="143" t="s">
        <v>721</v>
      </c>
      <c r="M224" s="143" t="s">
        <v>722</v>
      </c>
    </row>
    <row r="225" spans="12:13" s="42" customFormat="1">
      <c r="L225" s="143" t="s">
        <v>723</v>
      </c>
      <c r="M225" s="143" t="s">
        <v>724</v>
      </c>
    </row>
    <row r="226" spans="12:13" s="42" customFormat="1">
      <c r="L226" s="143" t="s">
        <v>725</v>
      </c>
      <c r="M226" s="143" t="s">
        <v>726</v>
      </c>
    </row>
    <row r="227" spans="12:13" s="42" customFormat="1">
      <c r="L227" s="143" t="s">
        <v>727</v>
      </c>
      <c r="M227" s="143" t="s">
        <v>728</v>
      </c>
    </row>
    <row r="228" spans="12:13" s="42" customFormat="1">
      <c r="L228" s="143" t="s">
        <v>729</v>
      </c>
      <c r="M228" s="143" t="s">
        <v>730</v>
      </c>
    </row>
    <row r="229" spans="12:13" s="42" customFormat="1">
      <c r="L229" s="143" t="s">
        <v>731</v>
      </c>
      <c r="M229" s="143" t="s">
        <v>732</v>
      </c>
    </row>
    <row r="230" spans="12:13" s="42" customFormat="1">
      <c r="L230" s="143" t="s">
        <v>733</v>
      </c>
      <c r="M230" s="143" t="s">
        <v>734</v>
      </c>
    </row>
    <row r="231" spans="12:13" s="42" customFormat="1">
      <c r="L231" s="143" t="s">
        <v>735</v>
      </c>
      <c r="M231" s="143" t="s">
        <v>736</v>
      </c>
    </row>
    <row r="232" spans="12:13" s="42" customFormat="1">
      <c r="L232" s="143" t="s">
        <v>737</v>
      </c>
      <c r="M232" s="143" t="s">
        <v>738</v>
      </c>
    </row>
    <row r="233" spans="12:13" s="42" customFormat="1">
      <c r="L233" s="143" t="s">
        <v>739</v>
      </c>
      <c r="M233" s="143" t="s">
        <v>740</v>
      </c>
    </row>
    <row r="234" spans="12:13" s="42" customFormat="1">
      <c r="L234" s="143" t="s">
        <v>741</v>
      </c>
      <c r="M234" s="143" t="s">
        <v>742</v>
      </c>
    </row>
    <row r="235" spans="12:13" s="42" customFormat="1">
      <c r="L235" s="143" t="s">
        <v>743</v>
      </c>
      <c r="M235" s="143" t="s">
        <v>744</v>
      </c>
    </row>
    <row r="236" spans="12:13" s="42" customFormat="1">
      <c r="L236" s="143" t="s">
        <v>745</v>
      </c>
      <c r="M236" s="143" t="s">
        <v>746</v>
      </c>
    </row>
    <row r="237" spans="12:13" s="42" customFormat="1">
      <c r="L237" s="143" t="s">
        <v>747</v>
      </c>
      <c r="M237" s="143" t="s">
        <v>748</v>
      </c>
    </row>
    <row r="238" spans="12:13" s="42" customFormat="1">
      <c r="L238" s="143" t="s">
        <v>749</v>
      </c>
      <c r="M238" s="143" t="s">
        <v>750</v>
      </c>
    </row>
    <row r="239" spans="12:13" s="42" customFormat="1">
      <c r="L239" s="143" t="s">
        <v>751</v>
      </c>
      <c r="M239" s="143" t="s">
        <v>752</v>
      </c>
    </row>
    <row r="240" spans="12:13" s="42" customFormat="1">
      <c r="L240" s="143" t="s">
        <v>753</v>
      </c>
      <c r="M240" s="143" t="s">
        <v>754</v>
      </c>
    </row>
    <row r="241" spans="12:13" s="42" customFormat="1">
      <c r="L241" s="143" t="s">
        <v>755</v>
      </c>
      <c r="M241" s="143" t="s">
        <v>756</v>
      </c>
    </row>
    <row r="242" spans="12:13" s="42" customFormat="1">
      <c r="L242" s="143" t="s">
        <v>757</v>
      </c>
      <c r="M242" s="143" t="s">
        <v>758</v>
      </c>
    </row>
    <row r="243" spans="12:13" s="42" customFormat="1">
      <c r="L243" s="143" t="s">
        <v>759</v>
      </c>
      <c r="M243" s="143" t="s">
        <v>760</v>
      </c>
    </row>
    <row r="244" spans="12:13" s="42" customFormat="1">
      <c r="L244" s="143" t="s">
        <v>761</v>
      </c>
      <c r="M244" s="143" t="s">
        <v>762</v>
      </c>
    </row>
    <row r="245" spans="12:13" s="42" customFormat="1">
      <c r="L245" s="143" t="s">
        <v>763</v>
      </c>
      <c r="M245" s="143" t="s">
        <v>764</v>
      </c>
    </row>
    <row r="246" spans="12:13" s="42" customFormat="1">
      <c r="L246" s="143" t="s">
        <v>765</v>
      </c>
      <c r="M246" s="143" t="s">
        <v>766</v>
      </c>
    </row>
    <row r="247" spans="12:13" s="42" customFormat="1">
      <c r="L247" s="143" t="s">
        <v>767</v>
      </c>
      <c r="M247" s="143" t="s">
        <v>768</v>
      </c>
    </row>
    <row r="248" spans="12:13" s="42" customFormat="1">
      <c r="L248" s="143" t="s">
        <v>769</v>
      </c>
      <c r="M248" s="143" t="s">
        <v>770</v>
      </c>
    </row>
    <row r="249" spans="12:13" s="42" customFormat="1">
      <c r="L249" s="143" t="s">
        <v>771</v>
      </c>
      <c r="M249" s="143" t="s">
        <v>772</v>
      </c>
    </row>
    <row r="250" spans="12:13" s="42" customFormat="1">
      <c r="L250" s="143" t="s">
        <v>773</v>
      </c>
      <c r="M250" s="143" t="s">
        <v>774</v>
      </c>
    </row>
    <row r="251" spans="12:13" s="42" customFormat="1">
      <c r="L251" s="143" t="s">
        <v>775</v>
      </c>
      <c r="M251" s="143" t="s">
        <v>776</v>
      </c>
    </row>
    <row r="252" spans="12:13" s="42" customFormat="1">
      <c r="L252" s="143" t="s">
        <v>777</v>
      </c>
      <c r="M252" s="143" t="s">
        <v>778</v>
      </c>
    </row>
    <row r="253" spans="12:13" s="42" customFormat="1">
      <c r="L253" s="143" t="s">
        <v>779</v>
      </c>
      <c r="M253" s="143" t="s">
        <v>780</v>
      </c>
    </row>
    <row r="254" spans="12:13" s="42" customFormat="1">
      <c r="L254" s="143" t="s">
        <v>781</v>
      </c>
      <c r="M254" s="143" t="s">
        <v>782</v>
      </c>
    </row>
    <row r="255" spans="12:13" s="42" customFormat="1">
      <c r="L255" s="143" t="s">
        <v>783</v>
      </c>
      <c r="M255" s="143" t="s">
        <v>784</v>
      </c>
    </row>
    <row r="256" spans="12:13" s="42" customFormat="1">
      <c r="L256" s="143" t="s">
        <v>785</v>
      </c>
      <c r="M256" s="143" t="s">
        <v>786</v>
      </c>
    </row>
    <row r="257" spans="12:13" s="42" customFormat="1">
      <c r="L257" s="143" t="s">
        <v>787</v>
      </c>
      <c r="M257" s="143" t="s">
        <v>788</v>
      </c>
    </row>
    <row r="258" spans="12:13" s="42" customFormat="1">
      <c r="L258" s="143" t="s">
        <v>789</v>
      </c>
      <c r="M258" s="143" t="s">
        <v>790</v>
      </c>
    </row>
    <row r="259" spans="12:13" s="42" customFormat="1">
      <c r="L259" s="143" t="s">
        <v>791</v>
      </c>
      <c r="M259" s="143" t="s">
        <v>792</v>
      </c>
    </row>
    <row r="260" spans="12:13" s="42" customFormat="1">
      <c r="L260" s="143" t="s">
        <v>793</v>
      </c>
      <c r="M260" s="143" t="s">
        <v>794</v>
      </c>
    </row>
    <row r="261" spans="12:13" s="42" customFormat="1">
      <c r="L261" s="143" t="s">
        <v>795</v>
      </c>
      <c r="M261" s="143" t="s">
        <v>796</v>
      </c>
    </row>
    <row r="262" spans="12:13" s="42" customFormat="1">
      <c r="L262" s="143" t="s">
        <v>797</v>
      </c>
      <c r="M262" s="143" t="s">
        <v>798</v>
      </c>
    </row>
    <row r="263" spans="12:13" s="42" customFormat="1">
      <c r="L263" s="143" t="s">
        <v>799</v>
      </c>
      <c r="M263" s="143" t="s">
        <v>800</v>
      </c>
    </row>
    <row r="264" spans="12:13" s="42" customFormat="1">
      <c r="L264" s="143" t="s">
        <v>801</v>
      </c>
      <c r="M264" s="143" t="s">
        <v>802</v>
      </c>
    </row>
    <row r="265" spans="12:13" s="42" customFormat="1">
      <c r="L265" s="143" t="s">
        <v>803</v>
      </c>
      <c r="M265" s="143" t="s">
        <v>804</v>
      </c>
    </row>
    <row r="266" spans="12:13" s="42" customFormat="1">
      <c r="L266" s="143" t="s">
        <v>805</v>
      </c>
      <c r="M266" s="143" t="s">
        <v>806</v>
      </c>
    </row>
    <row r="267" spans="12:13" s="42" customFormat="1">
      <c r="L267" s="143" t="s">
        <v>807</v>
      </c>
      <c r="M267" s="143" t="s">
        <v>808</v>
      </c>
    </row>
    <row r="268" spans="12:13" s="42" customFormat="1">
      <c r="L268" s="143" t="s">
        <v>809</v>
      </c>
      <c r="M268" s="143" t="s">
        <v>810</v>
      </c>
    </row>
    <row r="269" spans="12:13" s="42" customFormat="1">
      <c r="L269" s="143" t="s">
        <v>811</v>
      </c>
      <c r="M269" s="143" t="s">
        <v>812</v>
      </c>
    </row>
    <row r="270" spans="12:13" s="42" customFormat="1">
      <c r="L270" s="143" t="s">
        <v>813</v>
      </c>
      <c r="M270" s="143" t="s">
        <v>814</v>
      </c>
    </row>
    <row r="271" spans="12:13" s="42" customFormat="1">
      <c r="L271" s="143" t="s">
        <v>815</v>
      </c>
      <c r="M271" s="143" t="s">
        <v>816</v>
      </c>
    </row>
    <row r="272" spans="12:13" s="42" customFormat="1">
      <c r="L272" s="143" t="s">
        <v>817</v>
      </c>
      <c r="M272" s="143" t="s">
        <v>818</v>
      </c>
    </row>
    <row r="273" spans="12:13" s="42" customFormat="1">
      <c r="L273" s="143" t="s">
        <v>819</v>
      </c>
      <c r="M273" s="143" t="s">
        <v>820</v>
      </c>
    </row>
    <row r="274" spans="12:13" s="42" customFormat="1">
      <c r="L274" s="143" t="s">
        <v>821</v>
      </c>
      <c r="M274" s="143" t="s">
        <v>822</v>
      </c>
    </row>
    <row r="275" spans="12:13" s="42" customFormat="1">
      <c r="L275" s="143" t="s">
        <v>823</v>
      </c>
      <c r="M275" s="143" t="s">
        <v>824</v>
      </c>
    </row>
    <row r="276" spans="12:13" s="42" customFormat="1">
      <c r="L276" s="143" t="s">
        <v>825</v>
      </c>
      <c r="M276" s="143" t="s">
        <v>826</v>
      </c>
    </row>
    <row r="277" spans="12:13" s="42" customFormat="1">
      <c r="L277" s="143" t="s">
        <v>827</v>
      </c>
      <c r="M277" s="143" t="s">
        <v>828</v>
      </c>
    </row>
    <row r="278" spans="12:13" s="42" customFormat="1">
      <c r="L278" s="143" t="s">
        <v>829</v>
      </c>
      <c r="M278" s="143" t="s">
        <v>830</v>
      </c>
    </row>
    <row r="279" spans="12:13" s="42" customFormat="1">
      <c r="L279" s="143" t="s">
        <v>831</v>
      </c>
      <c r="M279" s="143" t="s">
        <v>832</v>
      </c>
    </row>
    <row r="280" spans="12:13" s="42" customFormat="1">
      <c r="L280" s="143" t="s">
        <v>833</v>
      </c>
      <c r="M280" s="143" t="s">
        <v>834</v>
      </c>
    </row>
    <row r="281" spans="12:13" s="42" customFormat="1">
      <c r="L281" s="143" t="s">
        <v>835</v>
      </c>
      <c r="M281" s="143" t="s">
        <v>836</v>
      </c>
    </row>
    <row r="282" spans="12:13" s="42" customFormat="1">
      <c r="L282" s="143" t="s">
        <v>837</v>
      </c>
      <c r="M282" s="143" t="s">
        <v>838</v>
      </c>
    </row>
    <row r="283" spans="12:13" s="42" customFormat="1">
      <c r="L283" s="143" t="s">
        <v>839</v>
      </c>
      <c r="M283" s="143" t="s">
        <v>840</v>
      </c>
    </row>
    <row r="284" spans="12:13" s="42" customFormat="1">
      <c r="L284" s="143" t="s">
        <v>841</v>
      </c>
      <c r="M284" s="143" t="s">
        <v>842</v>
      </c>
    </row>
    <row r="285" spans="12:13" s="42" customFormat="1">
      <c r="L285" s="143" t="s">
        <v>843</v>
      </c>
      <c r="M285" s="143" t="s">
        <v>844</v>
      </c>
    </row>
    <row r="286" spans="12:13" s="42" customFormat="1">
      <c r="L286" s="143" t="s">
        <v>845</v>
      </c>
      <c r="M286" s="143" t="s">
        <v>846</v>
      </c>
    </row>
    <row r="287" spans="12:13" s="42" customFormat="1">
      <c r="L287" s="143" t="s">
        <v>847</v>
      </c>
      <c r="M287" s="143" t="s">
        <v>848</v>
      </c>
    </row>
    <row r="288" spans="12:13" s="42" customFormat="1">
      <c r="L288" s="143" t="s">
        <v>849</v>
      </c>
      <c r="M288" s="143" t="s">
        <v>850</v>
      </c>
    </row>
    <row r="289" spans="12:13" s="42" customFormat="1">
      <c r="L289" s="143" t="s">
        <v>851</v>
      </c>
      <c r="M289" s="143" t="s">
        <v>852</v>
      </c>
    </row>
    <row r="290" spans="12:13" s="42" customFormat="1">
      <c r="L290" s="143" t="s">
        <v>853</v>
      </c>
      <c r="M290" s="143" t="s">
        <v>854</v>
      </c>
    </row>
    <row r="291" spans="12:13" s="42" customFormat="1">
      <c r="L291" s="143" t="s">
        <v>855</v>
      </c>
      <c r="M291" s="143" t="s">
        <v>856</v>
      </c>
    </row>
    <row r="292" spans="12:13" s="42" customFormat="1">
      <c r="L292" s="143" t="s">
        <v>857</v>
      </c>
      <c r="M292" s="143" t="s">
        <v>858</v>
      </c>
    </row>
    <row r="293" spans="12:13" s="42" customFormat="1">
      <c r="L293" s="143" t="s">
        <v>859</v>
      </c>
      <c r="M293" s="143" t="s">
        <v>860</v>
      </c>
    </row>
    <row r="294" spans="12:13" s="42" customFormat="1">
      <c r="L294" s="143" t="s">
        <v>861</v>
      </c>
      <c r="M294" s="143" t="s">
        <v>862</v>
      </c>
    </row>
    <row r="295" spans="12:13" s="42" customFormat="1">
      <c r="L295" s="143" t="s">
        <v>863</v>
      </c>
      <c r="M295" s="143" t="s">
        <v>864</v>
      </c>
    </row>
    <row r="296" spans="12:13" s="42" customFormat="1">
      <c r="L296" s="143" t="s">
        <v>865</v>
      </c>
      <c r="M296" s="143" t="s">
        <v>866</v>
      </c>
    </row>
    <row r="297" spans="12:13" s="42" customFormat="1">
      <c r="L297" s="143" t="s">
        <v>867</v>
      </c>
      <c r="M297" s="143" t="s">
        <v>868</v>
      </c>
    </row>
    <row r="298" spans="12:13" s="42" customFormat="1">
      <c r="L298" s="143" t="s">
        <v>869</v>
      </c>
      <c r="M298" s="143" t="s">
        <v>870</v>
      </c>
    </row>
    <row r="299" spans="12:13" s="42" customFormat="1">
      <c r="L299" s="143" t="s">
        <v>871</v>
      </c>
      <c r="M299" s="143" t="s">
        <v>872</v>
      </c>
    </row>
    <row r="300" spans="12:13" s="42" customFormat="1">
      <c r="L300" s="143" t="s">
        <v>873</v>
      </c>
      <c r="M300" s="143" t="s">
        <v>874</v>
      </c>
    </row>
    <row r="301" spans="12:13" s="42" customFormat="1">
      <c r="L301" s="143" t="s">
        <v>875</v>
      </c>
      <c r="M301" s="143" t="s">
        <v>876</v>
      </c>
    </row>
    <row r="302" spans="12:13" s="42" customFormat="1">
      <c r="L302" s="143" t="s">
        <v>877</v>
      </c>
      <c r="M302" s="143" t="s">
        <v>878</v>
      </c>
    </row>
    <row r="303" spans="12:13" s="42" customFormat="1">
      <c r="L303" s="143" t="s">
        <v>879</v>
      </c>
      <c r="M303" s="143" t="s">
        <v>880</v>
      </c>
    </row>
    <row r="304" spans="12:13" s="42" customFormat="1">
      <c r="L304" s="143" t="s">
        <v>881</v>
      </c>
      <c r="M304" s="143" t="s">
        <v>882</v>
      </c>
    </row>
    <row r="305" spans="12:13" s="42" customFormat="1">
      <c r="L305" s="143" t="s">
        <v>883</v>
      </c>
      <c r="M305" s="143" t="s">
        <v>884</v>
      </c>
    </row>
    <row r="306" spans="12:13" s="42" customFormat="1">
      <c r="L306" s="143" t="s">
        <v>885</v>
      </c>
      <c r="M306" s="143" t="s">
        <v>886</v>
      </c>
    </row>
    <row r="307" spans="12:13" s="42" customFormat="1">
      <c r="L307" s="143" t="s">
        <v>887</v>
      </c>
      <c r="M307" s="143" t="s">
        <v>888</v>
      </c>
    </row>
    <row r="308" spans="12:13" s="42" customFormat="1">
      <c r="L308" s="143" t="s">
        <v>889</v>
      </c>
      <c r="M308" s="143" t="s">
        <v>890</v>
      </c>
    </row>
    <row r="309" spans="12:13" s="42" customFormat="1">
      <c r="L309" s="143" t="s">
        <v>891</v>
      </c>
      <c r="M309" s="143" t="s">
        <v>892</v>
      </c>
    </row>
    <row r="310" spans="12:13" s="42" customFormat="1">
      <c r="L310" s="143" t="s">
        <v>893</v>
      </c>
      <c r="M310" s="143" t="s">
        <v>894</v>
      </c>
    </row>
    <row r="311" spans="12:13" s="42" customFormat="1">
      <c r="L311" s="143" t="s">
        <v>895</v>
      </c>
      <c r="M311" s="143" t="s">
        <v>896</v>
      </c>
    </row>
    <row r="312" spans="12:13" s="42" customFormat="1">
      <c r="L312" s="143" t="s">
        <v>897</v>
      </c>
      <c r="M312" s="143" t="s">
        <v>898</v>
      </c>
    </row>
    <row r="313" spans="12:13" s="42" customFormat="1">
      <c r="L313" s="143" t="s">
        <v>899</v>
      </c>
      <c r="M313" s="143" t="s">
        <v>900</v>
      </c>
    </row>
    <row r="314" spans="12:13" s="42" customFormat="1">
      <c r="L314" s="143" t="s">
        <v>901</v>
      </c>
      <c r="M314" s="143" t="s">
        <v>902</v>
      </c>
    </row>
    <row r="315" spans="12:13" s="42" customFormat="1">
      <c r="L315" s="143" t="s">
        <v>903</v>
      </c>
      <c r="M315" s="143" t="s">
        <v>904</v>
      </c>
    </row>
    <row r="316" spans="12:13" s="42" customFormat="1">
      <c r="L316" s="143" t="s">
        <v>905</v>
      </c>
      <c r="M316" s="143" t="s">
        <v>906</v>
      </c>
    </row>
    <row r="317" spans="12:13" s="42" customFormat="1">
      <c r="L317" s="143" t="s">
        <v>907</v>
      </c>
      <c r="M317" s="143" t="s">
        <v>908</v>
      </c>
    </row>
    <row r="318" spans="12:13" s="42" customFormat="1">
      <c r="L318" s="143" t="s">
        <v>909</v>
      </c>
      <c r="M318" s="143" t="s">
        <v>910</v>
      </c>
    </row>
    <row r="319" spans="12:13" s="42" customFormat="1">
      <c r="L319" s="143" t="s">
        <v>911</v>
      </c>
      <c r="M319" s="143" t="s">
        <v>912</v>
      </c>
    </row>
    <row r="320" spans="12:13" s="42" customFormat="1">
      <c r="L320" s="143" t="s">
        <v>913</v>
      </c>
      <c r="M320" s="143" t="s">
        <v>914</v>
      </c>
    </row>
    <row r="321" spans="12:13" s="42" customFormat="1">
      <c r="L321" s="143" t="s">
        <v>915</v>
      </c>
      <c r="M321" s="143" t="s">
        <v>916</v>
      </c>
    </row>
    <row r="322" spans="12:13" s="42" customFormat="1">
      <c r="L322" s="143" t="s">
        <v>917</v>
      </c>
      <c r="M322" s="143" t="s">
        <v>918</v>
      </c>
    </row>
    <row r="323" spans="12:13" s="42" customFormat="1">
      <c r="L323" s="143" t="s">
        <v>919</v>
      </c>
      <c r="M323" s="143" t="s">
        <v>920</v>
      </c>
    </row>
    <row r="324" spans="12:13" s="42" customFormat="1">
      <c r="L324" s="143" t="s">
        <v>921</v>
      </c>
      <c r="M324" s="143" t="s">
        <v>922</v>
      </c>
    </row>
    <row r="325" spans="12:13" s="42" customFormat="1">
      <c r="L325" s="143" t="s">
        <v>923</v>
      </c>
      <c r="M325" s="143" t="s">
        <v>924</v>
      </c>
    </row>
    <row r="326" spans="12:13" s="42" customFormat="1">
      <c r="L326" s="143" t="s">
        <v>925</v>
      </c>
      <c r="M326" s="143" t="s">
        <v>926</v>
      </c>
    </row>
    <row r="327" spans="12:13" s="42" customFormat="1">
      <c r="L327" s="143" t="s">
        <v>927</v>
      </c>
      <c r="M327" s="143" t="s">
        <v>928</v>
      </c>
    </row>
    <row r="328" spans="12:13" s="42" customFormat="1">
      <c r="L328" s="143" t="s">
        <v>929</v>
      </c>
      <c r="M328" s="143" t="s">
        <v>930</v>
      </c>
    </row>
    <row r="329" spans="12:13" s="42" customFormat="1">
      <c r="L329" s="143" t="s">
        <v>931</v>
      </c>
      <c r="M329" s="143" t="s">
        <v>932</v>
      </c>
    </row>
    <row r="330" spans="12:13" s="42" customFormat="1">
      <c r="L330" s="143" t="s">
        <v>933</v>
      </c>
      <c r="M330" s="143" t="s">
        <v>934</v>
      </c>
    </row>
    <row r="331" spans="12:13" s="42" customFormat="1">
      <c r="L331" s="143" t="s">
        <v>935</v>
      </c>
      <c r="M331" s="143" t="s">
        <v>936</v>
      </c>
    </row>
    <row r="332" spans="12:13" s="42" customFormat="1">
      <c r="L332" s="143" t="s">
        <v>937</v>
      </c>
      <c r="M332" s="143" t="s">
        <v>938</v>
      </c>
    </row>
    <row r="333" spans="12:13" s="42" customFormat="1">
      <c r="L333" s="143" t="s">
        <v>939</v>
      </c>
      <c r="M333" s="143" t="s">
        <v>940</v>
      </c>
    </row>
    <row r="334" spans="12:13" s="42" customFormat="1">
      <c r="L334" s="143" t="s">
        <v>941</v>
      </c>
      <c r="M334" s="143" t="s">
        <v>942</v>
      </c>
    </row>
    <row r="335" spans="12:13" s="42" customFormat="1">
      <c r="L335" s="143" t="s">
        <v>943</v>
      </c>
      <c r="M335" s="143" t="s">
        <v>944</v>
      </c>
    </row>
    <row r="336" spans="12:13" s="42" customFormat="1">
      <c r="L336" s="143" t="s">
        <v>945</v>
      </c>
      <c r="M336" s="143" t="s">
        <v>946</v>
      </c>
    </row>
    <row r="337" spans="12:13" s="42" customFormat="1">
      <c r="L337" s="143" t="s">
        <v>947</v>
      </c>
      <c r="M337" s="143" t="s">
        <v>948</v>
      </c>
    </row>
    <row r="338" spans="12:13" s="42" customFormat="1">
      <c r="L338" s="143" t="s">
        <v>949</v>
      </c>
      <c r="M338" s="143" t="s">
        <v>950</v>
      </c>
    </row>
    <row r="339" spans="12:13" s="42" customFormat="1">
      <c r="L339" s="143" t="s">
        <v>951</v>
      </c>
      <c r="M339" s="143" t="s">
        <v>952</v>
      </c>
    </row>
    <row r="340" spans="12:13" s="42" customFormat="1">
      <c r="L340" s="143" t="s">
        <v>953</v>
      </c>
      <c r="M340" s="143" t="s">
        <v>954</v>
      </c>
    </row>
    <row r="341" spans="12:13" s="42" customFormat="1">
      <c r="L341" s="143" t="s">
        <v>955</v>
      </c>
      <c r="M341" s="143" t="s">
        <v>956</v>
      </c>
    </row>
    <row r="342" spans="12:13" s="42" customFormat="1">
      <c r="L342" s="143" t="s">
        <v>957</v>
      </c>
      <c r="M342" s="143" t="s">
        <v>958</v>
      </c>
    </row>
    <row r="343" spans="12:13" s="42" customFormat="1">
      <c r="L343" s="143" t="s">
        <v>959</v>
      </c>
      <c r="M343" s="143" t="s">
        <v>960</v>
      </c>
    </row>
    <row r="344" spans="12:13" s="42" customFormat="1">
      <c r="L344" s="143" t="s">
        <v>961</v>
      </c>
      <c r="M344" s="143" t="s">
        <v>962</v>
      </c>
    </row>
    <row r="345" spans="12:13" s="42" customFormat="1">
      <c r="L345" s="143" t="s">
        <v>963</v>
      </c>
      <c r="M345" s="143" t="s">
        <v>964</v>
      </c>
    </row>
    <row r="346" spans="12:13" s="42" customFormat="1">
      <c r="L346" s="143" t="s">
        <v>965</v>
      </c>
      <c r="M346" s="143" t="s">
        <v>966</v>
      </c>
    </row>
    <row r="347" spans="12:13" s="42" customFormat="1">
      <c r="L347" s="143" t="s">
        <v>967</v>
      </c>
      <c r="M347" s="143" t="s">
        <v>968</v>
      </c>
    </row>
    <row r="348" spans="12:13" s="42" customFormat="1">
      <c r="L348" s="143" t="s">
        <v>969</v>
      </c>
      <c r="M348" s="143" t="s">
        <v>970</v>
      </c>
    </row>
    <row r="349" spans="12:13" s="42" customFormat="1">
      <c r="L349" s="143" t="s">
        <v>971</v>
      </c>
      <c r="M349" s="143" t="s">
        <v>972</v>
      </c>
    </row>
    <row r="350" spans="12:13" s="42" customFormat="1">
      <c r="L350" s="143" t="s">
        <v>973</v>
      </c>
      <c r="M350" s="143" t="s">
        <v>974</v>
      </c>
    </row>
    <row r="351" spans="12:13" s="42" customFormat="1">
      <c r="L351" s="143" t="s">
        <v>975</v>
      </c>
      <c r="M351" s="143" t="s">
        <v>976</v>
      </c>
    </row>
    <row r="352" spans="12:13" s="42" customFormat="1">
      <c r="L352" s="143" t="s">
        <v>977</v>
      </c>
      <c r="M352" s="143" t="s">
        <v>978</v>
      </c>
    </row>
    <row r="353" spans="12:13" s="42" customFormat="1">
      <c r="L353" s="143" t="s">
        <v>979</v>
      </c>
      <c r="M353" s="143" t="s">
        <v>980</v>
      </c>
    </row>
    <row r="354" spans="12:13" s="42" customFormat="1">
      <c r="L354" s="143" t="s">
        <v>981</v>
      </c>
      <c r="M354" s="143" t="s">
        <v>982</v>
      </c>
    </row>
    <row r="355" spans="12:13" s="42" customFormat="1">
      <c r="L355" s="143" t="s">
        <v>983</v>
      </c>
      <c r="M355" s="143" t="s">
        <v>984</v>
      </c>
    </row>
    <row r="356" spans="12:13" s="42" customFormat="1">
      <c r="L356" s="143" t="s">
        <v>985</v>
      </c>
      <c r="M356" s="143" t="s">
        <v>986</v>
      </c>
    </row>
    <row r="357" spans="12:13" s="42" customFormat="1">
      <c r="L357" s="143" t="s">
        <v>987</v>
      </c>
      <c r="M357" s="143" t="s">
        <v>988</v>
      </c>
    </row>
    <row r="358" spans="12:13" s="42" customFormat="1">
      <c r="L358" s="143" t="s">
        <v>989</v>
      </c>
      <c r="M358" s="143" t="s">
        <v>990</v>
      </c>
    </row>
    <row r="359" spans="12:13" s="42" customFormat="1">
      <c r="L359" s="143" t="s">
        <v>991</v>
      </c>
      <c r="M359" s="143" t="s">
        <v>992</v>
      </c>
    </row>
    <row r="360" spans="12:13" s="42" customFormat="1">
      <c r="L360" s="143" t="s">
        <v>993</v>
      </c>
      <c r="M360" s="143" t="s">
        <v>994</v>
      </c>
    </row>
    <row r="361" spans="12:13" s="42" customFormat="1">
      <c r="L361" s="143" t="s">
        <v>995</v>
      </c>
      <c r="M361" s="143" t="s">
        <v>996</v>
      </c>
    </row>
    <row r="362" spans="12:13" s="42" customFormat="1">
      <c r="L362" s="143" t="s">
        <v>997</v>
      </c>
      <c r="M362" s="143" t="s">
        <v>998</v>
      </c>
    </row>
    <row r="363" spans="12:13" s="42" customFormat="1">
      <c r="L363" s="143" t="s">
        <v>999</v>
      </c>
      <c r="M363" s="143" t="s">
        <v>1000</v>
      </c>
    </row>
    <row r="364" spans="12:13" s="42" customFormat="1">
      <c r="L364" s="143" t="s">
        <v>1001</v>
      </c>
      <c r="M364" s="143" t="s">
        <v>1002</v>
      </c>
    </row>
    <row r="365" spans="12:13" s="42" customFormat="1">
      <c r="L365" s="143" t="s">
        <v>1003</v>
      </c>
      <c r="M365" s="143" t="s">
        <v>1004</v>
      </c>
    </row>
    <row r="366" spans="12:13" s="42" customFormat="1">
      <c r="L366" s="143" t="s">
        <v>1005</v>
      </c>
      <c r="M366" s="143" t="s">
        <v>1006</v>
      </c>
    </row>
    <row r="367" spans="12:13" s="42" customFormat="1">
      <c r="L367" s="143" t="s">
        <v>1007</v>
      </c>
      <c r="M367" s="143" t="s">
        <v>1008</v>
      </c>
    </row>
    <row r="368" spans="12:13" s="42" customFormat="1">
      <c r="L368" s="143" t="s">
        <v>1009</v>
      </c>
      <c r="M368" s="143" t="s">
        <v>1010</v>
      </c>
    </row>
    <row r="369" spans="12:13" s="42" customFormat="1">
      <c r="L369" s="143" t="s">
        <v>1011</v>
      </c>
      <c r="M369" s="143" t="s">
        <v>1012</v>
      </c>
    </row>
    <row r="370" spans="12:13" s="42" customFormat="1">
      <c r="L370" s="143" t="s">
        <v>1013</v>
      </c>
      <c r="M370" s="143" t="s">
        <v>1014</v>
      </c>
    </row>
    <row r="371" spans="12:13" s="42" customFormat="1">
      <c r="L371" s="143" t="s">
        <v>1015</v>
      </c>
      <c r="M371" s="143" t="s">
        <v>1016</v>
      </c>
    </row>
    <row r="372" spans="12:13" s="42" customFormat="1">
      <c r="L372" s="143" t="s">
        <v>1017</v>
      </c>
      <c r="M372" s="143" t="s">
        <v>1018</v>
      </c>
    </row>
    <row r="373" spans="12:13" s="42" customFormat="1">
      <c r="L373" s="143" t="s">
        <v>1019</v>
      </c>
      <c r="M373" s="143" t="s">
        <v>1020</v>
      </c>
    </row>
    <row r="374" spans="12:13" s="42" customFormat="1">
      <c r="L374" s="143" t="s">
        <v>1021</v>
      </c>
      <c r="M374" s="143" t="s">
        <v>1022</v>
      </c>
    </row>
    <row r="375" spans="12:13" s="42" customFormat="1">
      <c r="L375" s="143" t="s">
        <v>1023</v>
      </c>
      <c r="M375" s="143" t="s">
        <v>1024</v>
      </c>
    </row>
    <row r="376" spans="12:13" s="42" customFormat="1">
      <c r="L376" s="143" t="s">
        <v>1025</v>
      </c>
      <c r="M376" s="143" t="s">
        <v>1026</v>
      </c>
    </row>
    <row r="377" spans="12:13" s="42" customFormat="1">
      <c r="L377" s="143" t="s">
        <v>1027</v>
      </c>
      <c r="M377" s="143" t="s">
        <v>1028</v>
      </c>
    </row>
    <row r="378" spans="12:13" s="42" customFormat="1">
      <c r="L378" s="143" t="s">
        <v>1029</v>
      </c>
      <c r="M378" s="143" t="s">
        <v>1030</v>
      </c>
    </row>
    <row r="379" spans="12:13" s="42" customFormat="1">
      <c r="L379" s="143" t="s">
        <v>1031</v>
      </c>
      <c r="M379" s="143" t="s">
        <v>1032</v>
      </c>
    </row>
    <row r="380" spans="12:13" s="42" customFormat="1">
      <c r="L380" s="143" t="s">
        <v>1033</v>
      </c>
      <c r="M380" s="143" t="s">
        <v>1034</v>
      </c>
    </row>
    <row r="381" spans="12:13" s="42" customFormat="1">
      <c r="L381" s="143" t="s">
        <v>1035</v>
      </c>
      <c r="M381" s="143" t="s">
        <v>1036</v>
      </c>
    </row>
    <row r="382" spans="12:13" s="42" customFormat="1">
      <c r="L382" s="143" t="s">
        <v>1037</v>
      </c>
      <c r="M382" s="143" t="s">
        <v>1038</v>
      </c>
    </row>
    <row r="383" spans="12:13" s="42" customFormat="1">
      <c r="L383" s="143" t="s">
        <v>1039</v>
      </c>
      <c r="M383" s="143" t="s">
        <v>1040</v>
      </c>
    </row>
    <row r="384" spans="12:13" s="42" customFormat="1">
      <c r="L384" s="143" t="s">
        <v>1041</v>
      </c>
      <c r="M384" s="143" t="s">
        <v>1042</v>
      </c>
    </row>
    <row r="385" spans="12:13" s="42" customFormat="1">
      <c r="L385" s="143" t="s">
        <v>1043</v>
      </c>
      <c r="M385" s="143" t="s">
        <v>1044</v>
      </c>
    </row>
    <row r="386" spans="12:13" s="42" customFormat="1">
      <c r="L386" s="143" t="s">
        <v>1045</v>
      </c>
      <c r="M386" s="143" t="s">
        <v>1046</v>
      </c>
    </row>
    <row r="387" spans="12:13" s="42" customFormat="1">
      <c r="L387" s="143" t="s">
        <v>1047</v>
      </c>
      <c r="M387" s="143" t="s">
        <v>1048</v>
      </c>
    </row>
    <row r="388" spans="12:13" s="42" customFormat="1">
      <c r="L388" s="143" t="s">
        <v>1049</v>
      </c>
      <c r="M388" s="143" t="s">
        <v>1050</v>
      </c>
    </row>
    <row r="389" spans="12:13" s="42" customFormat="1">
      <c r="L389" s="143" t="s">
        <v>1051</v>
      </c>
      <c r="M389" s="143" t="s">
        <v>1052</v>
      </c>
    </row>
    <row r="390" spans="12:13" s="42" customFormat="1">
      <c r="L390" s="143" t="s">
        <v>1053</v>
      </c>
      <c r="M390" s="143" t="s">
        <v>1054</v>
      </c>
    </row>
    <row r="391" spans="12:13" s="42" customFormat="1">
      <c r="L391" s="143" t="s">
        <v>1055</v>
      </c>
      <c r="M391" s="143" t="s">
        <v>1056</v>
      </c>
    </row>
    <row r="392" spans="12:13" s="42" customFormat="1">
      <c r="L392" s="143" t="s">
        <v>1057</v>
      </c>
      <c r="M392" s="143" t="s">
        <v>1058</v>
      </c>
    </row>
    <row r="393" spans="12:13" s="42" customFormat="1">
      <c r="L393" s="143" t="s">
        <v>1059</v>
      </c>
      <c r="M393" s="143" t="s">
        <v>1060</v>
      </c>
    </row>
    <row r="394" spans="12:13" s="42" customFormat="1">
      <c r="L394" s="143" t="s">
        <v>1061</v>
      </c>
      <c r="M394" s="143" t="s">
        <v>1062</v>
      </c>
    </row>
    <row r="395" spans="12:13" s="42" customFormat="1">
      <c r="L395" s="143" t="s">
        <v>1063</v>
      </c>
      <c r="M395" s="143" t="s">
        <v>1064</v>
      </c>
    </row>
    <row r="396" spans="12:13" s="42" customFormat="1">
      <c r="L396" s="143" t="s">
        <v>1065</v>
      </c>
      <c r="M396" s="143" t="s">
        <v>1066</v>
      </c>
    </row>
    <row r="397" spans="12:13" s="42" customFormat="1">
      <c r="L397" s="143" t="s">
        <v>1067</v>
      </c>
      <c r="M397" s="143" t="s">
        <v>1068</v>
      </c>
    </row>
    <row r="398" spans="12:13" s="42" customFormat="1">
      <c r="L398" s="143" t="s">
        <v>1069</v>
      </c>
      <c r="M398" s="143" t="s">
        <v>1070</v>
      </c>
    </row>
    <row r="399" spans="12:13" s="42" customFormat="1">
      <c r="L399" s="143" t="s">
        <v>1071</v>
      </c>
      <c r="M399" s="143" t="s">
        <v>1072</v>
      </c>
    </row>
    <row r="400" spans="12:13" s="42" customFormat="1">
      <c r="L400" s="143" t="s">
        <v>1073</v>
      </c>
      <c r="M400" s="143" t="s">
        <v>1074</v>
      </c>
    </row>
    <row r="401" spans="12:13" s="42" customFormat="1">
      <c r="L401" s="143" t="s">
        <v>1075</v>
      </c>
      <c r="M401" s="143" t="s">
        <v>1076</v>
      </c>
    </row>
    <row r="402" spans="12:13" s="42" customFormat="1">
      <c r="L402" s="143" t="s">
        <v>1077</v>
      </c>
      <c r="M402" s="143" t="s">
        <v>1078</v>
      </c>
    </row>
    <row r="403" spans="12:13" s="42" customFormat="1">
      <c r="L403" s="143" t="s">
        <v>1079</v>
      </c>
      <c r="M403" s="143" t="s">
        <v>1080</v>
      </c>
    </row>
    <row r="404" spans="12:13" s="42" customFormat="1">
      <c r="L404" s="143" t="s">
        <v>1081</v>
      </c>
      <c r="M404" s="143" t="s">
        <v>1082</v>
      </c>
    </row>
    <row r="405" spans="12:13" s="42" customFormat="1">
      <c r="L405" s="143" t="s">
        <v>1083</v>
      </c>
      <c r="M405" s="143" t="s">
        <v>1084</v>
      </c>
    </row>
    <row r="406" spans="12:13" s="42" customFormat="1">
      <c r="L406" s="143" t="s">
        <v>1085</v>
      </c>
      <c r="M406" s="143" t="s">
        <v>1086</v>
      </c>
    </row>
    <row r="407" spans="12:13" s="42" customFormat="1">
      <c r="L407" s="143" t="s">
        <v>1087</v>
      </c>
      <c r="M407" s="143" t="s">
        <v>1088</v>
      </c>
    </row>
    <row r="408" spans="12:13" s="42" customFormat="1">
      <c r="L408" s="143" t="s">
        <v>1089</v>
      </c>
      <c r="M408" s="143" t="s">
        <v>1090</v>
      </c>
    </row>
    <row r="409" spans="12:13" s="42" customFormat="1">
      <c r="L409" s="143" t="s">
        <v>1091</v>
      </c>
      <c r="M409" s="143" t="s">
        <v>1092</v>
      </c>
    </row>
    <row r="410" spans="12:13" s="42" customFormat="1">
      <c r="L410" s="143" t="s">
        <v>1093</v>
      </c>
      <c r="M410" s="143" t="s">
        <v>1094</v>
      </c>
    </row>
    <row r="411" spans="12:13" s="42" customFormat="1">
      <c r="L411" s="143" t="s">
        <v>1095</v>
      </c>
      <c r="M411" s="143" t="s">
        <v>1096</v>
      </c>
    </row>
    <row r="412" spans="12:13" s="42" customFormat="1">
      <c r="L412" s="143" t="s">
        <v>1097</v>
      </c>
      <c r="M412" s="143" t="s">
        <v>1098</v>
      </c>
    </row>
    <row r="413" spans="12:13" s="42" customFormat="1">
      <c r="L413" s="143" t="s">
        <v>1099</v>
      </c>
      <c r="M413" s="143" t="s">
        <v>1100</v>
      </c>
    </row>
    <row r="414" spans="12:13" s="42" customFormat="1">
      <c r="L414" s="143" t="s">
        <v>1101</v>
      </c>
      <c r="M414" s="143" t="s">
        <v>1102</v>
      </c>
    </row>
    <row r="415" spans="12:13" s="42" customFormat="1">
      <c r="L415" s="143" t="s">
        <v>1103</v>
      </c>
      <c r="M415" s="143" t="s">
        <v>1104</v>
      </c>
    </row>
    <row r="416" spans="12:13" s="42" customFormat="1">
      <c r="L416" s="143" t="s">
        <v>1105</v>
      </c>
      <c r="M416" s="143" t="s">
        <v>1106</v>
      </c>
    </row>
    <row r="417" spans="12:13" s="42" customFormat="1">
      <c r="L417" s="143" t="s">
        <v>1107</v>
      </c>
      <c r="M417" s="143" t="s">
        <v>1108</v>
      </c>
    </row>
    <row r="418" spans="12:13" s="42" customFormat="1">
      <c r="L418" s="143" t="s">
        <v>1109</v>
      </c>
      <c r="M418" s="143" t="s">
        <v>1110</v>
      </c>
    </row>
    <row r="419" spans="12:13" s="42" customFormat="1">
      <c r="L419" s="143" t="s">
        <v>1111</v>
      </c>
      <c r="M419" s="143" t="s">
        <v>1112</v>
      </c>
    </row>
    <row r="420" spans="12:13" s="42" customFormat="1">
      <c r="L420" s="143" t="s">
        <v>1113</v>
      </c>
      <c r="M420" s="143" t="s">
        <v>1114</v>
      </c>
    </row>
    <row r="421" spans="12:13" s="42" customFormat="1">
      <c r="L421" s="143" t="s">
        <v>1115</v>
      </c>
      <c r="M421" s="143" t="s">
        <v>1116</v>
      </c>
    </row>
    <row r="422" spans="12:13" s="42" customFormat="1">
      <c r="L422" s="143" t="s">
        <v>1117</v>
      </c>
      <c r="M422" s="143" t="s">
        <v>1118</v>
      </c>
    </row>
    <row r="423" spans="12:13" s="42" customFormat="1">
      <c r="L423" s="143" t="s">
        <v>1119</v>
      </c>
      <c r="M423" s="143" t="s">
        <v>1120</v>
      </c>
    </row>
    <row r="424" spans="12:13" s="42" customFormat="1">
      <c r="L424" s="143" t="s">
        <v>1121</v>
      </c>
      <c r="M424" s="143" t="s">
        <v>1122</v>
      </c>
    </row>
    <row r="425" spans="12:13" s="42" customFormat="1">
      <c r="L425" s="143" t="s">
        <v>1123</v>
      </c>
      <c r="M425" s="143" t="s">
        <v>1124</v>
      </c>
    </row>
    <row r="426" spans="12:13" s="42" customFormat="1">
      <c r="L426" s="143" t="s">
        <v>1125</v>
      </c>
      <c r="M426" s="143" t="s">
        <v>1126</v>
      </c>
    </row>
    <row r="427" spans="12:13" s="42" customFormat="1">
      <c r="L427" s="143" t="s">
        <v>1127</v>
      </c>
      <c r="M427" s="143" t="s">
        <v>1128</v>
      </c>
    </row>
    <row r="428" spans="12:13" s="42" customFormat="1">
      <c r="L428" s="143" t="s">
        <v>1129</v>
      </c>
      <c r="M428" s="143" t="s">
        <v>1130</v>
      </c>
    </row>
    <row r="429" spans="12:13" s="42" customFormat="1">
      <c r="L429" s="143" t="s">
        <v>1131</v>
      </c>
      <c r="M429" s="143" t="s">
        <v>1132</v>
      </c>
    </row>
    <row r="430" spans="12:13" s="42" customFormat="1">
      <c r="L430" s="143" t="s">
        <v>1133</v>
      </c>
      <c r="M430" s="143" t="s">
        <v>1134</v>
      </c>
    </row>
    <row r="431" spans="12:13" s="42" customFormat="1">
      <c r="L431" s="143" t="s">
        <v>1135</v>
      </c>
      <c r="M431" s="143" t="s">
        <v>1136</v>
      </c>
    </row>
    <row r="432" spans="12:13" s="42" customFormat="1">
      <c r="L432" s="143" t="s">
        <v>1137</v>
      </c>
      <c r="M432" s="143" t="s">
        <v>1138</v>
      </c>
    </row>
    <row r="433" spans="12:13" s="42" customFormat="1">
      <c r="L433" s="143" t="s">
        <v>1139</v>
      </c>
      <c r="M433" s="143" t="s">
        <v>1140</v>
      </c>
    </row>
    <row r="434" spans="12:13" s="42" customFormat="1">
      <c r="L434" s="143" t="s">
        <v>1141</v>
      </c>
      <c r="M434" s="143" t="s">
        <v>1142</v>
      </c>
    </row>
    <row r="435" spans="12:13" s="42" customFormat="1">
      <c r="L435" s="143" t="s">
        <v>1143</v>
      </c>
      <c r="M435" s="143" t="s">
        <v>1144</v>
      </c>
    </row>
    <row r="436" spans="12:13" s="42" customFormat="1">
      <c r="L436" s="143" t="s">
        <v>1145</v>
      </c>
      <c r="M436" s="143" t="s">
        <v>1146</v>
      </c>
    </row>
    <row r="437" spans="12:13" s="42" customFormat="1">
      <c r="L437" s="143" t="s">
        <v>1147</v>
      </c>
      <c r="M437" s="143" t="s">
        <v>1148</v>
      </c>
    </row>
    <row r="438" spans="12:13" s="42" customFormat="1">
      <c r="L438" s="143" t="s">
        <v>1149</v>
      </c>
      <c r="M438" s="143" t="s">
        <v>1150</v>
      </c>
    </row>
    <row r="439" spans="12:13" s="42" customFormat="1">
      <c r="L439" s="143" t="s">
        <v>1151</v>
      </c>
      <c r="M439" s="143" t="s">
        <v>1152</v>
      </c>
    </row>
    <row r="440" spans="12:13" s="42" customFormat="1">
      <c r="L440" s="143" t="s">
        <v>1153</v>
      </c>
      <c r="M440" s="143" t="s">
        <v>1154</v>
      </c>
    </row>
    <row r="441" spans="12:13" s="42" customFormat="1">
      <c r="L441" s="143" t="s">
        <v>1155</v>
      </c>
      <c r="M441" s="143" t="s">
        <v>1156</v>
      </c>
    </row>
    <row r="442" spans="12:13" s="42" customFormat="1">
      <c r="L442" s="143" t="s">
        <v>1157</v>
      </c>
      <c r="M442" s="143" t="s">
        <v>1158</v>
      </c>
    </row>
    <row r="443" spans="12:13" s="42" customFormat="1">
      <c r="L443" s="143" t="s">
        <v>1159</v>
      </c>
      <c r="M443" s="143" t="s">
        <v>1160</v>
      </c>
    </row>
    <row r="444" spans="12:13" s="42" customFormat="1">
      <c r="L444" s="143" t="s">
        <v>1161</v>
      </c>
      <c r="M444" s="143" t="s">
        <v>1162</v>
      </c>
    </row>
    <row r="445" spans="12:13" s="42" customFormat="1">
      <c r="L445" s="143" t="s">
        <v>1163</v>
      </c>
      <c r="M445" s="143" t="s">
        <v>1164</v>
      </c>
    </row>
    <row r="446" spans="12:13" s="42" customFormat="1">
      <c r="L446" s="143" t="s">
        <v>1165</v>
      </c>
      <c r="M446" s="143" t="s">
        <v>1166</v>
      </c>
    </row>
    <row r="447" spans="12:13" s="42" customFormat="1">
      <c r="L447" s="143" t="s">
        <v>1167</v>
      </c>
      <c r="M447" s="143" t="s">
        <v>1168</v>
      </c>
    </row>
    <row r="448" spans="12:13" s="42" customFormat="1">
      <c r="L448" s="143" t="s">
        <v>1169</v>
      </c>
      <c r="M448" s="143" t="s">
        <v>1170</v>
      </c>
    </row>
    <row r="449" spans="12:13" s="42" customFormat="1">
      <c r="L449" s="143" t="s">
        <v>1171</v>
      </c>
      <c r="M449" s="143" t="s">
        <v>1172</v>
      </c>
    </row>
    <row r="450" spans="12:13" s="42" customFormat="1">
      <c r="L450" s="143" t="s">
        <v>1173</v>
      </c>
      <c r="M450" s="143" t="s">
        <v>1174</v>
      </c>
    </row>
    <row r="451" spans="12:13" s="42" customFormat="1">
      <c r="L451" s="143" t="s">
        <v>1175</v>
      </c>
      <c r="M451" s="143" t="s">
        <v>1176</v>
      </c>
    </row>
    <row r="452" spans="12:13" s="42" customFormat="1">
      <c r="L452" s="143" t="s">
        <v>1177</v>
      </c>
      <c r="M452" s="143" t="s">
        <v>1178</v>
      </c>
    </row>
    <row r="453" spans="12:13" s="42" customFormat="1">
      <c r="L453" s="143" t="s">
        <v>1179</v>
      </c>
      <c r="M453" s="143" t="s">
        <v>1180</v>
      </c>
    </row>
    <row r="454" spans="12:13" s="42" customFormat="1">
      <c r="L454" s="143" t="s">
        <v>1181</v>
      </c>
      <c r="M454" s="143" t="s">
        <v>1182</v>
      </c>
    </row>
    <row r="455" spans="12:13" s="42" customFormat="1">
      <c r="L455" s="143" t="s">
        <v>1183</v>
      </c>
      <c r="M455" s="143" t="s">
        <v>1184</v>
      </c>
    </row>
    <row r="456" spans="12:13" s="42" customFormat="1">
      <c r="L456" s="143" t="s">
        <v>1185</v>
      </c>
      <c r="M456" s="143" t="s">
        <v>1186</v>
      </c>
    </row>
    <row r="457" spans="12:13" s="42" customFormat="1">
      <c r="L457" s="143" t="s">
        <v>1187</v>
      </c>
      <c r="M457" s="143" t="s">
        <v>1188</v>
      </c>
    </row>
    <row r="458" spans="12:13" s="42" customFormat="1">
      <c r="L458" s="143" t="s">
        <v>1189</v>
      </c>
      <c r="M458" s="143" t="s">
        <v>1190</v>
      </c>
    </row>
    <row r="459" spans="12:13" s="42" customFormat="1">
      <c r="L459" s="143" t="s">
        <v>1191</v>
      </c>
      <c r="M459" s="143" t="s">
        <v>1192</v>
      </c>
    </row>
    <row r="460" spans="12:13" s="42" customFormat="1">
      <c r="L460" s="143" t="s">
        <v>1193</v>
      </c>
      <c r="M460" s="143" t="s">
        <v>1194</v>
      </c>
    </row>
    <row r="461" spans="12:13" s="42" customFormat="1">
      <c r="L461" s="143" t="s">
        <v>1195</v>
      </c>
      <c r="M461" s="143" t="s">
        <v>1196</v>
      </c>
    </row>
    <row r="462" spans="12:13" s="42" customFormat="1">
      <c r="L462" s="143" t="s">
        <v>1197</v>
      </c>
      <c r="M462" s="143" t="s">
        <v>1198</v>
      </c>
    </row>
    <row r="463" spans="12:13" s="42" customFormat="1">
      <c r="L463" s="143" t="s">
        <v>1199</v>
      </c>
      <c r="M463" s="143" t="s">
        <v>1200</v>
      </c>
    </row>
    <row r="464" spans="12:13" s="42" customFormat="1">
      <c r="L464" s="143" t="s">
        <v>1201</v>
      </c>
      <c r="M464" s="143" t="s">
        <v>1202</v>
      </c>
    </row>
    <row r="465" spans="12:13" s="42" customFormat="1">
      <c r="L465" s="143" t="s">
        <v>1203</v>
      </c>
      <c r="M465" s="143" t="s">
        <v>1204</v>
      </c>
    </row>
    <row r="466" spans="12:13" s="42" customFormat="1">
      <c r="L466" s="143" t="s">
        <v>1205</v>
      </c>
      <c r="M466" s="143" t="s">
        <v>1206</v>
      </c>
    </row>
    <row r="467" spans="12:13" s="42" customFormat="1">
      <c r="L467" s="143" t="s">
        <v>1207</v>
      </c>
      <c r="M467" s="143" t="s">
        <v>1208</v>
      </c>
    </row>
    <row r="468" spans="12:13" s="42" customFormat="1">
      <c r="L468" s="143" t="s">
        <v>1209</v>
      </c>
      <c r="M468" s="143" t="s">
        <v>1210</v>
      </c>
    </row>
    <row r="469" spans="12:13" s="42" customFormat="1">
      <c r="L469" s="143" t="s">
        <v>1211</v>
      </c>
      <c r="M469" s="143" t="s">
        <v>1212</v>
      </c>
    </row>
    <row r="470" spans="12:13" s="42" customFormat="1">
      <c r="L470" s="143" t="s">
        <v>1213</v>
      </c>
      <c r="M470" s="143" t="s">
        <v>1214</v>
      </c>
    </row>
    <row r="471" spans="12:13" s="42" customFormat="1">
      <c r="L471" s="143" t="s">
        <v>1215</v>
      </c>
      <c r="M471" s="143" t="s">
        <v>1216</v>
      </c>
    </row>
    <row r="472" spans="12:13" s="42" customFormat="1">
      <c r="L472" s="143" t="s">
        <v>1217</v>
      </c>
      <c r="M472" s="143" t="s">
        <v>1218</v>
      </c>
    </row>
    <row r="473" spans="12:13" s="42" customFormat="1">
      <c r="L473" s="143" t="s">
        <v>1219</v>
      </c>
      <c r="M473" s="143" t="s">
        <v>1220</v>
      </c>
    </row>
    <row r="474" spans="12:13" s="42" customFormat="1">
      <c r="L474" s="143" t="s">
        <v>1221</v>
      </c>
      <c r="M474" s="143" t="s">
        <v>1222</v>
      </c>
    </row>
    <row r="475" spans="12:13" s="42" customFormat="1">
      <c r="L475" s="143" t="s">
        <v>1223</v>
      </c>
      <c r="M475" s="143" t="s">
        <v>1224</v>
      </c>
    </row>
    <row r="476" spans="12:13" s="42" customFormat="1">
      <c r="L476" s="143" t="s">
        <v>1225</v>
      </c>
      <c r="M476" s="143" t="s">
        <v>1226</v>
      </c>
    </row>
    <row r="477" spans="12:13" s="42" customFormat="1">
      <c r="L477" s="143" t="s">
        <v>1227</v>
      </c>
      <c r="M477" s="143" t="s">
        <v>1228</v>
      </c>
    </row>
    <row r="478" spans="12:13" s="42" customFormat="1">
      <c r="L478" s="143" t="s">
        <v>1229</v>
      </c>
      <c r="M478" s="143" t="s">
        <v>1230</v>
      </c>
    </row>
    <row r="479" spans="12:13" s="42" customFormat="1">
      <c r="L479" s="143" t="s">
        <v>1231</v>
      </c>
      <c r="M479" s="143" t="s">
        <v>1232</v>
      </c>
    </row>
    <row r="480" spans="12:13" s="42" customFormat="1">
      <c r="L480" s="143" t="s">
        <v>1233</v>
      </c>
      <c r="M480" s="143" t="s">
        <v>1234</v>
      </c>
    </row>
    <row r="481" spans="12:13" s="42" customFormat="1">
      <c r="L481" s="143" t="s">
        <v>1235</v>
      </c>
      <c r="M481" s="143" t="s">
        <v>1236</v>
      </c>
    </row>
    <row r="482" spans="12:13" s="42" customFormat="1">
      <c r="L482" s="143" t="s">
        <v>1237</v>
      </c>
      <c r="M482" s="143" t="s">
        <v>1238</v>
      </c>
    </row>
    <row r="483" spans="12:13" s="42" customFormat="1">
      <c r="L483" s="143" t="s">
        <v>1239</v>
      </c>
      <c r="M483" s="143" t="s">
        <v>1240</v>
      </c>
    </row>
    <row r="484" spans="12:13" s="42" customFormat="1">
      <c r="L484" s="143" t="s">
        <v>1241</v>
      </c>
      <c r="M484" s="143" t="s">
        <v>1242</v>
      </c>
    </row>
    <row r="485" spans="12:13" s="42" customFormat="1">
      <c r="L485" s="143" t="s">
        <v>1243</v>
      </c>
      <c r="M485" s="143" t="s">
        <v>1244</v>
      </c>
    </row>
    <row r="486" spans="12:13" s="42" customFormat="1">
      <c r="L486" s="143" t="s">
        <v>1245</v>
      </c>
      <c r="M486" s="143" t="s">
        <v>1246</v>
      </c>
    </row>
    <row r="487" spans="12:13" s="42" customFormat="1">
      <c r="L487" s="143" t="s">
        <v>1247</v>
      </c>
      <c r="M487" s="143" t="s">
        <v>1248</v>
      </c>
    </row>
    <row r="488" spans="12:13" s="42" customFormat="1">
      <c r="L488" s="143" t="s">
        <v>1249</v>
      </c>
      <c r="M488" s="143" t="s">
        <v>1250</v>
      </c>
    </row>
    <row r="489" spans="12:13" s="42" customFormat="1">
      <c r="L489" s="143" t="s">
        <v>1251</v>
      </c>
      <c r="M489" s="143" t="s">
        <v>1252</v>
      </c>
    </row>
    <row r="490" spans="12:13" s="42" customFormat="1">
      <c r="L490" s="143" t="s">
        <v>1253</v>
      </c>
      <c r="M490" s="143" t="s">
        <v>1254</v>
      </c>
    </row>
    <row r="491" spans="12:13" s="42" customFormat="1">
      <c r="L491" s="143" t="s">
        <v>1255</v>
      </c>
      <c r="M491" s="143" t="s">
        <v>1256</v>
      </c>
    </row>
    <row r="492" spans="12:13" s="42" customFormat="1">
      <c r="L492" s="143" t="s">
        <v>1257</v>
      </c>
      <c r="M492" s="143" t="s">
        <v>1258</v>
      </c>
    </row>
    <row r="493" spans="12:13" s="42" customFormat="1">
      <c r="L493" s="143" t="s">
        <v>1259</v>
      </c>
      <c r="M493" s="143" t="s">
        <v>1260</v>
      </c>
    </row>
    <row r="494" spans="12:13" s="42" customFormat="1">
      <c r="L494" s="143" t="s">
        <v>1261</v>
      </c>
      <c r="M494" s="143" t="s">
        <v>1262</v>
      </c>
    </row>
    <row r="495" spans="12:13" s="42" customFormat="1">
      <c r="L495" s="143" t="s">
        <v>1263</v>
      </c>
      <c r="M495" s="143" t="s">
        <v>1264</v>
      </c>
    </row>
    <row r="496" spans="12:13" s="42" customFormat="1">
      <c r="L496" s="143" t="s">
        <v>1265</v>
      </c>
      <c r="M496" s="143" t="s">
        <v>1266</v>
      </c>
    </row>
    <row r="497" spans="12:13" s="42" customFormat="1">
      <c r="L497" s="143" t="s">
        <v>1267</v>
      </c>
      <c r="M497" s="143" t="s">
        <v>1268</v>
      </c>
    </row>
    <row r="498" spans="12:13" s="42" customFormat="1">
      <c r="L498" s="143" t="s">
        <v>1269</v>
      </c>
      <c r="M498" s="143" t="s">
        <v>1270</v>
      </c>
    </row>
    <row r="499" spans="12:13" s="42" customFormat="1">
      <c r="L499" s="143" t="s">
        <v>1271</v>
      </c>
      <c r="M499" s="143" t="s">
        <v>1272</v>
      </c>
    </row>
    <row r="500" spans="12:13" s="42" customFormat="1">
      <c r="L500" s="143" t="s">
        <v>1273</v>
      </c>
      <c r="M500" s="143" t="s">
        <v>1274</v>
      </c>
    </row>
    <row r="501" spans="12:13" s="42" customFormat="1">
      <c r="L501" s="143" t="s">
        <v>1275</v>
      </c>
      <c r="M501" s="143" t="s">
        <v>1276</v>
      </c>
    </row>
    <row r="502" spans="12:13" s="42" customFormat="1">
      <c r="L502" s="143" t="s">
        <v>1277</v>
      </c>
      <c r="M502" s="143" t="s">
        <v>1278</v>
      </c>
    </row>
    <row r="503" spans="12:13" s="42" customFormat="1">
      <c r="L503" s="143" t="s">
        <v>1279</v>
      </c>
      <c r="M503" s="143" t="s">
        <v>1280</v>
      </c>
    </row>
    <row r="504" spans="12:13" s="42" customFormat="1">
      <c r="L504" s="143" t="s">
        <v>1281</v>
      </c>
      <c r="M504" s="143" t="s">
        <v>1282</v>
      </c>
    </row>
    <row r="505" spans="12:13" s="42" customFormat="1">
      <c r="L505" s="143" t="s">
        <v>1283</v>
      </c>
      <c r="M505" s="143" t="s">
        <v>1284</v>
      </c>
    </row>
    <row r="506" spans="12:13" s="42" customFormat="1"/>
    <row r="507" spans="12:13" s="42" customFormat="1"/>
    <row r="508" spans="12:13" s="42" customFormat="1"/>
    <row r="509" spans="12:13" s="42" customFormat="1"/>
    <row r="510" spans="12:13" s="42" customFormat="1"/>
    <row r="511" spans="12:13" s="42" customFormat="1"/>
    <row r="512" spans="12:13" s="42" customFormat="1"/>
    <row r="513" spans="1:40" s="42" customFormat="1"/>
    <row r="514" spans="1:40" s="42" customFormat="1"/>
    <row r="515" spans="1:40" s="42" customFormat="1"/>
    <row r="516" spans="1:40" s="42" customFormat="1"/>
    <row r="517" spans="1:40" s="42" customFormat="1"/>
    <row r="518" spans="1:40" s="42" customFormat="1"/>
    <row r="519" spans="1:40" s="42" customFormat="1"/>
    <row r="520" spans="1:40" s="42" customFormat="1"/>
    <row r="521" spans="1:40" s="42" customFormat="1" ht="15">
      <c r="A521" s="148" t="s">
        <v>272</v>
      </c>
      <c r="B521" s="148" t="s">
        <v>1287</v>
      </c>
      <c r="C521" s="148" t="s">
        <v>1288</v>
      </c>
      <c r="D521" s="148" t="s">
        <v>1289</v>
      </c>
      <c r="E521" s="148" t="s">
        <v>1290</v>
      </c>
      <c r="F521" s="148" t="s">
        <v>1291</v>
      </c>
      <c r="G521" s="148" t="s">
        <v>1292</v>
      </c>
      <c r="H521" s="148" t="s">
        <v>1293</v>
      </c>
      <c r="I521" s="148" t="s">
        <v>1294</v>
      </c>
      <c r="J521" s="148" t="s">
        <v>1295</v>
      </c>
      <c r="K521" s="148" t="s">
        <v>1296</v>
      </c>
      <c r="L521" s="148" t="s">
        <v>1297</v>
      </c>
      <c r="M521" s="148" t="s">
        <v>1298</v>
      </c>
      <c r="N521" s="148" t="s">
        <v>1299</v>
      </c>
      <c r="O521" s="148" t="s">
        <v>1300</v>
      </c>
      <c r="P521" s="148" t="s">
        <v>1301</v>
      </c>
      <c r="Q521" s="148" t="s">
        <v>1302</v>
      </c>
      <c r="R521" s="148" t="s">
        <v>1303</v>
      </c>
      <c r="S521" s="148" t="s">
        <v>1304</v>
      </c>
      <c r="T521" s="148" t="s">
        <v>1305</v>
      </c>
      <c r="U521" s="148" t="s">
        <v>1306</v>
      </c>
      <c r="V521" s="148" t="s">
        <v>1307</v>
      </c>
      <c r="W521" s="148" t="s">
        <v>1308</v>
      </c>
      <c r="X521" s="148" t="s">
        <v>1309</v>
      </c>
      <c r="Y521" s="148" t="s">
        <v>1310</v>
      </c>
      <c r="Z521" s="148" t="s">
        <v>1311</v>
      </c>
      <c r="AA521" s="148" t="s">
        <v>1312</v>
      </c>
      <c r="AB521" s="148" t="s">
        <v>1313</v>
      </c>
      <c r="AC521" s="148" t="s">
        <v>1314</v>
      </c>
      <c r="AD521" s="148" t="s">
        <v>1315</v>
      </c>
      <c r="AE521" s="148" t="s">
        <v>1316</v>
      </c>
      <c r="AF521" s="148" t="s">
        <v>1317</v>
      </c>
      <c r="AG521" s="148" t="s">
        <v>1318</v>
      </c>
      <c r="AH521" s="148" t="s">
        <v>1319</v>
      </c>
      <c r="AI521" s="148"/>
      <c r="AJ521" s="148"/>
      <c r="AK521" s="149" t="s">
        <v>1320</v>
      </c>
      <c r="AL521" s="149" t="s">
        <v>1321</v>
      </c>
      <c r="AM521" s="149" t="s">
        <v>1320</v>
      </c>
      <c r="AN521" s="149" t="s">
        <v>1322</v>
      </c>
    </row>
    <row r="522" spans="1:40" s="42" customFormat="1" ht="14.25">
      <c r="A522" s="148" t="s">
        <v>272</v>
      </c>
      <c r="B522" s="148" t="str">
        <f>+AN522</f>
        <v>Centro para la Biodiversidad y el Turismo del Amazonas</v>
      </c>
      <c r="C522" s="148" t="str">
        <f t="shared" ref="C522:C536" si="0">+AN523</f>
        <v>Centro de los Recursos Naturales Renovables -La Salada</v>
      </c>
      <c r="D522" s="148" t="str">
        <f>+AN538</f>
        <v>Centro de Gestión y Desarrollo Agroindustrial de Arauca</v>
      </c>
      <c r="E522" s="148" t="str">
        <f>+AN539</f>
        <v>Centro para el Desarrollo Agroecologico y Agroindustrial</v>
      </c>
      <c r="F522" s="148" t="str">
        <f>+AN543</f>
        <v>Centro Agroempresarial y Minero</v>
      </c>
      <c r="G522" s="148" t="str">
        <f>+AN547</f>
        <v xml:space="preserve">Centro de Desarrollo Agropecuario y Agroindustrial </v>
      </c>
      <c r="H522" s="148" t="str">
        <f>+AN551</f>
        <v>Centro para la Formación Cafetera</v>
      </c>
      <c r="I522" s="148" t="str">
        <f>+AN556</f>
        <v>Centro Tecnológico de la Amazonia</v>
      </c>
      <c r="J522" s="148" t="str">
        <f>+AN557</f>
        <v>Centro Agroindustrial y Fortalecimiento Empresarial de Casanare</v>
      </c>
      <c r="K522" s="148" t="str">
        <f>+AN558</f>
        <v xml:space="preserve">Centro Agropecuario </v>
      </c>
      <c r="L522" s="148" t="str">
        <f>+AN561</f>
        <v>Centro Biotecnológico del Caribe</v>
      </c>
      <c r="M522" s="148" t="str">
        <f>+AN564</f>
        <v>Centro de Recursos Naturales, Industria y Biodiversidad</v>
      </c>
      <c r="N522" s="148" t="str">
        <f>+AN565</f>
        <v>Centro Agropecuario y de Biotecnología el Porvenir</v>
      </c>
      <c r="O522" s="148" t="str">
        <f t="shared" ref="O522:O527" si="1">+AN567</f>
        <v>Centro Industrial y de Desarrollo Empresarial de Soacha</v>
      </c>
      <c r="P522" s="148" t="str">
        <f t="shared" ref="P522:P537" si="2">+AN573</f>
        <v>Centro de Tecnologías para la Construcción y la Madera</v>
      </c>
      <c r="Q522" s="148" t="str">
        <f>+AN589</f>
        <v>Centro Ambiental y Ecoturistico del Nororiente Amazónico</v>
      </c>
      <c r="R522" s="148" t="str">
        <f>+AN590</f>
        <v>Centro Industrial y de Energías Alternativas</v>
      </c>
      <c r="S522" s="148" t="str">
        <f>+AN592</f>
        <v>Centro de Desarrollo Agroindustrial, Turístico y Tecnológico del Guaviare</v>
      </c>
      <c r="T522" s="148" t="str">
        <f>+AN593</f>
        <v>Centro de Formación Agroindustrial</v>
      </c>
      <c r="U522" s="148" t="str">
        <f>+AN598</f>
        <v>Centro Acuícola y Agroindustrial de Gaira</v>
      </c>
      <c r="V522" s="148" t="str">
        <f>+AN600</f>
        <v>Centro Agroindustrial del Meta</v>
      </c>
      <c r="W522" s="148" t="str">
        <f>+AN602</f>
        <v>Centro Sur Colombiano de Logística Internacional</v>
      </c>
      <c r="X522" s="148" t="str">
        <f>+AN605</f>
        <v>Centro de Formación para el Desarrollo Rural y Minero</v>
      </c>
      <c r="Y522" s="148" t="str">
        <f>+AN607</f>
        <v>Centro Agroforestal y Acuícola Arapaima</v>
      </c>
      <c r="Z522" s="148" t="str">
        <f>+AN608</f>
        <v>Centro Agroindustrial</v>
      </c>
      <c r="AA522" s="148" t="str">
        <f>+AN611</f>
        <v>Centro Atención Sector Agropecuario</v>
      </c>
      <c r="AB522" s="148" t="str">
        <f>+AN614</f>
        <v>Centro de Formación Turística, Gente de Mar y de Servicios</v>
      </c>
      <c r="AC522" s="148" t="str">
        <f t="shared" ref="AC522:AC529" si="3">+AN615</f>
        <v>Centro Atención Sector Agropecuario</v>
      </c>
      <c r="AD522" s="148" t="str">
        <f>+AN623</f>
        <v>Centro de la Innovación, la Tecnología y los Servicios</v>
      </c>
      <c r="AE522" s="148" t="str">
        <f>+AN624</f>
        <v>Centro Agropecuario la Granja</v>
      </c>
      <c r="AF522" s="148" t="str">
        <f t="shared" ref="AF522:AF532" si="4">+AN627</f>
        <v>Centro Agropecuario de Buga</v>
      </c>
      <c r="AG522" s="148" t="str">
        <f>+AN638</f>
        <v>Centro Agropecuario y de Servicios Ambientales "Jiri-jirimo"</v>
      </c>
      <c r="AH522" s="148" t="str">
        <f>+AN639</f>
        <v>Centro de Producción y Transformación Agroindustrial de la Orinoquia</v>
      </c>
      <c r="AI522" s="148"/>
      <c r="AJ522" s="148"/>
      <c r="AK522" s="150">
        <v>91</v>
      </c>
      <c r="AL522" s="144" t="s">
        <v>1287</v>
      </c>
      <c r="AM522" s="150">
        <v>9517</v>
      </c>
      <c r="AN522" s="144" t="s">
        <v>1323</v>
      </c>
    </row>
    <row r="523" spans="1:40" s="42" customFormat="1" ht="14.25">
      <c r="B523" s="148"/>
      <c r="C523" s="148" t="str">
        <f t="shared" si="0"/>
        <v>Centro del Diseño y Manufactura del Cuero</v>
      </c>
      <c r="D523" s="148"/>
      <c r="E523" s="148" t="str">
        <f>+AN540</f>
        <v>Centro Nacional Colombo Alemán</v>
      </c>
      <c r="F523" s="148" t="str">
        <f>+AN544</f>
        <v>Centro Internacional Náutico, Fluvial y Portuario</v>
      </c>
      <c r="G523" s="148" t="str">
        <f>+AN548</f>
        <v>Centro  Minero</v>
      </c>
      <c r="H523" s="148" t="str">
        <f>+AN552</f>
        <v>Centro de Automatización Industrial</v>
      </c>
      <c r="I523" s="148"/>
      <c r="J523" s="148"/>
      <c r="K523" s="148" t="str">
        <f>+AN559</f>
        <v xml:space="preserve">Centro de Teleinformática y Producción Industrial </v>
      </c>
      <c r="L523" s="148" t="str">
        <f>+AN562</f>
        <v>Centro Agroempresarial</v>
      </c>
      <c r="M523" s="148"/>
      <c r="N523" s="148" t="str">
        <f>+AN566</f>
        <v>Centro de Comercio, Industria y Turismo de Córdoba</v>
      </c>
      <c r="O523" s="148" t="str">
        <f t="shared" si="1"/>
        <v>Centro de Desarrollo Agroindustrial y Empresarial</v>
      </c>
      <c r="P523" s="148" t="str">
        <f t="shared" si="2"/>
        <v>Centro de Electricidad, Electrónica y Telecomunicaciones</v>
      </c>
      <c r="Q523" s="148"/>
      <c r="R523" s="148" t="str">
        <f>+AN591</f>
        <v>Centro Agroempresarial y Acuícola</v>
      </c>
      <c r="S523" s="148"/>
      <c r="T523" s="148" t="str">
        <f>+AN594</f>
        <v>Centro Agroempresarial y Desarrollo Pecuario del Huila</v>
      </c>
      <c r="U523" s="148" t="str">
        <f>+AN599</f>
        <v>Centro de Logística y Promoción Ecoturística del Magdalena</v>
      </c>
      <c r="V523" s="148" t="str">
        <f>+AN601</f>
        <v>Centro de Industria y Servicios del Meta</v>
      </c>
      <c r="W523" s="148" t="str">
        <f>+AN603</f>
        <v>Centro Agroindustrial y Pesquero de la Costa Pacifica</v>
      </c>
      <c r="X523" s="148" t="str">
        <f>+AN606</f>
        <v xml:space="preserve">Centro de la Industria, la Empresa y los Servicios </v>
      </c>
      <c r="Y523" s="148"/>
      <c r="Z523" s="148" t="str">
        <f>+AN609</f>
        <v>Centro para el Desarrollo Tecnológico de la Construcción y la Industria</v>
      </c>
      <c r="AA523" s="148" t="str">
        <f>+AN612</f>
        <v>Centro de Diseño e Innovación Tecnológica Industrial</v>
      </c>
      <c r="AB523" s="148"/>
      <c r="AC523" s="148" t="str">
        <f t="shared" si="3"/>
        <v>Centro Industrial de Mantenimiento Integral</v>
      </c>
      <c r="AD523" s="148"/>
      <c r="AE523" s="148" t="str">
        <f>+AN625</f>
        <v>Centro de Industria y Construcción</v>
      </c>
      <c r="AF523" s="148" t="str">
        <f t="shared" si="4"/>
        <v>Centro Latinoamericano de  Especies Menores</v>
      </c>
      <c r="AG523" s="148"/>
      <c r="AH523" s="148"/>
      <c r="AI523" s="148"/>
      <c r="AJ523" s="148"/>
      <c r="AK523" s="150">
        <v>5</v>
      </c>
      <c r="AL523" s="144" t="s">
        <v>1288</v>
      </c>
      <c r="AM523" s="150">
        <v>9101</v>
      </c>
      <c r="AN523" s="144" t="s">
        <v>1324</v>
      </c>
    </row>
    <row r="524" spans="1:40" s="42" customFormat="1" ht="14.25">
      <c r="B524" s="148"/>
      <c r="C524" s="148" t="str">
        <f t="shared" si="0"/>
        <v>Centro de Formación en Diseño, Confección y Moda.</v>
      </c>
      <c r="D524" s="148"/>
      <c r="E524" s="148" t="str">
        <f>+AN541</f>
        <v xml:space="preserve">Centro Industrial y de Aviación  </v>
      </c>
      <c r="F524" s="148" t="str">
        <f>+AN545</f>
        <v>Centro para la Industria Petroquímica</v>
      </c>
      <c r="G524" s="148" t="str">
        <f>+AN549</f>
        <v xml:space="preserve">Centro de Gestión Administrativa y Fortalecimiento Empresarial </v>
      </c>
      <c r="H524" s="148" t="str">
        <f>+AN553</f>
        <v>Centro de Procesos Industriales</v>
      </c>
      <c r="I524" s="148"/>
      <c r="J524" s="148"/>
      <c r="K524" s="148" t="str">
        <f>+AN560</f>
        <v>Centro de Comercio y Servicios</v>
      </c>
      <c r="L524" s="148" t="str">
        <f>+AN563</f>
        <v>Centro de Operación y Mantenimiento Minero</v>
      </c>
      <c r="M524" s="148"/>
      <c r="N524" s="148"/>
      <c r="O524" s="148" t="str">
        <f t="shared" si="1"/>
        <v xml:space="preserve">Centro Agroecológico y Empresarial </v>
      </c>
      <c r="P524" s="148" t="str">
        <f t="shared" si="2"/>
        <v>Centro de Gestión Industrial</v>
      </c>
      <c r="Q524" s="148"/>
      <c r="R524" s="148"/>
      <c r="S524" s="148"/>
      <c r="T524" s="148" t="str">
        <f>+AN595</f>
        <v>Centro de Desarrollo Agroempresarial y Turístico del Huila</v>
      </c>
      <c r="U524" s="148"/>
      <c r="V524" s="148"/>
      <c r="W524" s="148" t="str">
        <f>+AN604</f>
        <v>Centro Internacional de Producción Limpia - Lope</v>
      </c>
      <c r="X524" s="148"/>
      <c r="Y524" s="148"/>
      <c r="Z524" s="148" t="str">
        <f>+AN610</f>
        <v>Centro de Comercio y Turismo</v>
      </c>
      <c r="AA524" s="148" t="str">
        <f>+AN613</f>
        <v>Centro de Comercio y Servicios</v>
      </c>
      <c r="AB524" s="148"/>
      <c r="AC524" s="148" t="str">
        <f t="shared" si="3"/>
        <v>Centro Industrial del Diseño y la Manufactura</v>
      </c>
      <c r="AD524" s="148"/>
      <c r="AE524" s="148" t="str">
        <f>+AN626</f>
        <v>Centro de Comercio y Servicios</v>
      </c>
      <c r="AF524" s="148" t="str">
        <f t="shared" si="4"/>
        <v>Centro Náutico Pesquero de Buenaventura</v>
      </c>
      <c r="AG524" s="148"/>
      <c r="AH524" s="148"/>
      <c r="AI524" s="148"/>
      <c r="AJ524" s="148"/>
      <c r="AK524" s="150">
        <v>5</v>
      </c>
      <c r="AL524" s="144" t="s">
        <v>1288</v>
      </c>
      <c r="AM524" s="150">
        <v>9201</v>
      </c>
      <c r="AN524" s="144" t="s">
        <v>1325</v>
      </c>
    </row>
    <row r="525" spans="1:40" s="42" customFormat="1" ht="14.25">
      <c r="A525" s="148"/>
      <c r="B525" s="148"/>
      <c r="C525" s="148" t="str">
        <f t="shared" si="0"/>
        <v>Centro para el Desarrollo del Hábitat y la Construcción</v>
      </c>
      <c r="D525" s="148"/>
      <c r="E525" s="148" t="str">
        <f>+AN542</f>
        <v>Centro de Comercio y Servicios</v>
      </c>
      <c r="F525" s="148" t="str">
        <f>+AN546</f>
        <v>Centro de Comercio y Servicios</v>
      </c>
      <c r="G525" s="148" t="str">
        <f>+AN550</f>
        <v>Centro Industrial de Mantenimiento y Manufactura</v>
      </c>
      <c r="H525" s="148" t="str">
        <f>+AN554</f>
        <v>Centro de Comercio y Servicios</v>
      </c>
      <c r="I525" s="148"/>
      <c r="J525" s="148"/>
      <c r="K525" s="148"/>
      <c r="M525" s="148"/>
      <c r="N525" s="148"/>
      <c r="O525" s="148" t="str">
        <f t="shared" si="1"/>
        <v>Centro de la Tecnología de Diseño y la Productividad Empresarial</v>
      </c>
      <c r="P525" s="148" t="str">
        <f t="shared" si="2"/>
        <v>Centro de Manufactura en Textil y Cuero</v>
      </c>
      <c r="Q525" s="148"/>
      <c r="R525" s="148"/>
      <c r="S525" s="148"/>
      <c r="T525" s="148" t="str">
        <f>+AN596</f>
        <v xml:space="preserve">Centro de la Industria, la Empresa y los Servicios </v>
      </c>
      <c r="U525" s="148"/>
      <c r="V525" s="148"/>
      <c r="W525" s="148"/>
      <c r="X525" s="148"/>
      <c r="Y525" s="148"/>
      <c r="Z525" s="148"/>
      <c r="AA525" s="148"/>
      <c r="AB525" s="148"/>
      <c r="AC525" s="148" t="str">
        <f t="shared" si="3"/>
        <v>Centro de Servicios Empresariales y Turísticos</v>
      </c>
      <c r="AD525" s="148"/>
      <c r="AE525" s="148"/>
      <c r="AF525" s="148" t="str">
        <f t="shared" si="4"/>
        <v>Centro de Electricidad y Automatización Industrial -CEAI</v>
      </c>
      <c r="AG525" s="148"/>
      <c r="AH525" s="148"/>
      <c r="AI525" s="148"/>
      <c r="AJ525" s="148"/>
      <c r="AK525" s="150">
        <v>5</v>
      </c>
      <c r="AL525" s="144" t="s">
        <v>1288</v>
      </c>
      <c r="AM525" s="150">
        <v>9202</v>
      </c>
      <c r="AN525" s="144" t="s">
        <v>1326</v>
      </c>
    </row>
    <row r="526" spans="1:40" s="42" customFormat="1" ht="14.25">
      <c r="A526" s="148"/>
      <c r="B526" s="148"/>
      <c r="C526" s="148" t="str">
        <f t="shared" si="0"/>
        <v>Centro de Tecnología de la Manufactura Avanzada.</v>
      </c>
      <c r="D526" s="148"/>
      <c r="E526" s="148"/>
      <c r="F526" s="148"/>
      <c r="G526" s="148"/>
      <c r="H526" s="148" t="str">
        <f>+AN555</f>
        <v>Centro Pecuario y Agroempresarial</v>
      </c>
      <c r="I526" s="148"/>
      <c r="J526" s="148"/>
      <c r="K526" s="148"/>
      <c r="M526" s="148"/>
      <c r="N526" s="148"/>
      <c r="O526" s="148" t="str">
        <f t="shared" si="1"/>
        <v>Centro de Biotecnología Agropecuaria</v>
      </c>
      <c r="P526" s="148" t="str">
        <f t="shared" si="2"/>
        <v>Centro de Tecnologías del Transporte</v>
      </c>
      <c r="Q526" s="148"/>
      <c r="R526" s="148"/>
      <c r="S526" s="148"/>
      <c r="T526" s="148" t="str">
        <f>+AN597</f>
        <v>Centro de Gestión y Desarrollo Sostenible Surcolombiano</v>
      </c>
      <c r="U526" s="148"/>
      <c r="V526" s="148"/>
      <c r="W526" s="148"/>
      <c r="X526" s="148"/>
      <c r="Y526" s="148"/>
      <c r="Z526" s="148"/>
      <c r="AA526" s="148"/>
      <c r="AB526" s="148"/>
      <c r="AC526" s="148" t="str">
        <f t="shared" si="3"/>
        <v>Centro Industrial y del Desarrollo Tecnológico</v>
      </c>
      <c r="AD526" s="148"/>
      <c r="AE526" s="148"/>
      <c r="AF526" s="148" t="str">
        <f t="shared" si="4"/>
        <v>Centro de la Construcción</v>
      </c>
      <c r="AG526" s="148"/>
      <c r="AH526" s="148"/>
      <c r="AI526" s="148"/>
      <c r="AJ526" s="148"/>
      <c r="AK526" s="150">
        <v>5</v>
      </c>
      <c r="AL526" s="144" t="s">
        <v>1288</v>
      </c>
      <c r="AM526" s="150">
        <v>9203</v>
      </c>
      <c r="AN526" s="144" t="s">
        <v>1327</v>
      </c>
    </row>
    <row r="527" spans="1:40" s="42" customFormat="1" ht="14.25">
      <c r="A527" s="148"/>
      <c r="B527" s="148"/>
      <c r="C527" s="148" t="str">
        <f t="shared" si="0"/>
        <v>Centro Tecnológico del Mobiliario</v>
      </c>
      <c r="D527" s="148"/>
      <c r="E527" s="148"/>
      <c r="F527" s="148"/>
      <c r="G527" s="148"/>
      <c r="H527" s="148"/>
      <c r="I527" s="148"/>
      <c r="J527" s="148"/>
      <c r="K527" s="148"/>
      <c r="L527" s="148"/>
      <c r="M527" s="148"/>
      <c r="N527" s="148"/>
      <c r="O527" s="148" t="str">
        <f t="shared" si="1"/>
        <v xml:space="preserve">Centro de Desarrollo Agroempresarial </v>
      </c>
      <c r="P527" s="148" t="str">
        <f t="shared" si="2"/>
        <v>Centro Metalmecánico</v>
      </c>
      <c r="Q527" s="148"/>
      <c r="R527" s="148"/>
      <c r="S527" s="148"/>
      <c r="T527" s="148"/>
      <c r="U527" s="148"/>
      <c r="V527" s="148"/>
      <c r="W527" s="148"/>
      <c r="X527" s="148"/>
      <c r="Y527" s="148"/>
      <c r="Z527" s="148"/>
      <c r="AA527" s="148"/>
      <c r="AB527" s="148"/>
      <c r="AC527" s="148" t="str">
        <f t="shared" si="3"/>
        <v>Centro Agroturístico</v>
      </c>
      <c r="AD527" s="148"/>
      <c r="AE527" s="148"/>
      <c r="AF527" s="148" t="str">
        <f t="shared" si="4"/>
        <v>Centro de Diseño Tecnológico Industrial</v>
      </c>
      <c r="AG527" s="148"/>
      <c r="AH527" s="148"/>
      <c r="AI527" s="148"/>
      <c r="AJ527" s="148"/>
      <c r="AK527" s="150">
        <v>5</v>
      </c>
      <c r="AL527" s="144" t="s">
        <v>1288</v>
      </c>
      <c r="AM527" s="150">
        <v>9204</v>
      </c>
      <c r="AN527" s="144" t="s">
        <v>1328</v>
      </c>
    </row>
    <row r="528" spans="1:40" s="42" customFormat="1" ht="14.25">
      <c r="A528" s="148"/>
      <c r="B528" s="148"/>
      <c r="C528" s="148" t="str">
        <f t="shared" si="0"/>
        <v>Centro Tecnológico de Gestión Industrial</v>
      </c>
      <c r="D528" s="148"/>
      <c r="E528" s="148"/>
      <c r="F528" s="148"/>
      <c r="G528" s="148"/>
      <c r="H528" s="148"/>
      <c r="I528" s="148"/>
      <c r="J528" s="148"/>
      <c r="K528" s="148"/>
      <c r="L528" s="148"/>
      <c r="M528" s="148"/>
      <c r="N528" s="148"/>
      <c r="O528" s="148"/>
      <c r="P528" s="148" t="str">
        <f t="shared" si="2"/>
        <v>Centro de Materiales y Ensayos</v>
      </c>
      <c r="Q528" s="148"/>
      <c r="R528" s="148"/>
      <c r="S528" s="148"/>
      <c r="T528" s="148"/>
      <c r="U528" s="148"/>
      <c r="V528" s="148"/>
      <c r="W528" s="148"/>
      <c r="X528" s="148"/>
      <c r="Y528" s="148"/>
      <c r="Z528" s="148"/>
      <c r="AA528" s="148"/>
      <c r="AB528" s="148"/>
      <c r="AC528" s="148" t="str">
        <f t="shared" si="3"/>
        <v>Centro Agroempresarial y Turístico de los Andes</v>
      </c>
      <c r="AD528" s="148"/>
      <c r="AE528" s="148"/>
      <c r="AF528" s="148" t="str">
        <f t="shared" si="4"/>
        <v>Centro Nacional de Asistencia Técnica a la Industria -ASTIN</v>
      </c>
      <c r="AG528" s="148"/>
      <c r="AH528" s="148"/>
      <c r="AI528" s="148"/>
      <c r="AJ528" s="148"/>
      <c r="AK528" s="150">
        <v>5</v>
      </c>
      <c r="AL528" s="144" t="s">
        <v>1288</v>
      </c>
      <c r="AM528" s="150">
        <v>9205</v>
      </c>
      <c r="AN528" s="144" t="s">
        <v>1329</v>
      </c>
    </row>
    <row r="529" spans="1:40" s="42" customFormat="1" ht="14.25">
      <c r="A529" s="148"/>
      <c r="B529" s="148"/>
      <c r="C529" s="148" t="str">
        <f t="shared" si="0"/>
        <v>Centro de Comercio</v>
      </c>
      <c r="D529" s="148"/>
      <c r="E529" s="148"/>
      <c r="F529" s="148"/>
      <c r="G529" s="148"/>
      <c r="H529" s="148"/>
      <c r="I529" s="148"/>
      <c r="J529" s="148"/>
      <c r="K529" s="148"/>
      <c r="L529" s="148"/>
      <c r="M529" s="148"/>
      <c r="N529" s="148"/>
      <c r="O529" s="148"/>
      <c r="P529" s="148" t="str">
        <f t="shared" si="2"/>
        <v>Centro de Diseño y Metrología</v>
      </c>
      <c r="Q529" s="148"/>
      <c r="R529" s="148"/>
      <c r="S529" s="148"/>
      <c r="T529" s="148"/>
      <c r="U529" s="148"/>
      <c r="V529" s="148"/>
      <c r="W529" s="148"/>
      <c r="X529" s="148"/>
      <c r="Y529" s="148"/>
      <c r="Z529" s="148"/>
      <c r="AA529" s="148"/>
      <c r="AB529" s="148"/>
      <c r="AC529" s="148" t="str">
        <f t="shared" si="3"/>
        <v>Centro de Gestión Agroempresarial del Oriente</v>
      </c>
      <c r="AD529" s="148"/>
      <c r="AE529" s="148"/>
      <c r="AF529" s="148" t="str">
        <f t="shared" si="4"/>
        <v>Centro de Gestión Tecnológica de Servicios</v>
      </c>
      <c r="AG529" s="148"/>
      <c r="AH529" s="148"/>
      <c r="AI529" s="148"/>
      <c r="AJ529" s="148"/>
      <c r="AK529" s="150">
        <v>5</v>
      </c>
      <c r="AL529" s="144" t="s">
        <v>1288</v>
      </c>
      <c r="AM529" s="150">
        <v>9206</v>
      </c>
      <c r="AN529" s="144" t="s">
        <v>1330</v>
      </c>
    </row>
    <row r="530" spans="1:40" s="42" customFormat="1" ht="14.25">
      <c r="A530" s="148"/>
      <c r="B530" s="148"/>
      <c r="C530" s="148" t="str">
        <f t="shared" si="0"/>
        <v>Centro de Servicios de Salud</v>
      </c>
      <c r="D530" s="148"/>
      <c r="E530" s="148"/>
      <c r="F530" s="148"/>
      <c r="G530" s="148"/>
      <c r="H530" s="148"/>
      <c r="I530" s="148"/>
      <c r="J530" s="148"/>
      <c r="K530" s="148"/>
      <c r="L530" s="148"/>
      <c r="M530" s="148"/>
      <c r="N530" s="148"/>
      <c r="O530" s="148"/>
      <c r="P530" s="148" t="str">
        <f t="shared" si="2"/>
        <v>Centro para la Industria de la Comunicación Grafica</v>
      </c>
      <c r="Q530" s="148"/>
      <c r="R530" s="148"/>
      <c r="S530" s="148"/>
      <c r="T530" s="148"/>
      <c r="U530" s="148"/>
      <c r="V530" s="148"/>
      <c r="W530" s="148"/>
      <c r="X530" s="148"/>
      <c r="Y530" s="148"/>
      <c r="Z530" s="148"/>
      <c r="AA530" s="148"/>
      <c r="AB530" s="148"/>
      <c r="AC530" s="148"/>
      <c r="AD530" s="148"/>
      <c r="AE530" s="148"/>
      <c r="AF530" s="148" t="str">
        <f t="shared" si="4"/>
        <v>Centro de Tecnologías Agroindustriales</v>
      </c>
      <c r="AG530" s="148"/>
      <c r="AH530" s="148"/>
      <c r="AI530" s="148"/>
      <c r="AJ530" s="148"/>
      <c r="AK530" s="150">
        <v>5</v>
      </c>
      <c r="AL530" s="144" t="s">
        <v>1288</v>
      </c>
      <c r="AM530" s="150">
        <v>9301</v>
      </c>
      <c r="AN530" s="144" t="s">
        <v>1331</v>
      </c>
    </row>
    <row r="531" spans="1:40" s="42" customFormat="1" ht="14.25">
      <c r="A531" s="148"/>
      <c r="B531" s="148"/>
      <c r="C531" s="148" t="str">
        <f t="shared" si="0"/>
        <v xml:space="preserve">Centro de Servicios y Gestión Empresarial </v>
      </c>
      <c r="D531" s="148"/>
      <c r="E531" s="148"/>
      <c r="F531" s="148"/>
      <c r="G531" s="148"/>
      <c r="H531" s="148"/>
      <c r="I531" s="148"/>
      <c r="J531" s="148"/>
      <c r="K531" s="148"/>
      <c r="L531" s="148"/>
      <c r="M531" s="148"/>
      <c r="N531" s="148"/>
      <c r="O531" s="148"/>
      <c r="P531" s="148" t="str">
        <f t="shared" si="2"/>
        <v>Centro de Gestión de Mercados, Logística y Tecnologías de la Información</v>
      </c>
      <c r="Q531" s="148"/>
      <c r="R531" s="148"/>
      <c r="S531" s="148"/>
      <c r="T531" s="148"/>
      <c r="U531" s="148"/>
      <c r="V531" s="148"/>
      <c r="W531" s="148"/>
      <c r="X531" s="148"/>
      <c r="Y531" s="148"/>
      <c r="Z531" s="148"/>
      <c r="AA531" s="148"/>
      <c r="AB531" s="148"/>
      <c r="AC531" s="148"/>
      <c r="AD531" s="148"/>
      <c r="AE531" s="148"/>
      <c r="AF531" s="148" t="str">
        <f t="shared" si="4"/>
        <v>Centro de Biotecnología Industrial</v>
      </c>
      <c r="AG531" s="148"/>
      <c r="AH531" s="148"/>
      <c r="AI531" s="148"/>
      <c r="AJ531" s="148"/>
      <c r="AK531" s="150">
        <v>5</v>
      </c>
      <c r="AL531" s="144" t="s">
        <v>1288</v>
      </c>
      <c r="AM531" s="150">
        <v>9401</v>
      </c>
      <c r="AN531" s="144" t="s">
        <v>1332</v>
      </c>
    </row>
    <row r="532" spans="1:40" s="42" customFormat="1" ht="14.25">
      <c r="A532" s="148"/>
      <c r="B532" s="148"/>
      <c r="C532" s="148" t="str">
        <f t="shared" si="0"/>
        <v>Complejo Tecnológico para la Gestión Agroempresarial</v>
      </c>
      <c r="D532" s="148"/>
      <c r="E532" s="148"/>
      <c r="F532" s="148"/>
      <c r="G532" s="148"/>
      <c r="H532" s="148"/>
      <c r="I532" s="148"/>
      <c r="J532" s="148"/>
      <c r="K532" s="148"/>
      <c r="L532" s="148"/>
      <c r="M532" s="148"/>
      <c r="N532" s="148"/>
      <c r="O532" s="148"/>
      <c r="P532" s="148" t="str">
        <f t="shared" si="2"/>
        <v>Centro de Formación de Talento Humano en Salud</v>
      </c>
      <c r="Q532" s="148"/>
      <c r="R532" s="148"/>
      <c r="S532" s="148"/>
      <c r="T532" s="148"/>
      <c r="U532" s="148"/>
      <c r="V532" s="148"/>
      <c r="W532" s="148"/>
      <c r="X532" s="148"/>
      <c r="Y532" s="148"/>
      <c r="Z532" s="148"/>
      <c r="AA532" s="148"/>
      <c r="AB532" s="148"/>
      <c r="AC532" s="148"/>
      <c r="AD532" s="148"/>
      <c r="AE532" s="148"/>
      <c r="AF532" s="148" t="str">
        <f t="shared" si="4"/>
        <v>Unidad de Emprendimiento Especializada de Tecnoparque ASTIN</v>
      </c>
      <c r="AG532" s="148"/>
      <c r="AH532" s="148"/>
      <c r="AI532" s="148"/>
      <c r="AJ532" s="148"/>
      <c r="AK532" s="150">
        <v>5</v>
      </c>
      <c r="AL532" s="144" t="s">
        <v>1288</v>
      </c>
      <c r="AM532" s="150">
        <v>9402</v>
      </c>
      <c r="AN532" s="144" t="s">
        <v>1333</v>
      </c>
    </row>
    <row r="533" spans="1:40" s="42" customFormat="1" ht="14.25">
      <c r="A533" s="148"/>
      <c r="B533" s="148"/>
      <c r="C533" s="148" t="str">
        <f t="shared" si="0"/>
        <v xml:space="preserve">Complejo Tecnológico Minero Agroempresarial </v>
      </c>
      <c r="D533" s="148"/>
      <c r="E533" s="148"/>
      <c r="F533" s="148"/>
      <c r="G533" s="148"/>
      <c r="H533" s="148"/>
      <c r="I533" s="148"/>
      <c r="J533" s="148"/>
      <c r="K533" s="148"/>
      <c r="L533" s="148"/>
      <c r="M533" s="148"/>
      <c r="N533" s="148"/>
      <c r="O533" s="148"/>
      <c r="P533" s="148" t="str">
        <f t="shared" si="2"/>
        <v>Centro de Gestión Administrativa</v>
      </c>
      <c r="Q533" s="148"/>
      <c r="R533" s="148"/>
      <c r="S533" s="148"/>
      <c r="T533" s="148"/>
      <c r="U533" s="148"/>
      <c r="V533" s="148"/>
      <c r="W533" s="148"/>
      <c r="X533" s="148"/>
      <c r="Y533" s="148"/>
      <c r="Z533" s="148"/>
      <c r="AA533" s="148"/>
      <c r="AB533" s="148"/>
      <c r="AC533" s="148"/>
      <c r="AD533" s="148"/>
      <c r="AE533" s="148"/>
      <c r="AF533" s="148"/>
      <c r="AG533" s="148"/>
      <c r="AH533" s="148"/>
      <c r="AI533" s="148"/>
      <c r="AJ533" s="148"/>
      <c r="AK533" s="150">
        <v>5</v>
      </c>
      <c r="AL533" s="144" t="s">
        <v>1288</v>
      </c>
      <c r="AM533" s="150">
        <v>9501</v>
      </c>
      <c r="AN533" s="144" t="s">
        <v>1334</v>
      </c>
    </row>
    <row r="534" spans="1:40" s="42" customFormat="1" ht="14.25">
      <c r="A534" s="148"/>
      <c r="B534" s="148"/>
      <c r="C534" s="148" t="str">
        <f t="shared" si="0"/>
        <v>Centro de la Innovación, la Agroindustria y el Turismo</v>
      </c>
      <c r="D534" s="148"/>
      <c r="E534" s="148"/>
      <c r="F534" s="148"/>
      <c r="G534" s="148"/>
      <c r="H534" s="148"/>
      <c r="I534" s="148"/>
      <c r="J534" s="148"/>
      <c r="K534" s="148"/>
      <c r="L534" s="148"/>
      <c r="M534" s="148"/>
      <c r="N534" s="148"/>
      <c r="O534" s="148"/>
      <c r="P534" s="148" t="str">
        <f t="shared" si="2"/>
        <v>Centro de Servicios Financieros</v>
      </c>
      <c r="Q534" s="148"/>
      <c r="R534" s="148"/>
      <c r="S534" s="148"/>
      <c r="T534" s="148"/>
      <c r="U534" s="148"/>
      <c r="V534" s="148"/>
      <c r="W534" s="148"/>
      <c r="X534" s="148"/>
      <c r="Y534" s="148"/>
      <c r="Z534" s="148"/>
      <c r="AA534" s="148"/>
      <c r="AB534" s="148"/>
      <c r="AC534" s="148"/>
      <c r="AD534" s="148"/>
      <c r="AE534" s="148"/>
      <c r="AF534" s="148"/>
      <c r="AG534" s="148"/>
      <c r="AH534" s="148"/>
      <c r="AI534" s="148"/>
      <c r="AJ534" s="148"/>
      <c r="AK534" s="150">
        <v>5</v>
      </c>
      <c r="AL534" s="144" t="s">
        <v>1288</v>
      </c>
      <c r="AM534" s="150">
        <v>9502</v>
      </c>
      <c r="AN534" s="144" t="s">
        <v>1335</v>
      </c>
    </row>
    <row r="535" spans="1:40" s="42" customFormat="1" ht="14.25">
      <c r="A535" s="148"/>
      <c r="B535" s="148"/>
      <c r="C535" s="148" t="str">
        <f t="shared" si="0"/>
        <v>Complejo Tecnológico Agroindustrial, Pecuario y Turístico</v>
      </c>
      <c r="D535" s="148"/>
      <c r="E535" s="148"/>
      <c r="F535" s="148"/>
      <c r="G535" s="148"/>
      <c r="H535" s="148"/>
      <c r="I535" s="148"/>
      <c r="J535" s="148"/>
      <c r="K535" s="148"/>
      <c r="L535" s="148"/>
      <c r="M535" s="148"/>
      <c r="N535" s="148"/>
      <c r="O535" s="148"/>
      <c r="P535" s="148" t="str">
        <f t="shared" si="2"/>
        <v>Centro Nacional de Hoteleria, Turismo y Alimentos</v>
      </c>
      <c r="Q535" s="148"/>
      <c r="R535" s="148"/>
      <c r="S535" s="148"/>
      <c r="T535" s="148"/>
      <c r="U535" s="148"/>
      <c r="V535" s="148"/>
      <c r="W535" s="148"/>
      <c r="X535" s="148"/>
      <c r="Y535" s="148"/>
      <c r="Z535" s="148"/>
      <c r="AA535" s="148"/>
      <c r="AB535" s="148"/>
      <c r="AC535" s="148"/>
      <c r="AD535" s="148"/>
      <c r="AE535" s="148"/>
      <c r="AF535" s="148"/>
      <c r="AG535" s="148"/>
      <c r="AH535" s="148"/>
      <c r="AI535" s="148"/>
      <c r="AJ535" s="148"/>
      <c r="AK535" s="150">
        <v>5</v>
      </c>
      <c r="AL535" s="144" t="s">
        <v>1288</v>
      </c>
      <c r="AM535" s="150">
        <v>9503</v>
      </c>
      <c r="AN535" s="144" t="s">
        <v>1336</v>
      </c>
    </row>
    <row r="536" spans="1:40" s="42" customFormat="1" ht="14.25">
      <c r="A536" s="148"/>
      <c r="B536" s="148"/>
      <c r="C536" s="148" t="str">
        <f t="shared" si="0"/>
        <v>Complejo Tecnológico, Turístico y Agroindustrial del Occidente Antioqueño</v>
      </c>
      <c r="D536" s="148"/>
      <c r="E536" s="148"/>
      <c r="F536" s="148"/>
      <c r="G536" s="148"/>
      <c r="H536" s="148"/>
      <c r="I536" s="148"/>
      <c r="J536" s="148"/>
      <c r="K536" s="148"/>
      <c r="L536" s="148"/>
      <c r="M536" s="148"/>
      <c r="N536" s="148"/>
      <c r="O536" s="148"/>
      <c r="P536" s="148" t="str">
        <f t="shared" si="2"/>
        <v>Centro de Formación en Actividad Física y cultura</v>
      </c>
      <c r="Q536" s="148"/>
      <c r="R536" s="148"/>
      <c r="S536" s="148"/>
      <c r="T536" s="148"/>
      <c r="U536" s="148"/>
      <c r="V536" s="148"/>
      <c r="W536" s="148"/>
      <c r="X536" s="148"/>
      <c r="Y536" s="148"/>
      <c r="Z536" s="148"/>
      <c r="AA536" s="148"/>
      <c r="AB536" s="148"/>
      <c r="AC536" s="148"/>
      <c r="AD536" s="148"/>
      <c r="AE536" s="148"/>
      <c r="AF536" s="148"/>
      <c r="AG536" s="148"/>
      <c r="AH536" s="148"/>
      <c r="AI536" s="148"/>
      <c r="AJ536" s="148"/>
      <c r="AK536" s="150">
        <v>5</v>
      </c>
      <c r="AL536" s="144" t="s">
        <v>1288</v>
      </c>
      <c r="AM536" s="150">
        <v>9504</v>
      </c>
      <c r="AN536" s="144" t="s">
        <v>1337</v>
      </c>
    </row>
    <row r="537" spans="1:40" s="42" customFormat="1" ht="14.25">
      <c r="A537" s="148"/>
      <c r="B537" s="148"/>
      <c r="C537" s="148"/>
      <c r="D537" s="148"/>
      <c r="E537" s="148"/>
      <c r="F537" s="148"/>
      <c r="G537" s="148"/>
      <c r="H537" s="148"/>
      <c r="I537" s="148"/>
      <c r="J537" s="148"/>
      <c r="K537" s="148"/>
      <c r="L537" s="148"/>
      <c r="M537" s="148"/>
      <c r="N537" s="148"/>
      <c r="O537" s="148"/>
      <c r="P537" s="148" t="str">
        <f t="shared" si="2"/>
        <v>Unidad de Emprendimiento Especializada de Tecnoparque Regional Distrito Capital</v>
      </c>
      <c r="Q537" s="148"/>
      <c r="R537" s="148"/>
      <c r="S537" s="148"/>
      <c r="T537" s="148"/>
      <c r="U537" s="148"/>
      <c r="V537" s="148"/>
      <c r="W537" s="148"/>
      <c r="X537" s="148"/>
      <c r="Y537" s="148"/>
      <c r="Z537" s="148"/>
      <c r="AA537" s="148"/>
      <c r="AB537" s="148"/>
      <c r="AC537" s="148"/>
      <c r="AD537" s="148"/>
      <c r="AE537" s="148"/>
      <c r="AF537" s="148"/>
      <c r="AG537" s="148"/>
      <c r="AH537" s="148"/>
      <c r="AI537" s="148"/>
      <c r="AJ537" s="148"/>
      <c r="AK537" s="150">
        <v>5</v>
      </c>
      <c r="AL537" s="144" t="s">
        <v>1288</v>
      </c>
      <c r="AM537" s="150">
        <v>9549</v>
      </c>
      <c r="AN537" s="144" t="s">
        <v>1338</v>
      </c>
    </row>
    <row r="538" spans="1:40" s="42" customFormat="1" ht="14.25">
      <c r="A538" s="148"/>
      <c r="B538" s="148"/>
      <c r="C538" s="148"/>
      <c r="D538" s="148"/>
      <c r="E538" s="148"/>
      <c r="F538" s="148"/>
      <c r="G538" s="148"/>
      <c r="H538" s="148"/>
      <c r="I538" s="148"/>
      <c r="J538" s="148"/>
      <c r="K538" s="148"/>
      <c r="L538" s="148"/>
      <c r="M538" s="148"/>
      <c r="N538" s="148"/>
      <c r="O538" s="148"/>
      <c r="P538" s="148"/>
      <c r="Q538" s="148"/>
      <c r="R538" s="148"/>
      <c r="S538" s="148"/>
      <c r="T538" s="148"/>
      <c r="U538" s="148"/>
      <c r="V538" s="148"/>
      <c r="W538" s="148"/>
      <c r="X538" s="148"/>
      <c r="Y538" s="148"/>
      <c r="Z538" s="148"/>
      <c r="AA538" s="148"/>
      <c r="AB538" s="148"/>
      <c r="AC538" s="148"/>
      <c r="AD538" s="148"/>
      <c r="AE538" s="148"/>
      <c r="AF538" s="148"/>
      <c r="AG538" s="148"/>
      <c r="AH538" s="148"/>
      <c r="AI538" s="148"/>
      <c r="AJ538" s="148"/>
      <c r="AK538" s="150">
        <v>81</v>
      </c>
      <c r="AL538" s="144" t="s">
        <v>1289</v>
      </c>
      <c r="AM538" s="150">
        <v>9530</v>
      </c>
      <c r="AN538" s="144" t="s">
        <v>1339</v>
      </c>
    </row>
    <row r="539" spans="1:40" s="42" customFormat="1" ht="14.25">
      <c r="A539" s="148"/>
      <c r="B539" s="148"/>
      <c r="C539" s="148"/>
      <c r="D539" s="148"/>
      <c r="E539" s="148"/>
      <c r="F539" s="148"/>
      <c r="G539" s="148"/>
      <c r="H539" s="148"/>
      <c r="I539" s="148"/>
      <c r="J539" s="148"/>
      <c r="K539" s="148"/>
      <c r="L539" s="148"/>
      <c r="M539" s="148"/>
      <c r="N539" s="148"/>
      <c r="O539" s="148"/>
      <c r="P539" s="148"/>
      <c r="Q539" s="148"/>
      <c r="R539" s="148"/>
      <c r="S539" s="148"/>
      <c r="T539" s="148"/>
      <c r="U539" s="148"/>
      <c r="V539" s="148"/>
      <c r="W539" s="148"/>
      <c r="X539" s="148"/>
      <c r="Y539" s="148"/>
      <c r="Z539" s="148"/>
      <c r="AA539" s="148"/>
      <c r="AB539" s="148"/>
      <c r="AC539" s="148"/>
      <c r="AD539" s="148"/>
      <c r="AE539" s="148"/>
      <c r="AF539" s="148"/>
      <c r="AG539" s="148"/>
      <c r="AH539" s="148"/>
      <c r="AI539" s="148"/>
      <c r="AJ539" s="148"/>
      <c r="AK539" s="150">
        <v>8</v>
      </c>
      <c r="AL539" s="144" t="s">
        <v>1290</v>
      </c>
      <c r="AM539" s="150">
        <v>9103</v>
      </c>
      <c r="AN539" s="144" t="s">
        <v>1340</v>
      </c>
    </row>
    <row r="540" spans="1:40" s="42" customFormat="1" ht="14.25">
      <c r="A540" s="148"/>
      <c r="B540" s="148"/>
      <c r="C540" s="148"/>
      <c r="D540" s="148"/>
      <c r="E540" s="148"/>
      <c r="F540" s="148"/>
      <c r="G540" s="148"/>
      <c r="H540" s="148"/>
      <c r="I540" s="148"/>
      <c r="J540" s="148"/>
      <c r="K540" s="148"/>
      <c r="L540" s="148"/>
      <c r="M540" s="148"/>
      <c r="N540" s="148"/>
      <c r="O540" s="148"/>
      <c r="P540" s="148"/>
      <c r="Q540" s="148"/>
      <c r="R540" s="148"/>
      <c r="S540" s="148"/>
      <c r="T540" s="148"/>
      <c r="U540" s="148"/>
      <c r="V540" s="148"/>
      <c r="W540" s="148"/>
      <c r="X540" s="148"/>
      <c r="Y540" s="148"/>
      <c r="Z540" s="148"/>
      <c r="AA540" s="148"/>
      <c r="AB540" s="148"/>
      <c r="AC540" s="148"/>
      <c r="AD540" s="148"/>
      <c r="AE540" s="148"/>
      <c r="AF540" s="148"/>
      <c r="AG540" s="148"/>
      <c r="AH540" s="148"/>
      <c r="AI540" s="148"/>
      <c r="AJ540" s="148"/>
      <c r="AK540" s="150">
        <v>8</v>
      </c>
      <c r="AL540" s="144" t="s">
        <v>1290</v>
      </c>
      <c r="AM540" s="150">
        <v>9207</v>
      </c>
      <c r="AN540" s="144" t="s">
        <v>1341</v>
      </c>
    </row>
    <row r="541" spans="1:40" s="42" customFormat="1" ht="14.25">
      <c r="A541" s="148"/>
      <c r="B541" s="148"/>
      <c r="C541" s="148"/>
      <c r="D541" s="148"/>
      <c r="E541" s="148"/>
      <c r="F541" s="148"/>
      <c r="G541" s="148"/>
      <c r="H541" s="148"/>
      <c r="I541" s="148"/>
      <c r="J541" s="148"/>
      <c r="K541" s="148"/>
      <c r="L541" s="148"/>
      <c r="M541" s="148"/>
      <c r="N541" s="148"/>
      <c r="O541" s="148"/>
      <c r="P541" s="148"/>
      <c r="Q541" s="148"/>
      <c r="R541" s="148"/>
      <c r="S541" s="148"/>
      <c r="T541" s="148"/>
      <c r="U541" s="148"/>
      <c r="V541" s="148"/>
      <c r="W541" s="148"/>
      <c r="X541" s="148"/>
      <c r="Y541" s="148"/>
      <c r="Z541" s="148"/>
      <c r="AA541" s="148"/>
      <c r="AB541" s="148"/>
      <c r="AC541" s="148"/>
      <c r="AD541" s="148"/>
      <c r="AE541" s="148"/>
      <c r="AF541" s="148"/>
      <c r="AG541" s="148"/>
      <c r="AH541" s="148"/>
      <c r="AI541" s="148"/>
      <c r="AJ541" s="148"/>
      <c r="AK541" s="150">
        <v>8</v>
      </c>
      <c r="AL541" s="144" t="s">
        <v>1290</v>
      </c>
      <c r="AM541" s="150">
        <v>9208</v>
      </c>
      <c r="AN541" s="144" t="s">
        <v>1342</v>
      </c>
    </row>
    <row r="542" spans="1:40" s="42" customFormat="1" ht="14.25">
      <c r="A542" s="148"/>
      <c r="B542" s="148"/>
      <c r="C542" s="148"/>
      <c r="D542" s="148"/>
      <c r="E542" s="148"/>
      <c r="F542" s="148"/>
      <c r="G542" s="148"/>
      <c r="H542" s="148"/>
      <c r="I542" s="148"/>
      <c r="J542" s="148"/>
      <c r="K542" s="148"/>
      <c r="L542" s="148"/>
      <c r="M542" s="148"/>
      <c r="N542" s="148"/>
      <c r="O542" s="148"/>
      <c r="P542" s="148"/>
      <c r="Q542" s="148"/>
      <c r="R542" s="148"/>
      <c r="S542" s="148"/>
      <c r="T542" s="148"/>
      <c r="U542" s="148"/>
      <c r="V542" s="148"/>
      <c r="W542" s="148"/>
      <c r="X542" s="148"/>
      <c r="Y542" s="148"/>
      <c r="Z542" s="148"/>
      <c r="AA542" s="148"/>
      <c r="AB542" s="148"/>
      <c r="AC542" s="148"/>
      <c r="AD542" s="148"/>
      <c r="AE542" s="148"/>
      <c r="AF542" s="148"/>
      <c r="AG542" s="148"/>
      <c r="AH542" s="148"/>
      <c r="AI542" s="148"/>
      <c r="AJ542" s="148"/>
      <c r="AK542" s="150">
        <v>8</v>
      </c>
      <c r="AL542" s="144" t="s">
        <v>1290</v>
      </c>
      <c r="AM542" s="150">
        <v>9302</v>
      </c>
      <c r="AN542" s="144" t="s">
        <v>1343</v>
      </c>
    </row>
    <row r="543" spans="1:40" s="42" customFormat="1" ht="14.25">
      <c r="A543" s="148"/>
      <c r="B543" s="148"/>
      <c r="C543" s="148"/>
      <c r="D543" s="148"/>
      <c r="E543" s="148"/>
      <c r="F543" s="148"/>
      <c r="G543" s="148"/>
      <c r="H543" s="148"/>
      <c r="I543" s="148"/>
      <c r="J543" s="148"/>
      <c r="K543" s="148"/>
      <c r="L543" s="148"/>
      <c r="M543" s="148"/>
      <c r="N543" s="148"/>
      <c r="O543" s="148"/>
      <c r="P543" s="148"/>
      <c r="Q543" s="148"/>
      <c r="R543" s="148"/>
      <c r="S543" s="148"/>
      <c r="T543" s="148"/>
      <c r="U543" s="148"/>
      <c r="V543" s="148"/>
      <c r="W543" s="148"/>
      <c r="X543" s="148"/>
      <c r="Y543" s="148"/>
      <c r="Z543" s="148"/>
      <c r="AA543" s="148"/>
      <c r="AB543" s="148"/>
      <c r="AC543" s="148"/>
      <c r="AD543" s="148"/>
      <c r="AE543" s="148"/>
      <c r="AF543" s="148"/>
      <c r="AG543" s="148"/>
      <c r="AH543" s="148"/>
      <c r="AI543" s="148"/>
      <c r="AJ543" s="148"/>
      <c r="AK543" s="150">
        <v>13</v>
      </c>
      <c r="AL543" s="144" t="s">
        <v>1291</v>
      </c>
      <c r="AM543" s="150">
        <v>9104</v>
      </c>
      <c r="AN543" s="144" t="s">
        <v>1344</v>
      </c>
    </row>
    <row r="544" spans="1:40" s="42" customFormat="1" ht="14.25">
      <c r="A544" s="148"/>
      <c r="B544" s="148"/>
      <c r="C544" s="148"/>
      <c r="D544" s="148"/>
      <c r="E544" s="148"/>
      <c r="F544" s="148"/>
      <c r="G544" s="148"/>
      <c r="H544" s="148"/>
      <c r="I544" s="148"/>
      <c r="J544" s="148"/>
      <c r="K544" s="148"/>
      <c r="L544" s="148"/>
      <c r="M544" s="148"/>
      <c r="N544" s="148"/>
      <c r="O544" s="148"/>
      <c r="P544" s="148"/>
      <c r="Q544" s="148"/>
      <c r="R544" s="148"/>
      <c r="S544" s="148"/>
      <c r="T544" s="148"/>
      <c r="U544" s="148"/>
      <c r="V544" s="148"/>
      <c r="W544" s="148"/>
      <c r="X544" s="148"/>
      <c r="Y544" s="148"/>
      <c r="Z544" s="148"/>
      <c r="AA544" s="148"/>
      <c r="AB544" s="148"/>
      <c r="AC544" s="148"/>
      <c r="AD544" s="148"/>
      <c r="AE544" s="148"/>
      <c r="AF544" s="148"/>
      <c r="AG544" s="148"/>
      <c r="AH544" s="148"/>
      <c r="AI544" s="148"/>
      <c r="AJ544" s="148"/>
      <c r="AK544" s="150">
        <v>13</v>
      </c>
      <c r="AL544" s="144" t="s">
        <v>1291</v>
      </c>
      <c r="AM544" s="150">
        <v>9105</v>
      </c>
      <c r="AN544" s="144" t="s">
        <v>1345</v>
      </c>
    </row>
    <row r="545" spans="1:40" s="42" customFormat="1" ht="14.25">
      <c r="A545" s="148"/>
      <c r="B545" s="148"/>
      <c r="C545" s="148"/>
      <c r="D545" s="148"/>
      <c r="E545" s="148"/>
      <c r="F545" s="148"/>
      <c r="G545" s="148"/>
      <c r="H545" s="148"/>
      <c r="I545" s="148"/>
      <c r="J545" s="148"/>
      <c r="K545" s="148"/>
      <c r="L545" s="148"/>
      <c r="M545" s="148"/>
      <c r="N545" s="148"/>
      <c r="O545" s="148"/>
      <c r="P545" s="148"/>
      <c r="Q545" s="148"/>
      <c r="R545" s="148"/>
      <c r="S545" s="148"/>
      <c r="T545" s="148"/>
      <c r="U545" s="148"/>
      <c r="V545" s="148"/>
      <c r="W545" s="148"/>
      <c r="X545" s="148"/>
      <c r="Y545" s="148"/>
      <c r="Z545" s="148"/>
      <c r="AA545" s="148"/>
      <c r="AB545" s="148"/>
      <c r="AC545" s="148"/>
      <c r="AD545" s="148"/>
      <c r="AE545" s="148"/>
      <c r="AF545" s="148"/>
      <c r="AG545" s="148"/>
      <c r="AH545" s="148"/>
      <c r="AI545" s="148"/>
      <c r="AJ545" s="148"/>
      <c r="AK545" s="150">
        <v>13</v>
      </c>
      <c r="AL545" s="144" t="s">
        <v>1291</v>
      </c>
      <c r="AM545" s="150">
        <v>9218</v>
      </c>
      <c r="AN545" s="144" t="s">
        <v>1346</v>
      </c>
    </row>
    <row r="546" spans="1:40" s="42" customFormat="1" ht="14.25">
      <c r="A546" s="148"/>
      <c r="B546" s="148"/>
      <c r="C546" s="148"/>
      <c r="D546" s="148"/>
      <c r="E546" s="148"/>
      <c r="F546" s="148"/>
      <c r="G546" s="148"/>
      <c r="H546" s="148"/>
      <c r="I546" s="148"/>
      <c r="J546" s="148"/>
      <c r="K546" s="148"/>
      <c r="L546" s="148"/>
      <c r="M546" s="148"/>
      <c r="N546" s="148"/>
      <c r="O546" s="148"/>
      <c r="P546" s="148"/>
      <c r="Q546" s="148"/>
      <c r="R546" s="148"/>
      <c r="S546" s="148"/>
      <c r="T546" s="148"/>
      <c r="U546" s="148"/>
      <c r="V546" s="148"/>
      <c r="W546" s="148"/>
      <c r="X546" s="148"/>
      <c r="Y546" s="148"/>
      <c r="Z546" s="148"/>
      <c r="AA546" s="148"/>
      <c r="AB546" s="148"/>
      <c r="AC546" s="148"/>
      <c r="AD546" s="148"/>
      <c r="AE546" s="148"/>
      <c r="AF546" s="148"/>
      <c r="AG546" s="148"/>
      <c r="AH546" s="148"/>
      <c r="AI546" s="148"/>
      <c r="AJ546" s="148"/>
      <c r="AK546" s="150">
        <v>13</v>
      </c>
      <c r="AL546" s="144" t="s">
        <v>1291</v>
      </c>
      <c r="AM546" s="150">
        <v>9304</v>
      </c>
      <c r="AN546" s="144" t="s">
        <v>1343</v>
      </c>
    </row>
    <row r="547" spans="1:40" s="42" customFormat="1" ht="14.25">
      <c r="A547" s="148"/>
      <c r="B547" s="148"/>
      <c r="C547" s="148"/>
      <c r="D547" s="148"/>
      <c r="E547" s="148"/>
      <c r="F547" s="148"/>
      <c r="G547" s="148"/>
      <c r="H547" s="148"/>
      <c r="I547" s="148"/>
      <c r="J547" s="148"/>
      <c r="K547" s="148"/>
      <c r="L547" s="148"/>
      <c r="M547" s="148"/>
      <c r="N547" s="148"/>
      <c r="O547" s="148"/>
      <c r="P547" s="148"/>
      <c r="Q547" s="148"/>
      <c r="R547" s="148"/>
      <c r="S547" s="148"/>
      <c r="T547" s="148"/>
      <c r="U547" s="148"/>
      <c r="V547" s="148"/>
      <c r="W547" s="148"/>
      <c r="X547" s="148"/>
      <c r="Y547" s="148"/>
      <c r="Z547" s="148"/>
      <c r="AA547" s="148"/>
      <c r="AB547" s="148"/>
      <c r="AC547" s="148"/>
      <c r="AD547" s="148"/>
      <c r="AE547" s="148"/>
      <c r="AF547" s="148"/>
      <c r="AG547" s="148"/>
      <c r="AH547" s="148"/>
      <c r="AI547" s="148"/>
      <c r="AJ547" s="148"/>
      <c r="AK547" s="150">
        <v>15</v>
      </c>
      <c r="AL547" s="144" t="s">
        <v>1292</v>
      </c>
      <c r="AM547" s="150">
        <v>9110</v>
      </c>
      <c r="AN547" s="144" t="s">
        <v>1347</v>
      </c>
    </row>
    <row r="548" spans="1:40" s="42" customFormat="1" ht="14.25">
      <c r="A548" s="148"/>
      <c r="B548" s="148"/>
      <c r="C548" s="148"/>
      <c r="D548" s="148"/>
      <c r="E548" s="148"/>
      <c r="F548" s="148"/>
      <c r="G548" s="148"/>
      <c r="H548" s="148"/>
      <c r="I548" s="148"/>
      <c r="J548" s="148"/>
      <c r="K548" s="148"/>
      <c r="L548" s="148"/>
      <c r="M548" s="148"/>
      <c r="N548" s="148"/>
      <c r="O548" s="148"/>
      <c r="P548" s="148"/>
      <c r="Q548" s="148"/>
      <c r="R548" s="148"/>
      <c r="S548" s="148"/>
      <c r="T548" s="148"/>
      <c r="U548" s="148"/>
      <c r="V548" s="148"/>
      <c r="W548" s="148"/>
      <c r="X548" s="148"/>
      <c r="Y548" s="148"/>
      <c r="Z548" s="148"/>
      <c r="AA548" s="148"/>
      <c r="AB548" s="148"/>
      <c r="AC548" s="148"/>
      <c r="AD548" s="148"/>
      <c r="AE548" s="148"/>
      <c r="AF548" s="148"/>
      <c r="AG548" s="148"/>
      <c r="AH548" s="148"/>
      <c r="AI548" s="148"/>
      <c r="AJ548" s="148"/>
      <c r="AK548" s="150">
        <v>15</v>
      </c>
      <c r="AL548" s="144" t="s">
        <v>1292</v>
      </c>
      <c r="AM548" s="150">
        <v>9111</v>
      </c>
      <c r="AN548" s="144" t="s">
        <v>1348</v>
      </c>
    </row>
    <row r="549" spans="1:40" s="42" customFormat="1" ht="14.25">
      <c r="A549" s="148"/>
      <c r="B549" s="148"/>
      <c r="C549" s="148"/>
      <c r="D549" s="148"/>
      <c r="E549" s="148"/>
      <c r="F549" s="148"/>
      <c r="G549" s="148"/>
      <c r="H549" s="148"/>
      <c r="I549" s="148"/>
      <c r="J549" s="148"/>
      <c r="K549" s="148"/>
      <c r="L549" s="148"/>
      <c r="M549" s="148"/>
      <c r="N549" s="148"/>
      <c r="O549" s="148"/>
      <c r="P549" s="148"/>
      <c r="Q549" s="148"/>
      <c r="R549" s="148"/>
      <c r="S549" s="148"/>
      <c r="T549" s="148"/>
      <c r="U549" s="148"/>
      <c r="V549" s="148"/>
      <c r="W549" s="148"/>
      <c r="X549" s="148"/>
      <c r="Y549" s="148"/>
      <c r="Z549" s="148"/>
      <c r="AA549" s="148"/>
      <c r="AB549" s="148"/>
      <c r="AC549" s="148"/>
      <c r="AD549" s="148"/>
      <c r="AE549" s="148"/>
      <c r="AF549" s="148"/>
      <c r="AG549" s="148"/>
      <c r="AH549" s="148"/>
      <c r="AI549" s="148"/>
      <c r="AJ549" s="148"/>
      <c r="AK549" s="150">
        <v>15</v>
      </c>
      <c r="AL549" s="144" t="s">
        <v>1292</v>
      </c>
      <c r="AM549" s="150">
        <v>9305</v>
      </c>
      <c r="AN549" s="144" t="s">
        <v>1349</v>
      </c>
    </row>
    <row r="550" spans="1:40" s="42" customFormat="1" ht="14.25">
      <c r="A550" s="148"/>
      <c r="B550" s="148"/>
      <c r="C550" s="148"/>
      <c r="D550" s="148"/>
      <c r="E550" s="148"/>
      <c r="F550" s="148"/>
      <c r="G550" s="148"/>
      <c r="H550" s="148"/>
      <c r="I550" s="148"/>
      <c r="J550" s="148"/>
      <c r="K550" s="148"/>
      <c r="L550" s="148"/>
      <c r="M550" s="148"/>
      <c r="N550" s="148"/>
      <c r="O550" s="148"/>
      <c r="P550" s="148"/>
      <c r="Q550" s="148"/>
      <c r="R550" s="148"/>
      <c r="S550" s="148"/>
      <c r="T550" s="148"/>
      <c r="U550" s="148"/>
      <c r="V550" s="148"/>
      <c r="W550" s="148"/>
      <c r="X550" s="148"/>
      <c r="Y550" s="148"/>
      <c r="Z550" s="148"/>
      <c r="AA550" s="148"/>
      <c r="AB550" s="148"/>
      <c r="AC550" s="148"/>
      <c r="AD550" s="148"/>
      <c r="AE550" s="148"/>
      <c r="AF550" s="148"/>
      <c r="AG550" s="148"/>
      <c r="AH550" s="148"/>
      <c r="AI550" s="148"/>
      <c r="AJ550" s="148"/>
      <c r="AK550" s="150">
        <v>15</v>
      </c>
      <c r="AL550" s="144" t="s">
        <v>1292</v>
      </c>
      <c r="AM550" s="150">
        <v>9514</v>
      </c>
      <c r="AN550" s="144" t="s">
        <v>1350</v>
      </c>
    </row>
    <row r="551" spans="1:40" s="42" customFormat="1" ht="14.25">
      <c r="A551" s="148"/>
      <c r="B551" s="148"/>
      <c r="C551" s="148"/>
      <c r="D551" s="148"/>
      <c r="E551" s="148"/>
      <c r="F551" s="148"/>
      <c r="G551" s="148"/>
      <c r="H551" s="148"/>
      <c r="I551" s="148"/>
      <c r="J551" s="148"/>
      <c r="K551" s="148"/>
      <c r="L551" s="148"/>
      <c r="M551" s="148"/>
      <c r="N551" s="148"/>
      <c r="O551" s="148"/>
      <c r="P551" s="148"/>
      <c r="Q551" s="148"/>
      <c r="R551" s="148"/>
      <c r="S551" s="148"/>
      <c r="T551" s="148"/>
      <c r="U551" s="148"/>
      <c r="V551" s="148"/>
      <c r="W551" s="148"/>
      <c r="X551" s="148"/>
      <c r="Y551" s="148"/>
      <c r="Z551" s="148"/>
      <c r="AA551" s="148"/>
      <c r="AB551" s="148"/>
      <c r="AC551" s="148"/>
      <c r="AD551" s="148"/>
      <c r="AE551" s="148"/>
      <c r="AF551" s="148"/>
      <c r="AG551" s="148"/>
      <c r="AH551" s="148"/>
      <c r="AI551" s="148"/>
      <c r="AJ551" s="148"/>
      <c r="AK551" s="150">
        <v>17</v>
      </c>
      <c r="AL551" s="144" t="s">
        <v>1293</v>
      </c>
      <c r="AM551" s="150">
        <v>9112</v>
      </c>
      <c r="AN551" s="144" t="s">
        <v>1351</v>
      </c>
    </row>
    <row r="552" spans="1:40" s="42" customFormat="1" ht="14.25">
      <c r="A552" s="148"/>
      <c r="B552" s="148"/>
      <c r="C552" s="148"/>
      <c r="D552" s="148"/>
      <c r="E552" s="148"/>
      <c r="F552" s="148"/>
      <c r="G552" s="148"/>
      <c r="H552" s="148"/>
      <c r="I552" s="148"/>
      <c r="J552" s="148"/>
      <c r="K552" s="148"/>
      <c r="L552" s="148"/>
      <c r="M552" s="148"/>
      <c r="N552" s="148"/>
      <c r="O552" s="148"/>
      <c r="P552" s="148"/>
      <c r="Q552" s="148"/>
      <c r="R552" s="148"/>
      <c r="S552" s="148"/>
      <c r="T552" s="148"/>
      <c r="U552" s="148"/>
      <c r="V552" s="148"/>
      <c r="W552" s="148"/>
      <c r="X552" s="148"/>
      <c r="Y552" s="148"/>
      <c r="Z552" s="148"/>
      <c r="AA552" s="148"/>
      <c r="AB552" s="148"/>
      <c r="AC552" s="148"/>
      <c r="AD552" s="148"/>
      <c r="AE552" s="148"/>
      <c r="AF552" s="148"/>
      <c r="AG552" s="148"/>
      <c r="AH552" s="148"/>
      <c r="AI552" s="148"/>
      <c r="AJ552" s="148"/>
      <c r="AK552" s="150">
        <v>17</v>
      </c>
      <c r="AL552" s="144" t="s">
        <v>1293</v>
      </c>
      <c r="AM552" s="150">
        <v>9219</v>
      </c>
      <c r="AN552" s="144" t="s">
        <v>1352</v>
      </c>
    </row>
    <row r="553" spans="1:40" s="42" customFormat="1" ht="14.25">
      <c r="A553" s="148"/>
      <c r="B553" s="148"/>
      <c r="C553" s="148"/>
      <c r="D553" s="148"/>
      <c r="E553" s="148"/>
      <c r="F553" s="148"/>
      <c r="G553" s="148"/>
      <c r="H553" s="148"/>
      <c r="I553" s="148"/>
      <c r="J553" s="148"/>
      <c r="K553" s="148"/>
      <c r="L553" s="148"/>
      <c r="M553" s="148"/>
      <c r="N553" s="148"/>
      <c r="O553" s="148"/>
      <c r="P553" s="148"/>
      <c r="Q553" s="148"/>
      <c r="R553" s="148"/>
      <c r="S553" s="148"/>
      <c r="T553" s="148"/>
      <c r="U553" s="148"/>
      <c r="V553" s="148"/>
      <c r="W553" s="148"/>
      <c r="X553" s="148"/>
      <c r="Y553" s="148"/>
      <c r="Z553" s="148"/>
      <c r="AA553" s="148"/>
      <c r="AB553" s="148"/>
      <c r="AC553" s="148"/>
      <c r="AD553" s="148"/>
      <c r="AE553" s="148"/>
      <c r="AF553" s="148"/>
      <c r="AG553" s="148"/>
      <c r="AH553" s="148"/>
      <c r="AI553" s="148"/>
      <c r="AJ553" s="148"/>
      <c r="AK553" s="150">
        <v>17</v>
      </c>
      <c r="AL553" s="144" t="s">
        <v>1293</v>
      </c>
      <c r="AM553" s="150">
        <v>9220</v>
      </c>
      <c r="AN553" s="144" t="s">
        <v>1353</v>
      </c>
    </row>
    <row r="554" spans="1:40" s="42" customFormat="1" ht="14.25">
      <c r="A554" s="148"/>
      <c r="B554" s="148"/>
      <c r="C554" s="148"/>
      <c r="D554" s="148"/>
      <c r="E554" s="148"/>
      <c r="F554" s="148"/>
      <c r="G554" s="148"/>
      <c r="H554" s="148"/>
      <c r="I554" s="148"/>
      <c r="J554" s="148"/>
      <c r="K554" s="148"/>
      <c r="L554" s="148"/>
      <c r="M554" s="148"/>
      <c r="N554" s="148"/>
      <c r="O554" s="148"/>
      <c r="P554" s="148"/>
      <c r="Q554" s="148"/>
      <c r="R554" s="148"/>
      <c r="S554" s="148"/>
      <c r="T554" s="148"/>
      <c r="U554" s="148"/>
      <c r="V554" s="148"/>
      <c r="W554" s="148"/>
      <c r="X554" s="148"/>
      <c r="Y554" s="148"/>
      <c r="Z554" s="148"/>
      <c r="AA554" s="148"/>
      <c r="AB554" s="148"/>
      <c r="AC554" s="148"/>
      <c r="AD554" s="148"/>
      <c r="AE554" s="148"/>
      <c r="AF554" s="148"/>
      <c r="AG554" s="148"/>
      <c r="AH554" s="148"/>
      <c r="AI554" s="148"/>
      <c r="AJ554" s="148"/>
      <c r="AK554" s="150">
        <v>17</v>
      </c>
      <c r="AL554" s="144" t="s">
        <v>1293</v>
      </c>
      <c r="AM554" s="150">
        <v>9306</v>
      </c>
      <c r="AN554" s="144" t="s">
        <v>1343</v>
      </c>
    </row>
    <row r="555" spans="1:40" s="42" customFormat="1" ht="14.25">
      <c r="A555" s="148"/>
      <c r="B555" s="148"/>
      <c r="C555" s="148"/>
      <c r="D555" s="148"/>
      <c r="E555" s="148"/>
      <c r="F555" s="148"/>
      <c r="G555" s="148"/>
      <c r="H555" s="148"/>
      <c r="I555" s="148"/>
      <c r="J555" s="148"/>
      <c r="K555" s="148"/>
      <c r="L555" s="148"/>
      <c r="M555" s="148"/>
      <c r="N555" s="148"/>
      <c r="O555" s="148"/>
      <c r="P555" s="148"/>
      <c r="Q555" s="148"/>
      <c r="R555" s="148"/>
      <c r="S555" s="148"/>
      <c r="T555" s="148"/>
      <c r="U555" s="148"/>
      <c r="V555" s="148"/>
      <c r="W555" s="148"/>
      <c r="X555" s="148"/>
      <c r="Y555" s="148"/>
      <c r="Z555" s="148"/>
      <c r="AA555" s="148"/>
      <c r="AB555" s="148"/>
      <c r="AC555" s="148"/>
      <c r="AD555" s="148"/>
      <c r="AE555" s="148"/>
      <c r="AF555" s="148"/>
      <c r="AG555" s="148"/>
      <c r="AH555" s="148"/>
      <c r="AI555" s="148"/>
      <c r="AJ555" s="148"/>
      <c r="AK555" s="150">
        <v>17</v>
      </c>
      <c r="AL555" s="144" t="s">
        <v>1293</v>
      </c>
      <c r="AM555" s="150">
        <v>9515</v>
      </c>
      <c r="AN555" s="144" t="s">
        <v>1354</v>
      </c>
    </row>
    <row r="556" spans="1:40" s="42" customFormat="1" ht="14.25">
      <c r="A556" s="148"/>
      <c r="B556" s="148"/>
      <c r="C556" s="148"/>
      <c r="D556" s="148"/>
      <c r="E556" s="148"/>
      <c r="F556" s="148"/>
      <c r="G556" s="148"/>
      <c r="H556" s="148"/>
      <c r="I556" s="148"/>
      <c r="J556" s="148"/>
      <c r="K556" s="148"/>
      <c r="L556" s="148"/>
      <c r="M556" s="148"/>
      <c r="N556" s="148"/>
      <c r="O556" s="148"/>
      <c r="P556" s="148"/>
      <c r="Q556" s="148"/>
      <c r="R556" s="148"/>
      <c r="S556" s="148"/>
      <c r="T556" s="148"/>
      <c r="U556" s="148"/>
      <c r="V556" s="148"/>
      <c r="W556" s="148"/>
      <c r="X556" s="148"/>
      <c r="Y556" s="148"/>
      <c r="Z556" s="148"/>
      <c r="AA556" s="148"/>
      <c r="AB556" s="148"/>
      <c r="AC556" s="148"/>
      <c r="AD556" s="148"/>
      <c r="AE556" s="148"/>
      <c r="AF556" s="148"/>
      <c r="AG556" s="148"/>
      <c r="AH556" s="148"/>
      <c r="AI556" s="148"/>
      <c r="AJ556" s="148"/>
      <c r="AK556" s="150">
        <v>18</v>
      </c>
      <c r="AL556" s="144" t="s">
        <v>1294</v>
      </c>
      <c r="AM556" s="150">
        <v>9516</v>
      </c>
      <c r="AN556" s="144" t="s">
        <v>1355</v>
      </c>
    </row>
    <row r="557" spans="1:40" s="42" customFormat="1" ht="14.25">
      <c r="A557" s="148"/>
      <c r="B557" s="148"/>
      <c r="C557" s="148"/>
      <c r="D557" s="148"/>
      <c r="E557" s="148"/>
      <c r="F557" s="148"/>
      <c r="G557" s="148"/>
      <c r="H557" s="148"/>
      <c r="I557" s="148"/>
      <c r="J557" s="148"/>
      <c r="K557" s="148"/>
      <c r="L557" s="148"/>
      <c r="M557" s="148"/>
      <c r="N557" s="148"/>
      <c r="O557" s="148"/>
      <c r="P557" s="148"/>
      <c r="Q557" s="148"/>
      <c r="R557" s="148"/>
      <c r="S557" s="148"/>
      <c r="T557" s="148"/>
      <c r="U557" s="148"/>
      <c r="V557" s="148"/>
      <c r="W557" s="148"/>
      <c r="X557" s="148"/>
      <c r="Y557" s="148"/>
      <c r="Z557" s="148"/>
      <c r="AA557" s="148"/>
      <c r="AB557" s="148"/>
      <c r="AC557" s="148"/>
      <c r="AD557" s="148"/>
      <c r="AE557" s="148"/>
      <c r="AF557" s="148"/>
      <c r="AG557" s="148"/>
      <c r="AH557" s="148"/>
      <c r="AI557" s="148"/>
      <c r="AJ557" s="148"/>
      <c r="AK557" s="150">
        <v>85</v>
      </c>
      <c r="AL557" s="144" t="s">
        <v>1295</v>
      </c>
      <c r="AM557" s="150">
        <v>9519</v>
      </c>
      <c r="AN557" s="144" t="s">
        <v>1356</v>
      </c>
    </row>
    <row r="558" spans="1:40" s="42" customFormat="1" ht="14.25">
      <c r="A558" s="148"/>
      <c r="B558" s="148"/>
      <c r="C558" s="148"/>
      <c r="D558" s="148"/>
      <c r="E558" s="148"/>
      <c r="F558" s="148"/>
      <c r="G558" s="148"/>
      <c r="H558" s="148"/>
      <c r="I558" s="148"/>
      <c r="J558" s="148"/>
      <c r="K558" s="148"/>
      <c r="L558" s="148"/>
      <c r="M558" s="148"/>
      <c r="N558" s="148"/>
      <c r="O558" s="148"/>
      <c r="P558" s="148"/>
      <c r="Q558" s="148"/>
      <c r="R558" s="148"/>
      <c r="S558" s="148"/>
      <c r="T558" s="148"/>
      <c r="U558" s="148"/>
      <c r="V558" s="148"/>
      <c r="W558" s="148"/>
      <c r="X558" s="148"/>
      <c r="Y558" s="148"/>
      <c r="Z558" s="148"/>
      <c r="AA558" s="148"/>
      <c r="AB558" s="148"/>
      <c r="AC558" s="148"/>
      <c r="AD558" s="148"/>
      <c r="AE558" s="148"/>
      <c r="AF558" s="148"/>
      <c r="AG558" s="148"/>
      <c r="AH558" s="148"/>
      <c r="AI558" s="148"/>
      <c r="AJ558" s="148"/>
      <c r="AK558" s="150">
        <v>19</v>
      </c>
      <c r="AL558" s="144" t="s">
        <v>1296</v>
      </c>
      <c r="AM558" s="150">
        <v>9113</v>
      </c>
      <c r="AN558" s="144" t="s">
        <v>1357</v>
      </c>
    </row>
    <row r="559" spans="1:40" s="42" customFormat="1" ht="14.25">
      <c r="A559" s="148"/>
      <c r="B559" s="148"/>
      <c r="C559" s="148"/>
      <c r="D559" s="148"/>
      <c r="E559" s="148"/>
      <c r="F559" s="148"/>
      <c r="G559" s="148"/>
      <c r="H559" s="148"/>
      <c r="I559" s="148"/>
      <c r="J559" s="148"/>
      <c r="K559" s="148"/>
      <c r="L559" s="148"/>
      <c r="M559" s="148"/>
      <c r="N559" s="148"/>
      <c r="O559" s="148"/>
      <c r="P559" s="148"/>
      <c r="Q559" s="148"/>
      <c r="R559" s="148"/>
      <c r="S559" s="148"/>
      <c r="T559" s="148"/>
      <c r="U559" s="148"/>
      <c r="V559" s="148"/>
      <c r="W559" s="148"/>
      <c r="X559" s="148"/>
      <c r="Y559" s="148"/>
      <c r="Z559" s="148"/>
      <c r="AA559" s="148"/>
      <c r="AB559" s="148"/>
      <c r="AC559" s="148"/>
      <c r="AD559" s="148"/>
      <c r="AE559" s="148"/>
      <c r="AF559" s="148"/>
      <c r="AG559" s="148"/>
      <c r="AH559" s="148"/>
      <c r="AI559" s="148"/>
      <c r="AJ559" s="148"/>
      <c r="AK559" s="150">
        <v>19</v>
      </c>
      <c r="AL559" s="144" t="s">
        <v>1296</v>
      </c>
      <c r="AM559" s="150">
        <v>9221</v>
      </c>
      <c r="AN559" s="144" t="s">
        <v>1358</v>
      </c>
    </row>
    <row r="560" spans="1:40" s="42" customFormat="1" ht="14.25">
      <c r="A560" s="148"/>
      <c r="B560" s="148"/>
      <c r="C560" s="148"/>
      <c r="D560" s="148"/>
      <c r="E560" s="148"/>
      <c r="F560" s="148"/>
      <c r="G560" s="148"/>
      <c r="H560" s="148"/>
      <c r="I560" s="148"/>
      <c r="J560" s="148"/>
      <c r="K560" s="148"/>
      <c r="L560" s="148"/>
      <c r="M560" s="148"/>
      <c r="N560" s="148"/>
      <c r="O560" s="148"/>
      <c r="P560" s="148"/>
      <c r="Q560" s="148"/>
      <c r="R560" s="148"/>
      <c r="S560" s="148"/>
      <c r="T560" s="148"/>
      <c r="U560" s="148"/>
      <c r="V560" s="148"/>
      <c r="W560" s="148"/>
      <c r="X560" s="148"/>
      <c r="Y560" s="148"/>
      <c r="Z560" s="148"/>
      <c r="AA560" s="148"/>
      <c r="AB560" s="148"/>
      <c r="AC560" s="148"/>
      <c r="AD560" s="148"/>
      <c r="AE560" s="148"/>
      <c r="AF560" s="148"/>
      <c r="AG560" s="148"/>
      <c r="AH560" s="148"/>
      <c r="AI560" s="148"/>
      <c r="AJ560" s="148"/>
      <c r="AK560" s="150">
        <v>19</v>
      </c>
      <c r="AL560" s="144" t="s">
        <v>1296</v>
      </c>
      <c r="AM560" s="150">
        <v>9307</v>
      </c>
      <c r="AN560" s="144" t="s">
        <v>1343</v>
      </c>
    </row>
    <row r="561" spans="1:40" s="42" customFormat="1" ht="14.25">
      <c r="A561" s="148"/>
      <c r="B561" s="148"/>
      <c r="C561" s="148"/>
      <c r="D561" s="148"/>
      <c r="E561" s="148"/>
      <c r="F561" s="148"/>
      <c r="G561" s="148"/>
      <c r="H561" s="148"/>
      <c r="I561" s="148"/>
      <c r="J561" s="148"/>
      <c r="K561" s="148"/>
      <c r="L561" s="148"/>
      <c r="M561" s="148"/>
      <c r="N561" s="148"/>
      <c r="O561" s="148"/>
      <c r="P561" s="148"/>
      <c r="Q561" s="148"/>
      <c r="R561" s="148"/>
      <c r="S561" s="148"/>
      <c r="T561" s="148"/>
      <c r="U561" s="148"/>
      <c r="V561" s="148"/>
      <c r="W561" s="148"/>
      <c r="X561" s="148"/>
      <c r="Y561" s="148"/>
      <c r="Z561" s="148"/>
      <c r="AA561" s="148"/>
      <c r="AB561" s="148"/>
      <c r="AC561" s="148"/>
      <c r="AD561" s="148"/>
      <c r="AE561" s="148"/>
      <c r="AF561" s="148"/>
      <c r="AG561" s="148"/>
      <c r="AH561" s="148"/>
      <c r="AI561" s="148"/>
      <c r="AJ561" s="148"/>
      <c r="AK561" s="150">
        <v>20</v>
      </c>
      <c r="AL561" s="144" t="s">
        <v>1297</v>
      </c>
      <c r="AM561" s="150">
        <v>9114</v>
      </c>
      <c r="AN561" s="144" t="s">
        <v>1359</v>
      </c>
    </row>
    <row r="562" spans="1:40" s="42" customFormat="1" ht="14.25">
      <c r="A562" s="148"/>
      <c r="B562" s="148"/>
      <c r="C562" s="148"/>
      <c r="D562" s="148"/>
      <c r="E562" s="148"/>
      <c r="F562" s="148"/>
      <c r="G562" s="148"/>
      <c r="H562" s="148"/>
      <c r="I562" s="148"/>
      <c r="J562" s="148"/>
      <c r="K562" s="148"/>
      <c r="L562" s="148"/>
      <c r="M562" s="148"/>
      <c r="N562" s="148"/>
      <c r="O562" s="148"/>
      <c r="P562" s="148"/>
      <c r="Q562" s="148"/>
      <c r="R562" s="148"/>
      <c r="S562" s="148"/>
      <c r="T562" s="148"/>
      <c r="U562" s="148"/>
      <c r="V562" s="148"/>
      <c r="W562" s="148"/>
      <c r="X562" s="148"/>
      <c r="Y562" s="148"/>
      <c r="Z562" s="148"/>
      <c r="AA562" s="148"/>
      <c r="AB562" s="148"/>
      <c r="AC562" s="148"/>
      <c r="AD562" s="148"/>
      <c r="AE562" s="148"/>
      <c r="AF562" s="148"/>
      <c r="AG562" s="148"/>
      <c r="AH562" s="148"/>
      <c r="AI562" s="148"/>
      <c r="AJ562" s="148"/>
      <c r="AK562" s="150">
        <v>20</v>
      </c>
      <c r="AL562" s="144" t="s">
        <v>1297</v>
      </c>
      <c r="AM562" s="150">
        <v>9520</v>
      </c>
      <c r="AN562" s="144" t="s">
        <v>1360</v>
      </c>
    </row>
    <row r="563" spans="1:40" s="42" customFormat="1" ht="14.25">
      <c r="A563" s="148"/>
      <c r="B563" s="148"/>
      <c r="C563" s="148"/>
      <c r="D563" s="148"/>
      <c r="E563" s="148"/>
      <c r="F563" s="148"/>
      <c r="G563" s="148"/>
      <c r="H563" s="148"/>
      <c r="I563" s="148"/>
      <c r="J563" s="148"/>
      <c r="K563" s="148"/>
      <c r="L563" s="148"/>
      <c r="M563" s="148"/>
      <c r="N563" s="148"/>
      <c r="O563" s="148"/>
      <c r="P563" s="148"/>
      <c r="Q563" s="148"/>
      <c r="R563" s="148"/>
      <c r="S563" s="148"/>
      <c r="T563" s="148"/>
      <c r="U563" s="148"/>
      <c r="V563" s="148"/>
      <c r="W563" s="148"/>
      <c r="X563" s="148"/>
      <c r="Y563" s="148"/>
      <c r="Z563" s="148"/>
      <c r="AA563" s="148"/>
      <c r="AB563" s="148"/>
      <c r="AC563" s="148"/>
      <c r="AD563" s="148"/>
      <c r="AE563" s="148"/>
      <c r="AF563" s="148"/>
      <c r="AG563" s="148"/>
      <c r="AH563" s="148"/>
      <c r="AI563" s="148"/>
      <c r="AJ563" s="148"/>
      <c r="AK563" s="150">
        <v>20</v>
      </c>
      <c r="AL563" s="144" t="s">
        <v>1297</v>
      </c>
      <c r="AM563" s="150">
        <v>9521</v>
      </c>
      <c r="AN563" s="144" t="s">
        <v>1361</v>
      </c>
    </row>
    <row r="564" spans="1:40" s="42" customFormat="1" ht="14.25">
      <c r="A564" s="148"/>
      <c r="B564" s="148"/>
      <c r="C564" s="148"/>
      <c r="D564" s="148"/>
      <c r="E564" s="148"/>
      <c r="F564" s="148"/>
      <c r="G564" s="148"/>
      <c r="H564" s="148"/>
      <c r="I564" s="148"/>
      <c r="J564" s="148"/>
      <c r="K564" s="148"/>
      <c r="L564" s="148"/>
      <c r="M564" s="148"/>
      <c r="N564" s="148"/>
      <c r="O564" s="148"/>
      <c r="P564" s="148"/>
      <c r="Q564" s="148"/>
      <c r="R564" s="148"/>
      <c r="S564" s="148"/>
      <c r="T564" s="148"/>
      <c r="U564" s="148"/>
      <c r="V564" s="148"/>
      <c r="W564" s="148"/>
      <c r="X564" s="148"/>
      <c r="Y564" s="148"/>
      <c r="Z564" s="148"/>
      <c r="AA564" s="148"/>
      <c r="AB564" s="148"/>
      <c r="AC564" s="148"/>
      <c r="AD564" s="148"/>
      <c r="AE564" s="148"/>
      <c r="AF564" s="148"/>
      <c r="AG564" s="148"/>
      <c r="AH564" s="148"/>
      <c r="AI564" s="148"/>
      <c r="AJ564" s="148"/>
      <c r="AK564" s="150">
        <v>27</v>
      </c>
      <c r="AL564" s="144" t="s">
        <v>1362</v>
      </c>
      <c r="AM564" s="150">
        <v>9522</v>
      </c>
      <c r="AN564" s="144" t="s">
        <v>1363</v>
      </c>
    </row>
    <row r="565" spans="1:40" s="42" customFormat="1" ht="14.25">
      <c r="A565" s="148"/>
      <c r="B565" s="148"/>
      <c r="C565" s="148"/>
      <c r="D565" s="148"/>
      <c r="E565" s="148"/>
      <c r="F565" s="148"/>
      <c r="G565" s="148"/>
      <c r="H565" s="148"/>
      <c r="I565" s="148"/>
      <c r="J565" s="148"/>
      <c r="K565" s="148"/>
      <c r="L565" s="148"/>
      <c r="M565" s="148"/>
      <c r="N565" s="148"/>
      <c r="O565" s="148"/>
      <c r="P565" s="148"/>
      <c r="Q565" s="148"/>
      <c r="R565" s="148"/>
      <c r="S565" s="148"/>
      <c r="T565" s="148"/>
      <c r="U565" s="148"/>
      <c r="V565" s="148"/>
      <c r="W565" s="148"/>
      <c r="X565" s="148"/>
      <c r="Y565" s="148"/>
      <c r="Z565" s="148"/>
      <c r="AA565" s="148"/>
      <c r="AB565" s="148"/>
      <c r="AC565" s="148"/>
      <c r="AD565" s="148"/>
      <c r="AE565" s="148"/>
      <c r="AF565" s="148"/>
      <c r="AG565" s="148"/>
      <c r="AH565" s="148"/>
      <c r="AI565" s="148"/>
      <c r="AJ565" s="148"/>
      <c r="AK565" s="150">
        <v>23</v>
      </c>
      <c r="AL565" s="144" t="s">
        <v>1299</v>
      </c>
      <c r="AM565" s="150">
        <v>9115</v>
      </c>
      <c r="AN565" s="144" t="s">
        <v>1364</v>
      </c>
    </row>
    <row r="566" spans="1:40" s="42" customFormat="1" ht="15">
      <c r="A566" s="148" t="s">
        <v>1438</v>
      </c>
      <c r="B566" s="151" t="s">
        <v>1439</v>
      </c>
      <c r="C566" s="152" t="s">
        <v>1440</v>
      </c>
      <c r="D566" s="151" t="s">
        <v>1441</v>
      </c>
      <c r="E566" s="151" t="s">
        <v>1442</v>
      </c>
      <c r="F566" s="151" t="s">
        <v>1443</v>
      </c>
      <c r="G566" s="151" t="s">
        <v>1444</v>
      </c>
      <c r="H566" s="151" t="s">
        <v>1445</v>
      </c>
      <c r="I566" s="151" t="s">
        <v>1446</v>
      </c>
      <c r="J566" s="151" t="s">
        <v>1447</v>
      </c>
      <c r="K566" s="151" t="s">
        <v>1448</v>
      </c>
      <c r="L566" s="151" t="s">
        <v>1449</v>
      </c>
      <c r="M566" s="151" t="s">
        <v>1450</v>
      </c>
      <c r="N566" s="151" t="s">
        <v>1451</v>
      </c>
      <c r="O566" s="151" t="s">
        <v>1452</v>
      </c>
      <c r="P566" s="151" t="s">
        <v>1453</v>
      </c>
      <c r="Q566" s="151" t="s">
        <v>1454</v>
      </c>
      <c r="R566" s="151" t="s">
        <v>1455</v>
      </c>
      <c r="S566" s="151" t="s">
        <v>1456</v>
      </c>
      <c r="T566" s="151" t="s">
        <v>1457</v>
      </c>
      <c r="U566" s="151" t="s">
        <v>1458</v>
      </c>
      <c r="V566" s="151" t="s">
        <v>1459</v>
      </c>
      <c r="W566" s="151" t="s">
        <v>1460</v>
      </c>
      <c r="X566" s="151" t="s">
        <v>1461</v>
      </c>
      <c r="Y566" s="151" t="s">
        <v>1462</v>
      </c>
      <c r="Z566" s="151" t="s">
        <v>1463</v>
      </c>
      <c r="AA566" s="151" t="s">
        <v>1464</v>
      </c>
      <c r="AB566" s="152" t="s">
        <v>1465</v>
      </c>
      <c r="AC566" s="151" t="s">
        <v>1466</v>
      </c>
      <c r="AD566" s="151" t="s">
        <v>1467</v>
      </c>
      <c r="AE566" s="151" t="s">
        <v>1468</v>
      </c>
      <c r="AF566" s="151" t="s">
        <v>1469</v>
      </c>
      <c r="AG566" s="151" t="s">
        <v>1470</v>
      </c>
      <c r="AH566" s="151" t="s">
        <v>1471</v>
      </c>
      <c r="AI566" s="151"/>
      <c r="AJ566" s="148"/>
      <c r="AK566" s="150">
        <v>23</v>
      </c>
      <c r="AL566" s="144" t="s">
        <v>1299</v>
      </c>
      <c r="AM566" s="150">
        <v>9523</v>
      </c>
      <c r="AN566" s="144" t="s">
        <v>1365</v>
      </c>
    </row>
    <row r="567" spans="1:40" s="42" customFormat="1" ht="15">
      <c r="A567" s="148" t="s">
        <v>272</v>
      </c>
      <c r="B567" s="151" t="s">
        <v>1472</v>
      </c>
      <c r="C567" s="151" t="s">
        <v>1473</v>
      </c>
      <c r="D567" s="151" t="s">
        <v>1474</v>
      </c>
      <c r="E567" s="151" t="s">
        <v>1475</v>
      </c>
      <c r="F567" s="152" t="s">
        <v>1476</v>
      </c>
      <c r="G567" s="151" t="s">
        <v>1477</v>
      </c>
      <c r="H567" s="151" t="s">
        <v>1478</v>
      </c>
      <c r="I567" s="151" t="s">
        <v>1479</v>
      </c>
      <c r="J567" s="151" t="s">
        <v>1480</v>
      </c>
      <c r="K567" s="151" t="s">
        <v>1481</v>
      </c>
      <c r="L567" s="151" t="s">
        <v>1482</v>
      </c>
      <c r="M567" s="151" t="s">
        <v>1483</v>
      </c>
      <c r="N567" s="151" t="s">
        <v>1484</v>
      </c>
      <c r="O567" s="151" t="s">
        <v>1485</v>
      </c>
      <c r="P567" s="151" t="s">
        <v>1486</v>
      </c>
      <c r="Q567" s="151" t="s">
        <v>1487</v>
      </c>
      <c r="R567" s="151" t="s">
        <v>1488</v>
      </c>
      <c r="S567" s="151" t="s">
        <v>1489</v>
      </c>
      <c r="T567" s="151" t="s">
        <v>1480</v>
      </c>
      <c r="U567" s="151" t="s">
        <v>1490</v>
      </c>
      <c r="V567" s="151" t="s">
        <v>1491</v>
      </c>
      <c r="W567" s="151" t="s">
        <v>1492</v>
      </c>
      <c r="X567" s="151" t="s">
        <v>1493</v>
      </c>
      <c r="Y567" s="151" t="s">
        <v>1494</v>
      </c>
      <c r="Z567" s="151" t="s">
        <v>1495</v>
      </c>
      <c r="AA567" s="151" t="s">
        <v>1496</v>
      </c>
      <c r="AB567" s="151" t="s">
        <v>1497</v>
      </c>
      <c r="AC567" s="151" t="s">
        <v>1498</v>
      </c>
      <c r="AD567" s="151" t="s">
        <v>1499</v>
      </c>
      <c r="AE567" s="151" t="s">
        <v>1500</v>
      </c>
      <c r="AF567" s="151" t="s">
        <v>1501</v>
      </c>
      <c r="AG567" s="151" t="s">
        <v>1502</v>
      </c>
      <c r="AH567" s="151" t="s">
        <v>1503</v>
      </c>
      <c r="AI567" s="151"/>
      <c r="AJ567" s="148"/>
      <c r="AK567" s="150">
        <v>25</v>
      </c>
      <c r="AL567" s="144" t="s">
        <v>1300</v>
      </c>
      <c r="AM567" s="150">
        <v>9232</v>
      </c>
      <c r="AN567" s="144" t="s">
        <v>1366</v>
      </c>
    </row>
    <row r="568" spans="1:40" s="42" customFormat="1" ht="15">
      <c r="B568" s="151" t="s">
        <v>1504</v>
      </c>
      <c r="C568" s="151" t="s">
        <v>1505</v>
      </c>
      <c r="D568" s="151" t="s">
        <v>1506</v>
      </c>
      <c r="E568" s="151" t="s">
        <v>1507</v>
      </c>
      <c r="F568" s="148"/>
      <c r="G568" s="151" t="s">
        <v>1508</v>
      </c>
      <c r="H568" s="151" t="s">
        <v>1509</v>
      </c>
      <c r="I568" s="151" t="s">
        <v>1510</v>
      </c>
      <c r="J568" s="151" t="s">
        <v>1511</v>
      </c>
      <c r="K568" s="151" t="s">
        <v>1512</v>
      </c>
      <c r="L568" s="151" t="s">
        <v>1513</v>
      </c>
      <c r="M568" s="151" t="s">
        <v>1514</v>
      </c>
      <c r="N568" s="151" t="s">
        <v>1515</v>
      </c>
      <c r="O568" s="151" t="s">
        <v>1499</v>
      </c>
      <c r="P568" s="151" t="s">
        <v>1492</v>
      </c>
      <c r="Q568" s="151" t="s">
        <v>1516</v>
      </c>
      <c r="R568" s="151" t="s">
        <v>1517</v>
      </c>
      <c r="S568" s="151" t="s">
        <v>1518</v>
      </c>
      <c r="T568" s="151" t="s">
        <v>1519</v>
      </c>
      <c r="U568" s="151" t="s">
        <v>1520</v>
      </c>
      <c r="V568" s="151" t="s">
        <v>1521</v>
      </c>
      <c r="W568" s="151" t="s">
        <v>1522</v>
      </c>
      <c r="X568" s="151" t="s">
        <v>1523</v>
      </c>
      <c r="Y568" s="151" t="s">
        <v>1524</v>
      </c>
      <c r="Z568" s="151" t="s">
        <v>1499</v>
      </c>
      <c r="AA568" s="151" t="s">
        <v>1525</v>
      </c>
      <c r="AB568" s="151" t="s">
        <v>1526</v>
      </c>
      <c r="AC568" s="151" t="s">
        <v>1480</v>
      </c>
      <c r="AD568" s="151" t="s">
        <v>1527</v>
      </c>
      <c r="AE568" s="151" t="s">
        <v>1528</v>
      </c>
      <c r="AF568" s="151" t="s">
        <v>1529</v>
      </c>
      <c r="AG568" s="151" t="s">
        <v>1530</v>
      </c>
      <c r="AH568" s="151" t="s">
        <v>1531</v>
      </c>
      <c r="AI568" s="151"/>
      <c r="AJ568" s="148"/>
      <c r="AK568" s="150">
        <v>25</v>
      </c>
      <c r="AL568" s="144" t="s">
        <v>1300</v>
      </c>
      <c r="AM568" s="150">
        <v>9509</v>
      </c>
      <c r="AN568" s="144" t="s">
        <v>1367</v>
      </c>
    </row>
    <row r="569" spans="1:40" s="42" customFormat="1" ht="15">
      <c r="B569" s="151" t="s">
        <v>1532</v>
      </c>
      <c r="C569" s="151" t="s">
        <v>1533</v>
      </c>
      <c r="D569" s="151" t="s">
        <v>1534</v>
      </c>
      <c r="E569" s="151" t="s">
        <v>1535</v>
      </c>
      <c r="F569" s="148"/>
      <c r="G569" s="151" t="s">
        <v>1536</v>
      </c>
      <c r="H569" s="151" t="s">
        <v>1537</v>
      </c>
      <c r="I569" s="151" t="s">
        <v>1538</v>
      </c>
      <c r="J569" s="151" t="s">
        <v>1539</v>
      </c>
      <c r="K569" s="151" t="s">
        <v>1540</v>
      </c>
      <c r="L569" s="151" t="s">
        <v>1525</v>
      </c>
      <c r="M569" s="151" t="s">
        <v>1541</v>
      </c>
      <c r="N569" s="151" t="s">
        <v>1542</v>
      </c>
      <c r="O569" s="151" t="s">
        <v>1543</v>
      </c>
      <c r="P569" s="151" t="s">
        <v>1544</v>
      </c>
      <c r="Q569" s="151" t="s">
        <v>1545</v>
      </c>
      <c r="R569" s="151" t="s">
        <v>1546</v>
      </c>
      <c r="S569" s="151" t="s">
        <v>1547</v>
      </c>
      <c r="T569" s="151" t="s">
        <v>1548</v>
      </c>
      <c r="U569" s="151" t="s">
        <v>1549</v>
      </c>
      <c r="V569" s="151" t="s">
        <v>1550</v>
      </c>
      <c r="W569" s="151" t="s">
        <v>1551</v>
      </c>
      <c r="X569" s="151" t="s">
        <v>1552</v>
      </c>
      <c r="Y569" s="151" t="s">
        <v>1553</v>
      </c>
      <c r="Z569" s="151" t="s">
        <v>1554</v>
      </c>
      <c r="AA569" s="151" t="s">
        <v>1555</v>
      </c>
      <c r="AB569" s="151"/>
      <c r="AC569" s="151" t="s">
        <v>1556</v>
      </c>
      <c r="AD569" s="151" t="s">
        <v>1557</v>
      </c>
      <c r="AE569" s="151" t="s">
        <v>1558</v>
      </c>
      <c r="AF569" s="151" t="s">
        <v>1559</v>
      </c>
      <c r="AG569" s="151" t="s">
        <v>1560</v>
      </c>
      <c r="AH569" s="151" t="s">
        <v>1561</v>
      </c>
      <c r="AI569" s="151"/>
      <c r="AJ569" s="148"/>
      <c r="AK569" s="150">
        <v>25</v>
      </c>
      <c r="AL569" s="144" t="s">
        <v>1300</v>
      </c>
      <c r="AM569" s="150">
        <v>9510</v>
      </c>
      <c r="AN569" s="144" t="s">
        <v>1368</v>
      </c>
    </row>
    <row r="570" spans="1:40" s="42" customFormat="1" ht="15">
      <c r="A570" s="148"/>
      <c r="B570" s="151" t="s">
        <v>1562</v>
      </c>
      <c r="C570" s="151" t="s">
        <v>1563</v>
      </c>
      <c r="D570" s="151" t="s">
        <v>1564</v>
      </c>
      <c r="E570" s="151" t="s">
        <v>1565</v>
      </c>
      <c r="F570" s="148"/>
      <c r="G570" s="151" t="s">
        <v>1566</v>
      </c>
      <c r="H570" s="151" t="s">
        <v>1567</v>
      </c>
      <c r="I570" s="151" t="s">
        <v>1568</v>
      </c>
      <c r="J570" s="151" t="s">
        <v>1569</v>
      </c>
      <c r="K570" s="151" t="s">
        <v>1570</v>
      </c>
      <c r="L570" s="151" t="s">
        <v>1571</v>
      </c>
      <c r="M570" s="151" t="s">
        <v>1572</v>
      </c>
      <c r="N570" s="151" t="s">
        <v>1573</v>
      </c>
      <c r="O570" s="151" t="s">
        <v>1574</v>
      </c>
      <c r="P570" s="151" t="s">
        <v>1575</v>
      </c>
      <c r="Q570" s="151" t="s">
        <v>1576</v>
      </c>
      <c r="R570" s="151" t="s">
        <v>1577</v>
      </c>
      <c r="S570" s="151" t="s">
        <v>1578</v>
      </c>
      <c r="T570" s="151" t="s">
        <v>1579</v>
      </c>
      <c r="U570" s="151" t="s">
        <v>1580</v>
      </c>
      <c r="V570" s="151" t="s">
        <v>1581</v>
      </c>
      <c r="W570" s="151" t="s">
        <v>1582</v>
      </c>
      <c r="X570" s="151" t="s">
        <v>1583</v>
      </c>
      <c r="Y570" s="151" t="s">
        <v>1584</v>
      </c>
      <c r="Z570" s="151" t="s">
        <v>1585</v>
      </c>
      <c r="AA570" s="151" t="s">
        <v>1586</v>
      </c>
      <c r="AB570" s="151"/>
      <c r="AC570" s="151" t="s">
        <v>1587</v>
      </c>
      <c r="AD570" s="151" t="s">
        <v>1588</v>
      </c>
      <c r="AE570" s="151" t="s">
        <v>1589</v>
      </c>
      <c r="AF570" s="151" t="s">
        <v>1513</v>
      </c>
      <c r="AG570" s="151" t="s">
        <v>1590</v>
      </c>
      <c r="AH570" s="151" t="s">
        <v>1591</v>
      </c>
      <c r="AI570" s="151"/>
      <c r="AJ570" s="148"/>
      <c r="AK570" s="150">
        <v>25</v>
      </c>
      <c r="AL570" s="144" t="s">
        <v>1300</v>
      </c>
      <c r="AM570" s="150">
        <v>9511</v>
      </c>
      <c r="AN570" s="144" t="s">
        <v>1369</v>
      </c>
    </row>
    <row r="571" spans="1:40" s="42" customFormat="1" ht="15">
      <c r="A571" s="148"/>
      <c r="B571" s="151" t="s">
        <v>1592</v>
      </c>
      <c r="C571" s="151" t="s">
        <v>1593</v>
      </c>
      <c r="D571" s="151" t="s">
        <v>1594</v>
      </c>
      <c r="E571" s="151" t="s">
        <v>1595</v>
      </c>
      <c r="F571" s="148"/>
      <c r="G571" s="151" t="s">
        <v>1596</v>
      </c>
      <c r="H571" s="151" t="s">
        <v>1597</v>
      </c>
      <c r="I571" s="151" t="s">
        <v>1598</v>
      </c>
      <c r="J571" s="151" t="s">
        <v>1599</v>
      </c>
      <c r="K571" s="151" t="s">
        <v>1600</v>
      </c>
      <c r="L571" s="151" t="s">
        <v>1601</v>
      </c>
      <c r="M571" s="151" t="s">
        <v>1602</v>
      </c>
      <c r="N571" s="151" t="s">
        <v>1603</v>
      </c>
      <c r="O571" s="151" t="s">
        <v>1604</v>
      </c>
      <c r="P571" s="151" t="s">
        <v>1605</v>
      </c>
      <c r="Q571" s="151" t="s">
        <v>1606</v>
      </c>
      <c r="R571" s="151"/>
      <c r="S571" s="151" t="s">
        <v>1607</v>
      </c>
      <c r="T571" s="151" t="s">
        <v>1608</v>
      </c>
      <c r="U571" s="151" t="s">
        <v>1609</v>
      </c>
      <c r="V571" s="151" t="s">
        <v>1610</v>
      </c>
      <c r="W571" s="151" t="s">
        <v>1611</v>
      </c>
      <c r="X571" s="151" t="s">
        <v>1612</v>
      </c>
      <c r="Y571" s="151" t="s">
        <v>1613</v>
      </c>
      <c r="Z571" s="151" t="s">
        <v>1614</v>
      </c>
      <c r="AA571" s="151" t="s">
        <v>1615</v>
      </c>
      <c r="AB571" s="151"/>
      <c r="AC571" s="151" t="s">
        <v>1616</v>
      </c>
      <c r="AD571" s="151" t="s">
        <v>1617</v>
      </c>
      <c r="AE571" s="151" t="s">
        <v>1618</v>
      </c>
      <c r="AF571" s="151" t="s">
        <v>1571</v>
      </c>
      <c r="AG571" s="151" t="s">
        <v>1619</v>
      </c>
      <c r="AH571" s="148"/>
      <c r="AI571" s="148"/>
      <c r="AJ571" s="148"/>
      <c r="AK571" s="150">
        <v>25</v>
      </c>
      <c r="AL571" s="144" t="s">
        <v>1300</v>
      </c>
      <c r="AM571" s="150">
        <v>9512</v>
      </c>
      <c r="AN571" s="144" t="s">
        <v>1370</v>
      </c>
    </row>
    <row r="572" spans="1:40" s="42" customFormat="1" ht="15">
      <c r="A572" s="148"/>
      <c r="B572" s="151" t="s">
        <v>1620</v>
      </c>
      <c r="C572" s="151" t="s">
        <v>1621</v>
      </c>
      <c r="D572" s="151" t="s">
        <v>1622</v>
      </c>
      <c r="E572" s="151" t="s">
        <v>1623</v>
      </c>
      <c r="F572" s="148"/>
      <c r="G572" s="151" t="s">
        <v>1624</v>
      </c>
      <c r="H572" s="151" t="s">
        <v>1625</v>
      </c>
      <c r="I572" s="151" t="s">
        <v>1626</v>
      </c>
      <c r="J572" s="151" t="s">
        <v>1627</v>
      </c>
      <c r="K572" s="151" t="s">
        <v>1628</v>
      </c>
      <c r="L572" s="151" t="s">
        <v>1629</v>
      </c>
      <c r="M572" s="151" t="s">
        <v>1630</v>
      </c>
      <c r="N572" s="151" t="s">
        <v>1631</v>
      </c>
      <c r="O572" s="151" t="s">
        <v>1632</v>
      </c>
      <c r="P572" s="151" t="s">
        <v>1633</v>
      </c>
      <c r="Q572" s="151" t="s">
        <v>1634</v>
      </c>
      <c r="R572" s="151"/>
      <c r="S572" s="151" t="s">
        <v>1635</v>
      </c>
      <c r="T572" s="151" t="s">
        <v>1636</v>
      </c>
      <c r="U572" s="151" t="s">
        <v>1637</v>
      </c>
      <c r="V572" s="151" t="s">
        <v>1638</v>
      </c>
      <c r="W572" s="151" t="s">
        <v>1567</v>
      </c>
      <c r="X572" s="151" t="s">
        <v>1639</v>
      </c>
      <c r="Y572" s="151" t="s">
        <v>1640</v>
      </c>
      <c r="Z572" s="151" t="s">
        <v>1641</v>
      </c>
      <c r="AA572" s="151" t="s">
        <v>1642</v>
      </c>
      <c r="AB572" s="151"/>
      <c r="AC572" s="151" t="s">
        <v>1643</v>
      </c>
      <c r="AD572" s="151" t="s">
        <v>1644</v>
      </c>
      <c r="AE572" s="151" t="s">
        <v>1645</v>
      </c>
      <c r="AF572" s="151" t="s">
        <v>1646</v>
      </c>
      <c r="AG572" s="151" t="s">
        <v>1647</v>
      </c>
      <c r="AH572" s="148"/>
      <c r="AI572" s="148"/>
      <c r="AJ572" s="148"/>
      <c r="AK572" s="150">
        <v>25</v>
      </c>
      <c r="AL572" s="144" t="s">
        <v>1300</v>
      </c>
      <c r="AM572" s="150">
        <v>9513</v>
      </c>
      <c r="AN572" s="144" t="s">
        <v>1371</v>
      </c>
    </row>
    <row r="573" spans="1:40" s="42" customFormat="1" ht="15">
      <c r="A573" s="148"/>
      <c r="B573" s="151" t="s">
        <v>1648</v>
      </c>
      <c r="C573" s="151" t="s">
        <v>1649</v>
      </c>
      <c r="D573" s="151" t="s">
        <v>1650</v>
      </c>
      <c r="E573" s="151" t="s">
        <v>1651</v>
      </c>
      <c r="F573" s="148"/>
      <c r="G573" s="151" t="s">
        <v>1488</v>
      </c>
      <c r="H573" s="151" t="s">
        <v>1652</v>
      </c>
      <c r="I573" s="151" t="s">
        <v>1653</v>
      </c>
      <c r="J573" s="151" t="s">
        <v>1654</v>
      </c>
      <c r="K573" s="151" t="s">
        <v>1655</v>
      </c>
      <c r="L573" s="151" t="s">
        <v>1656</v>
      </c>
      <c r="M573" s="151" t="s">
        <v>1657</v>
      </c>
      <c r="N573" s="151" t="s">
        <v>1658</v>
      </c>
      <c r="O573" s="151" t="s">
        <v>1659</v>
      </c>
      <c r="P573" s="151" t="s">
        <v>1660</v>
      </c>
      <c r="Q573" s="151" t="s">
        <v>1661</v>
      </c>
      <c r="R573" s="151"/>
      <c r="S573" s="151" t="s">
        <v>1662</v>
      </c>
      <c r="T573" s="151" t="s">
        <v>1663</v>
      </c>
      <c r="U573" s="151" t="s">
        <v>1664</v>
      </c>
      <c r="V573" s="151" t="s">
        <v>1665</v>
      </c>
      <c r="W573" s="151" t="s">
        <v>1666</v>
      </c>
      <c r="X573" s="151" t="s">
        <v>1667</v>
      </c>
      <c r="Y573" s="151" t="s">
        <v>1668</v>
      </c>
      <c r="Z573" s="151" t="s">
        <v>1669</v>
      </c>
      <c r="AA573" s="151" t="s">
        <v>1670</v>
      </c>
      <c r="AB573" s="151"/>
      <c r="AC573" s="151" t="s">
        <v>1671</v>
      </c>
      <c r="AD573" s="151" t="s">
        <v>1672</v>
      </c>
      <c r="AE573" s="151" t="s">
        <v>1673</v>
      </c>
      <c r="AF573" s="151" t="s">
        <v>1674</v>
      </c>
      <c r="AG573" s="148"/>
      <c r="AH573" s="148"/>
      <c r="AI573" s="148"/>
      <c r="AJ573" s="148"/>
      <c r="AK573" s="150">
        <v>11</v>
      </c>
      <c r="AL573" s="144" t="s">
        <v>1372</v>
      </c>
      <c r="AM573" s="150">
        <v>9209</v>
      </c>
      <c r="AN573" s="144" t="s">
        <v>1373</v>
      </c>
    </row>
    <row r="574" spans="1:40" s="42" customFormat="1" ht="15">
      <c r="A574" s="148"/>
      <c r="B574" s="151" t="s">
        <v>1675</v>
      </c>
      <c r="C574" s="151" t="s">
        <v>1676</v>
      </c>
      <c r="D574" s="151"/>
      <c r="E574" s="151" t="s">
        <v>1677</v>
      </c>
      <c r="F574" s="148"/>
      <c r="G574" s="151" t="s">
        <v>1678</v>
      </c>
      <c r="H574" s="151" t="s">
        <v>1679</v>
      </c>
      <c r="I574" s="151" t="s">
        <v>1680</v>
      </c>
      <c r="J574" s="151" t="s">
        <v>1681</v>
      </c>
      <c r="K574" s="151" t="s">
        <v>1682</v>
      </c>
      <c r="L574" s="151" t="s">
        <v>1683</v>
      </c>
      <c r="M574" s="151" t="s">
        <v>1684</v>
      </c>
      <c r="N574" s="151" t="s">
        <v>1685</v>
      </c>
      <c r="O574" s="151" t="s">
        <v>1686</v>
      </c>
      <c r="P574" s="151" t="s">
        <v>1687</v>
      </c>
      <c r="Q574" s="151" t="s">
        <v>1688</v>
      </c>
      <c r="R574" s="151"/>
      <c r="S574" s="151" t="s">
        <v>1689</v>
      </c>
      <c r="T574" s="151" t="s">
        <v>1690</v>
      </c>
      <c r="U574" s="151" t="s">
        <v>1691</v>
      </c>
      <c r="V574" s="151" t="s">
        <v>1692</v>
      </c>
      <c r="W574" s="151" t="s">
        <v>1693</v>
      </c>
      <c r="X574" s="151" t="s">
        <v>1694</v>
      </c>
      <c r="Y574" s="151" t="s">
        <v>1695</v>
      </c>
      <c r="Z574" s="151" t="s">
        <v>1696</v>
      </c>
      <c r="AA574" s="151" t="s">
        <v>1697</v>
      </c>
      <c r="AB574" s="151"/>
      <c r="AC574" s="151" t="s">
        <v>1571</v>
      </c>
      <c r="AD574" s="151" t="s">
        <v>1698</v>
      </c>
      <c r="AE574" s="151" t="s">
        <v>1699</v>
      </c>
      <c r="AF574" s="151" t="s">
        <v>1700</v>
      </c>
      <c r="AG574" s="148"/>
      <c r="AH574" s="148"/>
      <c r="AI574" s="148"/>
      <c r="AJ574" s="148"/>
      <c r="AK574" s="150">
        <v>11</v>
      </c>
      <c r="AL574" s="144" t="s">
        <v>1372</v>
      </c>
      <c r="AM574" s="150">
        <v>9210</v>
      </c>
      <c r="AN574" s="144" t="s">
        <v>1374</v>
      </c>
    </row>
    <row r="575" spans="1:40" s="42" customFormat="1" ht="15">
      <c r="A575" s="148"/>
      <c r="B575" s="151" t="s">
        <v>1701</v>
      </c>
      <c r="C575" s="151" t="s">
        <v>1702</v>
      </c>
      <c r="D575" s="151"/>
      <c r="E575" s="151" t="s">
        <v>1703</v>
      </c>
      <c r="F575" s="148"/>
      <c r="G575" s="151" t="s">
        <v>1704</v>
      </c>
      <c r="H575" s="151" t="s">
        <v>1705</v>
      </c>
      <c r="I575" s="151" t="s">
        <v>1706</v>
      </c>
      <c r="J575" s="151" t="s">
        <v>1707</v>
      </c>
      <c r="K575" s="151" t="s">
        <v>1708</v>
      </c>
      <c r="L575" s="151" t="s">
        <v>1709</v>
      </c>
      <c r="M575" s="151" t="s">
        <v>1710</v>
      </c>
      <c r="N575" s="151" t="s">
        <v>1711</v>
      </c>
      <c r="O575" s="151" t="s">
        <v>1712</v>
      </c>
      <c r="P575" s="151" t="s">
        <v>1713</v>
      </c>
      <c r="Q575" s="151" t="s">
        <v>1714</v>
      </c>
      <c r="R575" s="151"/>
      <c r="S575" s="151" t="s">
        <v>1715</v>
      </c>
      <c r="T575" s="151" t="s">
        <v>1716</v>
      </c>
      <c r="U575" s="151" t="s">
        <v>1717</v>
      </c>
      <c r="V575" s="151" t="s">
        <v>1718</v>
      </c>
      <c r="W575" s="151" t="s">
        <v>1494</v>
      </c>
      <c r="X575" s="151" t="s">
        <v>1719</v>
      </c>
      <c r="Y575" s="151" t="s">
        <v>1720</v>
      </c>
      <c r="Z575" s="151" t="s">
        <v>1721</v>
      </c>
      <c r="AA575" s="151" t="s">
        <v>1722</v>
      </c>
      <c r="AB575" s="151"/>
      <c r="AC575" s="151" t="s">
        <v>1723</v>
      </c>
      <c r="AD575" s="151" t="s">
        <v>1724</v>
      </c>
      <c r="AE575" s="151" t="s">
        <v>1725</v>
      </c>
      <c r="AF575" s="151" t="s">
        <v>1726</v>
      </c>
      <c r="AG575" s="148"/>
      <c r="AH575" s="148"/>
      <c r="AI575" s="148"/>
      <c r="AJ575" s="148"/>
      <c r="AK575" s="150">
        <v>11</v>
      </c>
      <c r="AL575" s="144" t="s">
        <v>1372</v>
      </c>
      <c r="AM575" s="150">
        <v>9211</v>
      </c>
      <c r="AN575" s="144" t="s">
        <v>1375</v>
      </c>
    </row>
    <row r="576" spans="1:40" s="42" customFormat="1" ht="15">
      <c r="A576" s="148"/>
      <c r="B576" s="151" t="s">
        <v>1727</v>
      </c>
      <c r="C576" s="151" t="s">
        <v>1728</v>
      </c>
      <c r="D576" s="151"/>
      <c r="E576" s="151" t="s">
        <v>1729</v>
      </c>
      <c r="F576" s="148"/>
      <c r="G576" s="151" t="s">
        <v>1730</v>
      </c>
      <c r="H576" s="151" t="s">
        <v>1499</v>
      </c>
      <c r="I576" s="151" t="s">
        <v>1731</v>
      </c>
      <c r="J576" s="151" t="s">
        <v>1732</v>
      </c>
      <c r="K576" s="151" t="s">
        <v>1733</v>
      </c>
      <c r="L576" s="151" t="s">
        <v>1734</v>
      </c>
      <c r="M576" s="151" t="s">
        <v>1735</v>
      </c>
      <c r="N576" s="151" t="s">
        <v>1736</v>
      </c>
      <c r="O576" s="151" t="s">
        <v>1737</v>
      </c>
      <c r="P576" s="151" t="s">
        <v>1738</v>
      </c>
      <c r="Q576" s="153"/>
      <c r="R576" s="153"/>
      <c r="S576" s="151" t="s">
        <v>1739</v>
      </c>
      <c r="T576" s="151" t="s">
        <v>1740</v>
      </c>
      <c r="U576" s="151" t="s">
        <v>1741</v>
      </c>
      <c r="V576" s="151" t="s">
        <v>1742</v>
      </c>
      <c r="W576" s="151" t="s">
        <v>1743</v>
      </c>
      <c r="X576" s="151" t="s">
        <v>1744</v>
      </c>
      <c r="Y576" s="151" t="s">
        <v>1745</v>
      </c>
      <c r="Z576" s="151" t="s">
        <v>1746</v>
      </c>
      <c r="AA576" s="151" t="s">
        <v>1747</v>
      </c>
      <c r="AB576" s="151"/>
      <c r="AC576" s="151" t="s">
        <v>1738</v>
      </c>
      <c r="AD576" s="151" t="s">
        <v>1748</v>
      </c>
      <c r="AE576" s="151" t="s">
        <v>1749</v>
      </c>
      <c r="AF576" s="151" t="s">
        <v>1750</v>
      </c>
      <c r="AG576" s="148"/>
      <c r="AH576" s="148"/>
      <c r="AI576" s="148"/>
      <c r="AJ576" s="148"/>
      <c r="AK576" s="150">
        <v>11</v>
      </c>
      <c r="AL576" s="144" t="s">
        <v>1372</v>
      </c>
      <c r="AM576" s="150">
        <v>9212</v>
      </c>
      <c r="AN576" s="144" t="s">
        <v>1376</v>
      </c>
    </row>
    <row r="577" spans="1:40" s="42" customFormat="1" ht="15">
      <c r="A577" s="148"/>
      <c r="B577" s="151" t="s">
        <v>1751</v>
      </c>
      <c r="C577" s="151" t="s">
        <v>1752</v>
      </c>
      <c r="D577" s="151"/>
      <c r="E577" s="151" t="s">
        <v>1753</v>
      </c>
      <c r="F577" s="148"/>
      <c r="G577" s="151" t="s">
        <v>1754</v>
      </c>
      <c r="H577" s="151" t="s">
        <v>1755</v>
      </c>
      <c r="I577" s="151" t="s">
        <v>1756</v>
      </c>
      <c r="J577" s="151" t="s">
        <v>1757</v>
      </c>
      <c r="K577" s="151" t="s">
        <v>1758</v>
      </c>
      <c r="L577" s="151" t="s">
        <v>1654</v>
      </c>
      <c r="M577" s="151" t="s">
        <v>1759</v>
      </c>
      <c r="N577" s="151" t="s">
        <v>1760</v>
      </c>
      <c r="O577" s="151" t="s">
        <v>1761</v>
      </c>
      <c r="P577" s="151" t="s">
        <v>1762</v>
      </c>
      <c r="Q577" s="153"/>
      <c r="R577" s="153"/>
      <c r="S577" s="151" t="s">
        <v>1763</v>
      </c>
      <c r="T577" s="151" t="s">
        <v>1764</v>
      </c>
      <c r="U577" s="151" t="s">
        <v>1765</v>
      </c>
      <c r="V577" s="151" t="s">
        <v>1766</v>
      </c>
      <c r="W577" s="151" t="s">
        <v>1767</v>
      </c>
      <c r="X577" s="151" t="s">
        <v>1768</v>
      </c>
      <c r="Y577" s="151" t="s">
        <v>1769</v>
      </c>
      <c r="Z577" s="151" t="s">
        <v>1770</v>
      </c>
      <c r="AA577" s="151" t="s">
        <v>1771</v>
      </c>
      <c r="AB577" s="151"/>
      <c r="AC577" s="151" t="s">
        <v>1772</v>
      </c>
      <c r="AD577" s="151" t="s">
        <v>1773</v>
      </c>
      <c r="AE577" s="151" t="s">
        <v>1774</v>
      </c>
      <c r="AF577" s="151" t="s">
        <v>1565</v>
      </c>
      <c r="AG577" s="148"/>
      <c r="AH577" s="148"/>
      <c r="AI577" s="148"/>
      <c r="AJ577" s="148"/>
      <c r="AK577" s="150">
        <v>11</v>
      </c>
      <c r="AL577" s="144" t="s">
        <v>1372</v>
      </c>
      <c r="AM577" s="150">
        <v>9213</v>
      </c>
      <c r="AN577" s="144" t="s">
        <v>1377</v>
      </c>
    </row>
    <row r="578" spans="1:40" s="42" customFormat="1" ht="15">
      <c r="A578" s="148"/>
      <c r="B578" s="148"/>
      <c r="C578" s="151" t="s">
        <v>1775</v>
      </c>
      <c r="D578" s="151"/>
      <c r="E578" s="151" t="s">
        <v>1776</v>
      </c>
      <c r="F578" s="148"/>
      <c r="G578" s="151" t="s">
        <v>1614</v>
      </c>
      <c r="H578" s="151" t="s">
        <v>1777</v>
      </c>
      <c r="I578" s="151" t="s">
        <v>1778</v>
      </c>
      <c r="J578" s="151" t="s">
        <v>1779</v>
      </c>
      <c r="K578" s="151" t="s">
        <v>1780</v>
      </c>
      <c r="L578" s="151" t="s">
        <v>1781</v>
      </c>
      <c r="M578" s="151" t="s">
        <v>1782</v>
      </c>
      <c r="N578" s="151" t="s">
        <v>1783</v>
      </c>
      <c r="O578" s="151" t="s">
        <v>1784</v>
      </c>
      <c r="P578" s="151" t="s">
        <v>1785</v>
      </c>
      <c r="Q578" s="153"/>
      <c r="R578" s="153"/>
      <c r="S578" s="151" t="s">
        <v>1786</v>
      </c>
      <c r="T578" s="151" t="s">
        <v>1787</v>
      </c>
      <c r="U578" s="151" t="s">
        <v>1788</v>
      </c>
      <c r="V578" s="151" t="s">
        <v>1788</v>
      </c>
      <c r="W578" s="151" t="s">
        <v>1614</v>
      </c>
      <c r="X578" s="151" t="s">
        <v>1789</v>
      </c>
      <c r="Y578" s="151" t="s">
        <v>1790</v>
      </c>
      <c r="Z578" s="151" t="s">
        <v>1791</v>
      </c>
      <c r="AA578" s="151" t="s">
        <v>1792</v>
      </c>
      <c r="AB578" s="151"/>
      <c r="AC578" s="151" t="s">
        <v>1793</v>
      </c>
      <c r="AD578" s="151" t="s">
        <v>1794</v>
      </c>
      <c r="AE578" s="151" t="s">
        <v>1795</v>
      </c>
      <c r="AF578" s="151" t="s">
        <v>1796</v>
      </c>
      <c r="AG578" s="148"/>
      <c r="AH578" s="148"/>
      <c r="AI578" s="148"/>
      <c r="AJ578" s="148"/>
      <c r="AK578" s="150">
        <v>11</v>
      </c>
      <c r="AL578" s="144" t="s">
        <v>1372</v>
      </c>
      <c r="AM578" s="150">
        <v>9214</v>
      </c>
      <c r="AN578" s="144" t="s">
        <v>1378</v>
      </c>
    </row>
    <row r="579" spans="1:40" s="42" customFormat="1" ht="15">
      <c r="A579" s="148"/>
      <c r="B579" s="148"/>
      <c r="C579" s="151" t="s">
        <v>1513</v>
      </c>
      <c r="D579" s="151"/>
      <c r="E579" s="151" t="s">
        <v>1797</v>
      </c>
      <c r="F579" s="148"/>
      <c r="G579" s="151" t="s">
        <v>1798</v>
      </c>
      <c r="H579" s="151" t="s">
        <v>1799</v>
      </c>
      <c r="I579" s="151" t="s">
        <v>1800</v>
      </c>
      <c r="J579" s="151" t="s">
        <v>1801</v>
      </c>
      <c r="K579" s="151" t="s">
        <v>1802</v>
      </c>
      <c r="L579" s="151" t="s">
        <v>1803</v>
      </c>
      <c r="M579" s="151" t="s">
        <v>1804</v>
      </c>
      <c r="N579" s="151" t="s">
        <v>1805</v>
      </c>
      <c r="O579" s="151" t="s">
        <v>1806</v>
      </c>
      <c r="P579" s="151" t="s">
        <v>1807</v>
      </c>
      <c r="Q579" s="153"/>
      <c r="R579" s="153"/>
      <c r="S579" s="151" t="s">
        <v>1808</v>
      </c>
      <c r="T579" s="151" t="s">
        <v>1809</v>
      </c>
      <c r="U579" s="151" t="s">
        <v>1810</v>
      </c>
      <c r="V579" s="151" t="s">
        <v>1811</v>
      </c>
      <c r="W579" s="151" t="s">
        <v>1812</v>
      </c>
      <c r="X579" s="151" t="s">
        <v>1813</v>
      </c>
      <c r="Y579" s="151" t="s">
        <v>1814</v>
      </c>
      <c r="Z579" s="148"/>
      <c r="AA579" s="151" t="s">
        <v>1815</v>
      </c>
      <c r="AB579" s="151"/>
      <c r="AC579" s="151" t="s">
        <v>1816</v>
      </c>
      <c r="AD579" s="151" t="s">
        <v>1817</v>
      </c>
      <c r="AE579" s="151" t="s">
        <v>1818</v>
      </c>
      <c r="AF579" s="151" t="s">
        <v>1819</v>
      </c>
      <c r="AG579" s="148"/>
      <c r="AH579" s="148"/>
      <c r="AI579" s="148"/>
      <c r="AJ579" s="148"/>
      <c r="AK579" s="150">
        <v>11</v>
      </c>
      <c r="AL579" s="144" t="s">
        <v>1372</v>
      </c>
      <c r="AM579" s="150">
        <v>9215</v>
      </c>
      <c r="AN579" s="144" t="s">
        <v>1379</v>
      </c>
    </row>
    <row r="580" spans="1:40" s="42" customFormat="1" ht="15">
      <c r="A580" s="148"/>
      <c r="B580" s="148"/>
      <c r="C580" s="151" t="s">
        <v>1495</v>
      </c>
      <c r="D580" s="151"/>
      <c r="E580" s="151" t="s">
        <v>1688</v>
      </c>
      <c r="F580" s="148"/>
      <c r="G580" s="151" t="s">
        <v>1820</v>
      </c>
      <c r="H580" s="151" t="s">
        <v>1821</v>
      </c>
      <c r="I580" s="151" t="s">
        <v>1822</v>
      </c>
      <c r="J580" s="151" t="s">
        <v>1823</v>
      </c>
      <c r="K580" s="151" t="s">
        <v>1824</v>
      </c>
      <c r="L580" s="151" t="s">
        <v>1825</v>
      </c>
      <c r="M580" s="151" t="s">
        <v>1826</v>
      </c>
      <c r="N580" s="151" t="s">
        <v>1827</v>
      </c>
      <c r="O580" s="151" t="s">
        <v>1828</v>
      </c>
      <c r="P580" s="151" t="s">
        <v>1829</v>
      </c>
      <c r="Q580" s="153"/>
      <c r="R580" s="153"/>
      <c r="S580" s="151" t="s">
        <v>1830</v>
      </c>
      <c r="T580" s="151" t="s">
        <v>1831</v>
      </c>
      <c r="U580" s="151" t="s">
        <v>1832</v>
      </c>
      <c r="V580" s="151" t="s">
        <v>1833</v>
      </c>
      <c r="W580" s="151" t="s">
        <v>1834</v>
      </c>
      <c r="X580" s="151" t="s">
        <v>1835</v>
      </c>
      <c r="Y580" s="151"/>
      <c r="Z580" s="148"/>
      <c r="AA580" s="151" t="s">
        <v>1836</v>
      </c>
      <c r="AB580" s="151"/>
      <c r="AC580" s="151" t="s">
        <v>1837</v>
      </c>
      <c r="AD580" s="151" t="s">
        <v>1838</v>
      </c>
      <c r="AE580" s="151" t="s">
        <v>1839</v>
      </c>
      <c r="AF580" s="151" t="s">
        <v>1840</v>
      </c>
      <c r="AG580" s="148"/>
      <c r="AH580" s="148"/>
      <c r="AI580" s="148"/>
      <c r="AJ580" s="148"/>
      <c r="AK580" s="150">
        <v>11</v>
      </c>
      <c r="AL580" s="144" t="s">
        <v>1372</v>
      </c>
      <c r="AM580" s="150">
        <v>9216</v>
      </c>
      <c r="AN580" s="144" t="s">
        <v>1380</v>
      </c>
    </row>
    <row r="581" spans="1:40" s="42" customFormat="1" ht="15">
      <c r="A581" s="148"/>
      <c r="B581" s="148"/>
      <c r="C581" s="151" t="s">
        <v>1587</v>
      </c>
      <c r="D581" s="151"/>
      <c r="E581" s="151" t="s">
        <v>1841</v>
      </c>
      <c r="F581" s="148"/>
      <c r="G581" s="151" t="s">
        <v>1842</v>
      </c>
      <c r="H581" s="151" t="s">
        <v>1843</v>
      </c>
      <c r="I581" s="151" t="s">
        <v>1844</v>
      </c>
      <c r="J581" s="151" t="s">
        <v>1845</v>
      </c>
      <c r="K581" s="151" t="s">
        <v>1846</v>
      </c>
      <c r="L581" s="151" t="s">
        <v>1847</v>
      </c>
      <c r="M581" s="151" t="s">
        <v>1848</v>
      </c>
      <c r="N581" s="151" t="s">
        <v>1849</v>
      </c>
      <c r="O581" s="151" t="s">
        <v>1850</v>
      </c>
      <c r="P581" s="151" t="s">
        <v>1851</v>
      </c>
      <c r="Q581" s="153"/>
      <c r="R581" s="153"/>
      <c r="S581" s="151" t="s">
        <v>1852</v>
      </c>
      <c r="T581" s="151" t="s">
        <v>1853</v>
      </c>
      <c r="U581" s="151" t="s">
        <v>1854</v>
      </c>
      <c r="V581" s="151" t="s">
        <v>1855</v>
      </c>
      <c r="W581" s="151" t="s">
        <v>1856</v>
      </c>
      <c r="X581" s="151" t="s">
        <v>1857</v>
      </c>
      <c r="Y581" s="151"/>
      <c r="Z581" s="148"/>
      <c r="AA581" s="148"/>
      <c r="AB581" s="148"/>
      <c r="AC581" s="151" t="s">
        <v>1858</v>
      </c>
      <c r="AD581" s="151" t="s">
        <v>1859</v>
      </c>
      <c r="AE581" s="151" t="s">
        <v>1860</v>
      </c>
      <c r="AF581" s="151" t="s">
        <v>1861</v>
      </c>
      <c r="AG581" s="148"/>
      <c r="AH581" s="148"/>
      <c r="AI581" s="148"/>
      <c r="AJ581" s="148"/>
      <c r="AK581" s="150">
        <v>11</v>
      </c>
      <c r="AL581" s="144" t="s">
        <v>1372</v>
      </c>
      <c r="AM581" s="150">
        <v>9217</v>
      </c>
      <c r="AN581" s="144" t="s">
        <v>1381</v>
      </c>
    </row>
    <row r="582" spans="1:40" s="42" customFormat="1" ht="15">
      <c r="A582" s="148"/>
      <c r="B582" s="148"/>
      <c r="C582" s="151" t="s">
        <v>1862</v>
      </c>
      <c r="D582" s="151"/>
      <c r="E582" s="151" t="s">
        <v>1863</v>
      </c>
      <c r="F582" s="148"/>
      <c r="G582" s="151" t="s">
        <v>1864</v>
      </c>
      <c r="H582" s="151" t="s">
        <v>1865</v>
      </c>
      <c r="I582" s="151" t="s">
        <v>1866</v>
      </c>
      <c r="J582" s="151" t="s">
        <v>1867</v>
      </c>
      <c r="K582" s="151" t="s">
        <v>1868</v>
      </c>
      <c r="L582" s="151" t="s">
        <v>1869</v>
      </c>
      <c r="M582" s="151" t="s">
        <v>1870</v>
      </c>
      <c r="N582" s="151" t="s">
        <v>1871</v>
      </c>
      <c r="O582" s="151" t="s">
        <v>1872</v>
      </c>
      <c r="P582" s="151" t="s">
        <v>1873</v>
      </c>
      <c r="Q582" s="153"/>
      <c r="R582" s="153"/>
      <c r="S582" s="151" t="s">
        <v>1874</v>
      </c>
      <c r="T582" s="148"/>
      <c r="U582" s="151" t="s">
        <v>1875</v>
      </c>
      <c r="V582" s="151" t="s">
        <v>1876</v>
      </c>
      <c r="W582" s="151" t="s">
        <v>1877</v>
      </c>
      <c r="X582" s="151" t="s">
        <v>1878</v>
      </c>
      <c r="Y582" s="151"/>
      <c r="Z582" s="148"/>
      <c r="AA582" s="148"/>
      <c r="AB582" s="148"/>
      <c r="AC582" s="151" t="s">
        <v>1879</v>
      </c>
      <c r="AD582" s="151" t="s">
        <v>1880</v>
      </c>
      <c r="AE582" s="151" t="s">
        <v>1881</v>
      </c>
      <c r="AF582" s="151" t="s">
        <v>1882</v>
      </c>
      <c r="AG582" s="148"/>
      <c r="AH582" s="148"/>
      <c r="AI582" s="148"/>
      <c r="AJ582" s="148"/>
      <c r="AK582" s="150">
        <v>11</v>
      </c>
      <c r="AL582" s="144" t="s">
        <v>1372</v>
      </c>
      <c r="AM582" s="150">
        <v>9303</v>
      </c>
      <c r="AN582" s="144" t="s">
        <v>1382</v>
      </c>
    </row>
    <row r="583" spans="1:40" s="42" customFormat="1" ht="15">
      <c r="A583" s="148"/>
      <c r="B583" s="148"/>
      <c r="C583" s="151" t="s">
        <v>1883</v>
      </c>
      <c r="D583" s="151"/>
      <c r="E583" s="151" t="s">
        <v>1780</v>
      </c>
      <c r="F583" s="148"/>
      <c r="G583" s="151" t="s">
        <v>1884</v>
      </c>
      <c r="H583" s="151" t="s">
        <v>1885</v>
      </c>
      <c r="I583" s="151" t="s">
        <v>1886</v>
      </c>
      <c r="J583" s="148"/>
      <c r="K583" s="151" t="s">
        <v>1887</v>
      </c>
      <c r="L583" s="151" t="s">
        <v>1888</v>
      </c>
      <c r="M583" s="151" t="s">
        <v>1889</v>
      </c>
      <c r="N583" s="151" t="s">
        <v>1890</v>
      </c>
      <c r="O583" s="151" t="s">
        <v>1891</v>
      </c>
      <c r="P583" s="151" t="s">
        <v>1892</v>
      </c>
      <c r="Q583" s="153"/>
      <c r="R583" s="153"/>
      <c r="S583" s="151" t="s">
        <v>1893</v>
      </c>
      <c r="T583" s="148"/>
      <c r="U583" s="151" t="s">
        <v>1894</v>
      </c>
      <c r="V583" s="151" t="s">
        <v>1895</v>
      </c>
      <c r="W583" s="151" t="s">
        <v>1896</v>
      </c>
      <c r="X583" s="151" t="s">
        <v>1897</v>
      </c>
      <c r="Y583" s="151"/>
      <c r="Z583" s="148"/>
      <c r="AA583" s="148"/>
      <c r="AB583" s="148"/>
      <c r="AC583" s="151" t="s">
        <v>1898</v>
      </c>
      <c r="AD583" s="151" t="s">
        <v>1899</v>
      </c>
      <c r="AE583" s="151" t="s">
        <v>1900</v>
      </c>
      <c r="AF583" s="151" t="s">
        <v>1901</v>
      </c>
      <c r="AG583" s="148"/>
      <c r="AH583" s="148"/>
      <c r="AI583" s="148"/>
      <c r="AJ583" s="148"/>
      <c r="AK583" s="150">
        <v>11</v>
      </c>
      <c r="AL583" s="144" t="s">
        <v>1372</v>
      </c>
      <c r="AM583" s="150">
        <v>9403</v>
      </c>
      <c r="AN583" s="144" t="s">
        <v>1383</v>
      </c>
    </row>
    <row r="584" spans="1:40" s="42" customFormat="1" ht="15">
      <c r="A584" s="148"/>
      <c r="B584" s="148"/>
      <c r="C584" s="151" t="s">
        <v>1902</v>
      </c>
      <c r="D584" s="151"/>
      <c r="E584" s="151" t="s">
        <v>1903</v>
      </c>
      <c r="F584" s="148"/>
      <c r="G584" s="151" t="s">
        <v>1904</v>
      </c>
      <c r="H584" s="151" t="s">
        <v>1905</v>
      </c>
      <c r="I584" s="151" t="s">
        <v>1906</v>
      </c>
      <c r="J584" s="148"/>
      <c r="K584" s="151" t="s">
        <v>1853</v>
      </c>
      <c r="L584" s="151" t="s">
        <v>1907</v>
      </c>
      <c r="M584" s="151" t="s">
        <v>1908</v>
      </c>
      <c r="N584" s="151" t="s">
        <v>1909</v>
      </c>
      <c r="O584" s="151" t="s">
        <v>1910</v>
      </c>
      <c r="P584" s="151" t="s">
        <v>1911</v>
      </c>
      <c r="Q584" s="153"/>
      <c r="R584" s="153"/>
      <c r="S584" s="151" t="s">
        <v>1912</v>
      </c>
      <c r="T584" s="148"/>
      <c r="U584" s="151" t="s">
        <v>1913</v>
      </c>
      <c r="V584" s="151" t="s">
        <v>1914</v>
      </c>
      <c r="W584" s="151" t="s">
        <v>1915</v>
      </c>
      <c r="X584" s="151" t="s">
        <v>1916</v>
      </c>
      <c r="Y584" s="151"/>
      <c r="Z584" s="148"/>
      <c r="AA584" s="148"/>
      <c r="AB584" s="148"/>
      <c r="AC584" s="151" t="s">
        <v>1917</v>
      </c>
      <c r="AD584" s="151" t="s">
        <v>1918</v>
      </c>
      <c r="AE584" s="151" t="s">
        <v>1919</v>
      </c>
      <c r="AF584" s="151" t="s">
        <v>1920</v>
      </c>
      <c r="AG584" s="148"/>
      <c r="AH584" s="148"/>
      <c r="AI584" s="148"/>
      <c r="AJ584" s="148"/>
      <c r="AK584" s="150">
        <v>11</v>
      </c>
      <c r="AL584" s="144" t="s">
        <v>1372</v>
      </c>
      <c r="AM584" s="150">
        <v>9404</v>
      </c>
      <c r="AN584" s="144" t="s">
        <v>1384</v>
      </c>
    </row>
    <row r="585" spans="1:40" s="42" customFormat="1" ht="15">
      <c r="A585" s="148"/>
      <c r="B585" s="148"/>
      <c r="C585" s="151" t="s">
        <v>1671</v>
      </c>
      <c r="D585" s="151"/>
      <c r="E585" s="151" t="s">
        <v>1921</v>
      </c>
      <c r="F585" s="148"/>
      <c r="G585" s="151" t="s">
        <v>1922</v>
      </c>
      <c r="H585" s="151" t="s">
        <v>1923</v>
      </c>
      <c r="I585" s="151" t="s">
        <v>1924</v>
      </c>
      <c r="J585" s="148"/>
      <c r="K585" s="151" t="s">
        <v>1925</v>
      </c>
      <c r="L585" s="151" t="s">
        <v>1926</v>
      </c>
      <c r="M585" s="151" t="s">
        <v>1927</v>
      </c>
      <c r="N585" s="151" t="s">
        <v>1928</v>
      </c>
      <c r="O585" s="151" t="s">
        <v>1929</v>
      </c>
      <c r="P585" s="151" t="s">
        <v>1930</v>
      </c>
      <c r="Q585" s="153"/>
      <c r="R585" s="153"/>
      <c r="S585" s="151" t="s">
        <v>1931</v>
      </c>
      <c r="T585" s="148"/>
      <c r="U585" s="151" t="s">
        <v>1932</v>
      </c>
      <c r="V585" s="151" t="s">
        <v>1933</v>
      </c>
      <c r="W585" s="151" t="s">
        <v>1934</v>
      </c>
      <c r="X585" s="151" t="s">
        <v>1935</v>
      </c>
      <c r="Y585" s="151"/>
      <c r="Z585" s="148"/>
      <c r="AA585" s="148"/>
      <c r="AB585" s="148"/>
      <c r="AC585" s="151" t="s">
        <v>1936</v>
      </c>
      <c r="AD585" s="151" t="s">
        <v>1937</v>
      </c>
      <c r="AE585" s="151" t="s">
        <v>1938</v>
      </c>
      <c r="AF585" s="151" t="s">
        <v>1939</v>
      </c>
      <c r="AG585" s="148"/>
      <c r="AH585" s="148"/>
      <c r="AI585" s="148"/>
      <c r="AJ585" s="148"/>
      <c r="AK585" s="150">
        <v>11</v>
      </c>
      <c r="AL585" s="144" t="s">
        <v>1372</v>
      </c>
      <c r="AM585" s="150">
        <v>9405</v>
      </c>
      <c r="AN585" s="144" t="s">
        <v>1385</v>
      </c>
    </row>
    <row r="586" spans="1:40" s="42" customFormat="1" ht="15">
      <c r="A586" s="148"/>
      <c r="B586" s="148"/>
      <c r="C586" s="151" t="s">
        <v>1705</v>
      </c>
      <c r="D586" s="151"/>
      <c r="E586" s="151" t="s">
        <v>1940</v>
      </c>
      <c r="F586" s="148"/>
      <c r="G586" s="151" t="s">
        <v>1941</v>
      </c>
      <c r="H586" s="151" t="s">
        <v>1942</v>
      </c>
      <c r="I586" s="151" t="s">
        <v>1943</v>
      </c>
      <c r="J586" s="148"/>
      <c r="K586" s="148"/>
      <c r="L586" s="151" t="s">
        <v>1944</v>
      </c>
      <c r="M586" s="151" t="s">
        <v>1945</v>
      </c>
      <c r="N586" s="151" t="s">
        <v>1946</v>
      </c>
      <c r="O586" s="151" t="s">
        <v>1947</v>
      </c>
      <c r="P586" s="151" t="s">
        <v>1948</v>
      </c>
      <c r="Q586" s="153"/>
      <c r="R586" s="153"/>
      <c r="S586" s="151" t="s">
        <v>1949</v>
      </c>
      <c r="T586" s="148"/>
      <c r="U586" s="151" t="s">
        <v>1950</v>
      </c>
      <c r="V586" s="151" t="s">
        <v>1951</v>
      </c>
      <c r="W586" s="151" t="s">
        <v>1734</v>
      </c>
      <c r="X586" s="151" t="s">
        <v>1952</v>
      </c>
      <c r="Y586" s="151"/>
      <c r="Z586" s="148"/>
      <c r="AA586" s="148"/>
      <c r="AB586" s="148"/>
      <c r="AC586" s="151" t="s">
        <v>1953</v>
      </c>
      <c r="AD586" s="151" t="s">
        <v>1954</v>
      </c>
      <c r="AE586" s="151" t="s">
        <v>1955</v>
      </c>
      <c r="AF586" s="151" t="s">
        <v>1956</v>
      </c>
      <c r="AG586" s="148"/>
      <c r="AH586" s="148"/>
      <c r="AI586" s="148"/>
      <c r="AJ586" s="148"/>
      <c r="AK586" s="150">
        <v>11</v>
      </c>
      <c r="AL586" s="144" t="s">
        <v>1372</v>
      </c>
      <c r="AM586" s="150">
        <v>9406</v>
      </c>
      <c r="AN586" s="144" t="s">
        <v>1386</v>
      </c>
    </row>
    <row r="587" spans="1:40" s="42" customFormat="1" ht="15">
      <c r="A587" s="148"/>
      <c r="B587" s="148"/>
      <c r="C587" s="151" t="s">
        <v>1957</v>
      </c>
      <c r="D587" s="151"/>
      <c r="E587" s="151" t="s">
        <v>1958</v>
      </c>
      <c r="F587" s="148"/>
      <c r="G587" s="151" t="s">
        <v>1959</v>
      </c>
      <c r="H587" s="151" t="s">
        <v>1960</v>
      </c>
      <c r="I587" s="151" t="s">
        <v>1961</v>
      </c>
      <c r="J587" s="148"/>
      <c r="K587" s="148"/>
      <c r="L587" s="151" t="s">
        <v>1962</v>
      </c>
      <c r="M587" s="151" t="s">
        <v>1963</v>
      </c>
      <c r="N587" s="151" t="s">
        <v>1964</v>
      </c>
      <c r="O587" s="151" t="s">
        <v>1965</v>
      </c>
      <c r="P587" s="151" t="s">
        <v>1966</v>
      </c>
      <c r="Q587" s="153"/>
      <c r="R587" s="153"/>
      <c r="S587" s="151" t="s">
        <v>1967</v>
      </c>
      <c r="T587" s="148"/>
      <c r="U587" s="151" t="s">
        <v>1961</v>
      </c>
      <c r="V587" s="151" t="s">
        <v>1757</v>
      </c>
      <c r="W587" s="151" t="s">
        <v>1968</v>
      </c>
      <c r="X587" s="151" t="s">
        <v>1969</v>
      </c>
      <c r="Y587" s="151"/>
      <c r="Z587" s="148"/>
      <c r="AA587" s="148"/>
      <c r="AB587" s="148"/>
      <c r="AC587" s="151" t="s">
        <v>1970</v>
      </c>
      <c r="AD587" s="151" t="s">
        <v>1971</v>
      </c>
      <c r="AE587" s="151" t="s">
        <v>1972</v>
      </c>
      <c r="AF587" s="151" t="s">
        <v>1973</v>
      </c>
      <c r="AG587" s="148"/>
      <c r="AH587" s="148"/>
      <c r="AI587" s="148"/>
      <c r="AJ587" s="148"/>
      <c r="AK587" s="150">
        <v>11</v>
      </c>
      <c r="AL587" s="144" t="s">
        <v>1372</v>
      </c>
      <c r="AM587" s="150">
        <v>9508</v>
      </c>
      <c r="AN587" s="145" t="s">
        <v>1387</v>
      </c>
    </row>
    <row r="588" spans="1:40" s="42" customFormat="1" ht="15">
      <c r="A588" s="148"/>
      <c r="B588" s="148"/>
      <c r="C588" s="151" t="s">
        <v>1974</v>
      </c>
      <c r="D588" s="151"/>
      <c r="E588" s="151" t="s">
        <v>1975</v>
      </c>
      <c r="F588" s="148"/>
      <c r="G588" s="151" t="s">
        <v>1976</v>
      </c>
      <c r="H588" s="151" t="s">
        <v>1977</v>
      </c>
      <c r="I588" s="151" t="s">
        <v>1978</v>
      </c>
      <c r="J588" s="148"/>
      <c r="K588" s="148"/>
      <c r="L588" s="151" t="s">
        <v>1979</v>
      </c>
      <c r="M588" s="151" t="s">
        <v>1980</v>
      </c>
      <c r="N588" s="151" t="s">
        <v>1981</v>
      </c>
      <c r="O588" s="151" t="s">
        <v>1982</v>
      </c>
      <c r="P588" s="151" t="s">
        <v>1983</v>
      </c>
      <c r="Q588" s="153"/>
      <c r="R588" s="153"/>
      <c r="S588" s="151" t="s">
        <v>1984</v>
      </c>
      <c r="T588" s="148"/>
      <c r="U588" s="151" t="s">
        <v>1985</v>
      </c>
      <c r="V588" s="151" t="s">
        <v>1986</v>
      </c>
      <c r="W588" s="151" t="s">
        <v>1987</v>
      </c>
      <c r="X588" s="151" t="s">
        <v>1988</v>
      </c>
      <c r="Y588" s="151"/>
      <c r="Z588" s="148"/>
      <c r="AA588" s="148"/>
      <c r="AB588" s="148"/>
      <c r="AC588" s="151" t="s">
        <v>1989</v>
      </c>
      <c r="AD588" s="151" t="s">
        <v>1990</v>
      </c>
      <c r="AE588" s="151" t="s">
        <v>1991</v>
      </c>
      <c r="AF588" s="151" t="s">
        <v>1992</v>
      </c>
      <c r="AG588" s="148"/>
      <c r="AH588" s="148"/>
      <c r="AI588" s="148"/>
      <c r="AJ588" s="148"/>
      <c r="AK588" s="154">
        <v>11</v>
      </c>
      <c r="AL588" s="147" t="s">
        <v>1372</v>
      </c>
      <c r="AM588" s="154"/>
      <c r="AN588" s="146" t="s">
        <v>1388</v>
      </c>
    </row>
    <row r="589" spans="1:40" s="42" customFormat="1" ht="15">
      <c r="A589" s="148"/>
      <c r="B589" s="148"/>
      <c r="C589" s="151" t="s">
        <v>1993</v>
      </c>
      <c r="D589" s="151"/>
      <c r="E589" s="151" t="s">
        <v>1994</v>
      </c>
      <c r="F589" s="148"/>
      <c r="G589" s="151" t="s">
        <v>1962</v>
      </c>
      <c r="H589" s="151" t="s">
        <v>1995</v>
      </c>
      <c r="I589" s="151" t="s">
        <v>1996</v>
      </c>
      <c r="J589" s="148"/>
      <c r="K589" s="148"/>
      <c r="L589" s="151" t="s">
        <v>1997</v>
      </c>
      <c r="M589" s="151" t="s">
        <v>1998</v>
      </c>
      <c r="N589" s="151" t="s">
        <v>1999</v>
      </c>
      <c r="O589" s="151" t="s">
        <v>2000</v>
      </c>
      <c r="P589" s="151" t="s">
        <v>2001</v>
      </c>
      <c r="Q589" s="153"/>
      <c r="R589" s="153"/>
      <c r="S589" s="151" t="s">
        <v>1886</v>
      </c>
      <c r="T589" s="148"/>
      <c r="U589" s="151" t="s">
        <v>2002</v>
      </c>
      <c r="V589" s="151" t="s">
        <v>2003</v>
      </c>
      <c r="W589" s="151" t="s">
        <v>2004</v>
      </c>
      <c r="X589" s="151" t="s">
        <v>2005</v>
      </c>
      <c r="Y589" s="151"/>
      <c r="Z589" s="148"/>
      <c r="AA589" s="148"/>
      <c r="AB589" s="148"/>
      <c r="AC589" s="151" t="s">
        <v>2006</v>
      </c>
      <c r="AD589" s="151" t="s">
        <v>2007</v>
      </c>
      <c r="AE589" s="151" t="s">
        <v>2008</v>
      </c>
      <c r="AF589" s="151" t="s">
        <v>2009</v>
      </c>
      <c r="AG589" s="148"/>
      <c r="AH589" s="148"/>
      <c r="AI589" s="148"/>
      <c r="AJ589" s="148"/>
      <c r="AK589" s="150">
        <v>94</v>
      </c>
      <c r="AL589" s="144" t="s">
        <v>1302</v>
      </c>
      <c r="AM589" s="150">
        <v>9547</v>
      </c>
      <c r="AN589" s="144" t="s">
        <v>1389</v>
      </c>
    </row>
    <row r="590" spans="1:40" s="42" customFormat="1" ht="15">
      <c r="A590" s="148"/>
      <c r="B590" s="148"/>
      <c r="C590" s="151" t="s">
        <v>1777</v>
      </c>
      <c r="D590" s="151"/>
      <c r="E590" s="148"/>
      <c r="F590" s="148"/>
      <c r="G590" s="151" t="s">
        <v>2010</v>
      </c>
      <c r="H590" s="151" t="s">
        <v>2011</v>
      </c>
      <c r="I590" s="151" t="s">
        <v>2012</v>
      </c>
      <c r="J590" s="148"/>
      <c r="K590" s="148"/>
      <c r="L590" s="151" t="s">
        <v>2013</v>
      </c>
      <c r="M590" s="151" t="s">
        <v>2014</v>
      </c>
      <c r="N590" s="151" t="s">
        <v>2015</v>
      </c>
      <c r="O590" s="151" t="s">
        <v>2016</v>
      </c>
      <c r="P590" s="151" t="s">
        <v>2017</v>
      </c>
      <c r="Q590" s="153"/>
      <c r="R590" s="153"/>
      <c r="S590" s="151" t="s">
        <v>2018</v>
      </c>
      <c r="T590" s="148"/>
      <c r="U590" s="151" t="s">
        <v>2019</v>
      </c>
      <c r="V590" s="151" t="s">
        <v>2020</v>
      </c>
      <c r="W590" s="151" t="s">
        <v>2021</v>
      </c>
      <c r="X590" s="151" t="s">
        <v>2022</v>
      </c>
      <c r="Y590" s="151"/>
      <c r="Z590" s="148"/>
      <c r="AA590" s="148"/>
      <c r="AB590" s="148"/>
      <c r="AC590" s="151" t="s">
        <v>2023</v>
      </c>
      <c r="AD590" s="151" t="s">
        <v>2024</v>
      </c>
      <c r="AE590" s="151" t="s">
        <v>2025</v>
      </c>
      <c r="AF590" s="151" t="s">
        <v>1748</v>
      </c>
      <c r="AG590" s="148"/>
      <c r="AH590" s="148"/>
      <c r="AI590" s="148"/>
      <c r="AJ590" s="148"/>
      <c r="AK590" s="150">
        <v>44</v>
      </c>
      <c r="AL590" s="144" t="s">
        <v>1303</v>
      </c>
      <c r="AM590" s="150">
        <v>9222</v>
      </c>
      <c r="AN590" s="144" t="s">
        <v>1390</v>
      </c>
    </row>
    <row r="591" spans="1:40" s="42" customFormat="1" ht="15">
      <c r="A591" s="148"/>
      <c r="B591" s="148"/>
      <c r="C591" s="151" t="s">
        <v>2026</v>
      </c>
      <c r="D591" s="151"/>
      <c r="E591" s="148"/>
      <c r="F591" s="148"/>
      <c r="G591" s="151" t="s">
        <v>2027</v>
      </c>
      <c r="H591" s="151" t="s">
        <v>2028</v>
      </c>
      <c r="I591" s="151" t="s">
        <v>2029</v>
      </c>
      <c r="J591" s="148"/>
      <c r="K591" s="148"/>
      <c r="L591" s="151" t="s">
        <v>2030</v>
      </c>
      <c r="M591" s="151" t="s">
        <v>2031</v>
      </c>
      <c r="N591" s="151" t="s">
        <v>1924</v>
      </c>
      <c r="O591" s="151" t="s">
        <v>2032</v>
      </c>
      <c r="P591" s="151" t="s">
        <v>1842</v>
      </c>
      <c r="Q591" s="153"/>
      <c r="R591" s="153"/>
      <c r="S591" s="151" t="s">
        <v>2033</v>
      </c>
      <c r="T591" s="148"/>
      <c r="U591" s="151" t="s">
        <v>2034</v>
      </c>
      <c r="V591" s="151" t="s">
        <v>2035</v>
      </c>
      <c r="W591" s="151" t="s">
        <v>2036</v>
      </c>
      <c r="X591" s="151" t="s">
        <v>2037</v>
      </c>
      <c r="Y591" s="151"/>
      <c r="Z591" s="148"/>
      <c r="AA591" s="148"/>
      <c r="AB591" s="148"/>
      <c r="AC591" s="151" t="s">
        <v>2038</v>
      </c>
      <c r="AD591" s="151" t="s">
        <v>2039</v>
      </c>
      <c r="AE591" s="151" t="s">
        <v>2040</v>
      </c>
      <c r="AF591" s="151" t="s">
        <v>1562</v>
      </c>
      <c r="AG591" s="148"/>
      <c r="AH591" s="148"/>
      <c r="AI591" s="148"/>
      <c r="AJ591" s="148"/>
      <c r="AK591" s="150">
        <v>44</v>
      </c>
      <c r="AL591" s="144" t="s">
        <v>1303</v>
      </c>
      <c r="AM591" s="150">
        <v>9524</v>
      </c>
      <c r="AN591" s="144" t="s">
        <v>1391</v>
      </c>
    </row>
    <row r="592" spans="1:40" s="42" customFormat="1" ht="15">
      <c r="A592" s="148"/>
      <c r="B592" s="148"/>
      <c r="C592" s="151" t="s">
        <v>2041</v>
      </c>
      <c r="D592" s="151"/>
      <c r="E592" s="148"/>
      <c r="F592" s="148"/>
      <c r="G592" s="151" t="s">
        <v>2042</v>
      </c>
      <c r="H592" s="151" t="s">
        <v>2043</v>
      </c>
      <c r="I592" s="151" t="s">
        <v>2044</v>
      </c>
      <c r="J592" s="148"/>
      <c r="K592" s="148"/>
      <c r="L592" s="151" t="s">
        <v>2045</v>
      </c>
      <c r="M592" s="148"/>
      <c r="N592" s="151" t="s">
        <v>2046</v>
      </c>
      <c r="O592" s="151" t="s">
        <v>2047</v>
      </c>
      <c r="P592" s="151" t="s">
        <v>2048</v>
      </c>
      <c r="Q592" s="153"/>
      <c r="R592" s="153"/>
      <c r="S592" s="151" t="s">
        <v>2049</v>
      </c>
      <c r="T592" s="148"/>
      <c r="U592" s="151" t="s">
        <v>2050</v>
      </c>
      <c r="V592" s="151" t="s">
        <v>1998</v>
      </c>
      <c r="W592" s="151" t="s">
        <v>2051</v>
      </c>
      <c r="X592" s="151" t="s">
        <v>2052</v>
      </c>
      <c r="Y592" s="151"/>
      <c r="Z592" s="148"/>
      <c r="AA592" s="148"/>
      <c r="AB592" s="148"/>
      <c r="AC592" s="151" t="s">
        <v>2053</v>
      </c>
      <c r="AD592" s="151" t="s">
        <v>2054</v>
      </c>
      <c r="AE592" s="151" t="s">
        <v>2055</v>
      </c>
      <c r="AF592" s="151" t="s">
        <v>2056</v>
      </c>
      <c r="AG592" s="148"/>
      <c r="AH592" s="148"/>
      <c r="AI592" s="148"/>
      <c r="AJ592" s="148"/>
      <c r="AK592" s="150">
        <v>95</v>
      </c>
      <c r="AL592" s="144" t="s">
        <v>1304</v>
      </c>
      <c r="AM592" s="150">
        <v>9533</v>
      </c>
      <c r="AN592" s="144" t="s">
        <v>1392</v>
      </c>
    </row>
    <row r="593" spans="1:40" s="42" customFormat="1" ht="15">
      <c r="A593" s="148"/>
      <c r="B593" s="148"/>
      <c r="C593" s="151" t="s">
        <v>2057</v>
      </c>
      <c r="D593" s="151"/>
      <c r="E593" s="148"/>
      <c r="F593" s="148"/>
      <c r="G593" s="151" t="s">
        <v>2058</v>
      </c>
      <c r="H593" s="151" t="s">
        <v>2059</v>
      </c>
      <c r="I593" s="151" t="s">
        <v>2060</v>
      </c>
      <c r="J593" s="148"/>
      <c r="K593" s="148"/>
      <c r="L593" s="151" t="s">
        <v>2061</v>
      </c>
      <c r="M593" s="148"/>
      <c r="N593" s="151" t="s">
        <v>2062</v>
      </c>
      <c r="O593" s="151" t="s">
        <v>2063</v>
      </c>
      <c r="P593" s="151" t="s">
        <v>2064</v>
      </c>
      <c r="Q593" s="153"/>
      <c r="R593" s="153"/>
      <c r="S593" s="151" t="s">
        <v>2065</v>
      </c>
      <c r="T593" s="148"/>
      <c r="U593" s="151" t="s">
        <v>2066</v>
      </c>
      <c r="V593" s="151" t="s">
        <v>2067</v>
      </c>
      <c r="W593" s="151" t="s">
        <v>2068</v>
      </c>
      <c r="X593" s="151" t="s">
        <v>2069</v>
      </c>
      <c r="Y593" s="151"/>
      <c r="Z593" s="148"/>
      <c r="AA593" s="148"/>
      <c r="AB593" s="148"/>
      <c r="AC593" s="151" t="s">
        <v>2070</v>
      </c>
      <c r="AD593" s="148"/>
      <c r="AE593" s="151" t="s">
        <v>2071</v>
      </c>
      <c r="AF593" s="151" t="s">
        <v>2072</v>
      </c>
      <c r="AG593" s="148"/>
      <c r="AH593" s="148"/>
      <c r="AI593" s="148"/>
      <c r="AJ593" s="148"/>
      <c r="AK593" s="150">
        <v>41</v>
      </c>
      <c r="AL593" s="144" t="s">
        <v>1305</v>
      </c>
      <c r="AM593" s="150">
        <v>9116</v>
      </c>
      <c r="AN593" s="144" t="s">
        <v>1393</v>
      </c>
    </row>
    <row r="594" spans="1:40" s="42" customFormat="1" ht="15">
      <c r="A594" s="148"/>
      <c r="B594" s="148"/>
      <c r="C594" s="151" t="s">
        <v>2073</v>
      </c>
      <c r="D594" s="151"/>
      <c r="E594" s="148"/>
      <c r="F594" s="148"/>
      <c r="G594" s="151" t="s">
        <v>2074</v>
      </c>
      <c r="H594" s="151" t="s">
        <v>2075</v>
      </c>
      <c r="I594" s="148"/>
      <c r="J594" s="148"/>
      <c r="K594" s="148"/>
      <c r="L594" s="151" t="s">
        <v>2076</v>
      </c>
      <c r="M594" s="148"/>
      <c r="N594" s="151" t="s">
        <v>2077</v>
      </c>
      <c r="O594" s="151" t="s">
        <v>2078</v>
      </c>
      <c r="P594" s="151" t="s">
        <v>2079</v>
      </c>
      <c r="Q594" s="153"/>
      <c r="R594" s="153"/>
      <c r="S594" s="151" t="s">
        <v>2080</v>
      </c>
      <c r="T594" s="148"/>
      <c r="U594" s="151" t="s">
        <v>2081</v>
      </c>
      <c r="V594" s="151" t="s">
        <v>2082</v>
      </c>
      <c r="W594" s="151" t="s">
        <v>2083</v>
      </c>
      <c r="X594" s="151" t="s">
        <v>1727</v>
      </c>
      <c r="Y594" s="151"/>
      <c r="Z594" s="148"/>
      <c r="AA594" s="148"/>
      <c r="AB594" s="148"/>
      <c r="AC594" s="151" t="s">
        <v>1842</v>
      </c>
      <c r="AD594" s="148"/>
      <c r="AE594" s="151" t="s">
        <v>2084</v>
      </c>
      <c r="AF594" s="151" t="s">
        <v>2085</v>
      </c>
      <c r="AG594" s="148"/>
      <c r="AH594" s="148"/>
      <c r="AI594" s="148"/>
      <c r="AJ594" s="148"/>
      <c r="AK594" s="150">
        <v>41</v>
      </c>
      <c r="AL594" s="144" t="s">
        <v>1305</v>
      </c>
      <c r="AM594" s="150">
        <v>9525</v>
      </c>
      <c r="AN594" s="144" t="s">
        <v>1394</v>
      </c>
    </row>
    <row r="595" spans="1:40" s="42" customFormat="1" ht="15">
      <c r="A595" s="148"/>
      <c r="B595" s="148"/>
      <c r="C595" s="151" t="s">
        <v>2086</v>
      </c>
      <c r="D595" s="151"/>
      <c r="E595" s="148"/>
      <c r="F595" s="148"/>
      <c r="G595" s="151" t="s">
        <v>2087</v>
      </c>
      <c r="H595" s="151" t="s">
        <v>2088</v>
      </c>
      <c r="I595" s="148"/>
      <c r="J595" s="148"/>
      <c r="K595" s="148"/>
      <c r="L595" s="151" t="s">
        <v>2089</v>
      </c>
      <c r="M595" s="148"/>
      <c r="N595" s="151" t="s">
        <v>2090</v>
      </c>
      <c r="O595" s="151" t="s">
        <v>2091</v>
      </c>
      <c r="P595" s="151" t="s">
        <v>2092</v>
      </c>
      <c r="Q595" s="153"/>
      <c r="R595" s="153"/>
      <c r="S595" s="151" t="s">
        <v>2093</v>
      </c>
      <c r="T595" s="148"/>
      <c r="U595" s="151" t="s">
        <v>2094</v>
      </c>
      <c r="V595" s="151" t="s">
        <v>2095</v>
      </c>
      <c r="W595" s="151" t="s">
        <v>2096</v>
      </c>
      <c r="X595" s="151" t="s">
        <v>2097</v>
      </c>
      <c r="Y595" s="151"/>
      <c r="Z595" s="148"/>
      <c r="AA595" s="148"/>
      <c r="AB595" s="148"/>
      <c r="AC595" s="151" t="s">
        <v>2098</v>
      </c>
      <c r="AD595" s="148"/>
      <c r="AE595" s="151" t="s">
        <v>2099</v>
      </c>
      <c r="AF595" s="151" t="s">
        <v>1986</v>
      </c>
      <c r="AG595" s="148"/>
      <c r="AH595" s="148"/>
      <c r="AI595" s="148"/>
      <c r="AJ595" s="148"/>
      <c r="AK595" s="150">
        <v>41</v>
      </c>
      <c r="AL595" s="144" t="s">
        <v>1305</v>
      </c>
      <c r="AM595" s="150">
        <v>9526</v>
      </c>
      <c r="AN595" s="144" t="s">
        <v>1395</v>
      </c>
    </row>
    <row r="596" spans="1:40" s="42" customFormat="1" ht="15">
      <c r="A596" s="148"/>
      <c r="B596" s="148"/>
      <c r="C596" s="151" t="s">
        <v>2100</v>
      </c>
      <c r="D596" s="151"/>
      <c r="E596" s="148"/>
      <c r="F596" s="148"/>
      <c r="G596" s="151" t="s">
        <v>2101</v>
      </c>
      <c r="H596" s="151" t="s">
        <v>2102</v>
      </c>
      <c r="I596" s="148"/>
      <c r="J596" s="148"/>
      <c r="K596" s="148"/>
      <c r="L596" s="151" t="s">
        <v>2103</v>
      </c>
      <c r="M596" s="148"/>
      <c r="N596" s="151" t="s">
        <v>2104</v>
      </c>
      <c r="O596" s="151" t="s">
        <v>2105</v>
      </c>
      <c r="P596" s="151" t="s">
        <v>2106</v>
      </c>
      <c r="Q596" s="153"/>
      <c r="R596" s="153"/>
      <c r="S596" s="151" t="s">
        <v>2107</v>
      </c>
      <c r="T596" s="148"/>
      <c r="U596" s="151" t="s">
        <v>2108</v>
      </c>
      <c r="V596" s="148"/>
      <c r="W596" s="151" t="s">
        <v>2109</v>
      </c>
      <c r="X596" s="151" t="s">
        <v>2110</v>
      </c>
      <c r="Y596" s="151"/>
      <c r="Z596" s="148"/>
      <c r="AA596" s="148"/>
      <c r="AB596" s="148"/>
      <c r="AC596" s="151" t="s">
        <v>2111</v>
      </c>
      <c r="AD596" s="148"/>
      <c r="AE596" s="151" t="s">
        <v>2112</v>
      </c>
      <c r="AF596" s="151" t="s">
        <v>2113</v>
      </c>
      <c r="AG596" s="148"/>
      <c r="AH596" s="148"/>
      <c r="AI596" s="148"/>
      <c r="AJ596" s="148"/>
      <c r="AK596" s="150">
        <v>41</v>
      </c>
      <c r="AL596" s="144" t="s">
        <v>1305</v>
      </c>
      <c r="AM596" s="150">
        <v>9527</v>
      </c>
      <c r="AN596" s="144" t="s">
        <v>1396</v>
      </c>
    </row>
    <row r="597" spans="1:40" s="42" customFormat="1" ht="15">
      <c r="A597" s="148"/>
      <c r="B597" s="148"/>
      <c r="C597" s="151" t="s">
        <v>2114</v>
      </c>
      <c r="D597" s="151"/>
      <c r="E597" s="148"/>
      <c r="F597" s="148"/>
      <c r="G597" s="151" t="s">
        <v>2115</v>
      </c>
      <c r="H597" s="151" t="s">
        <v>2116</v>
      </c>
      <c r="I597" s="148"/>
      <c r="J597" s="148"/>
      <c r="K597" s="148"/>
      <c r="L597" s="151" t="s">
        <v>2117</v>
      </c>
      <c r="M597" s="148"/>
      <c r="N597" s="148"/>
      <c r="O597" s="148"/>
      <c r="P597" s="151" t="s">
        <v>2118</v>
      </c>
      <c r="Q597" s="148"/>
      <c r="R597" s="148"/>
      <c r="S597" s="151" t="s">
        <v>2119</v>
      </c>
      <c r="T597" s="148"/>
      <c r="U597" s="148"/>
      <c r="V597" s="148"/>
      <c r="W597" s="151" t="s">
        <v>2120</v>
      </c>
      <c r="X597" s="151" t="s">
        <v>2121</v>
      </c>
      <c r="Y597" s="151"/>
      <c r="Z597" s="148"/>
      <c r="AA597" s="148"/>
      <c r="AB597" s="148"/>
      <c r="AC597" s="151" t="s">
        <v>2122</v>
      </c>
      <c r="AD597" s="148"/>
      <c r="AE597" s="151" t="s">
        <v>2123</v>
      </c>
      <c r="AF597" s="151" t="s">
        <v>2124</v>
      </c>
      <c r="AG597" s="148"/>
      <c r="AH597" s="148"/>
      <c r="AI597" s="148"/>
      <c r="AJ597" s="148"/>
      <c r="AK597" s="150">
        <v>41</v>
      </c>
      <c r="AL597" s="144" t="s">
        <v>1305</v>
      </c>
      <c r="AM597" s="150">
        <v>9528</v>
      </c>
      <c r="AN597" s="144" t="s">
        <v>1397</v>
      </c>
    </row>
    <row r="598" spans="1:40" s="42" customFormat="1" ht="15">
      <c r="A598" s="148"/>
      <c r="B598" s="148"/>
      <c r="C598" s="151" t="s">
        <v>2125</v>
      </c>
      <c r="D598" s="151"/>
      <c r="E598" s="148"/>
      <c r="F598" s="148"/>
      <c r="G598" s="151" t="s">
        <v>2126</v>
      </c>
      <c r="H598" s="151" t="s">
        <v>2127</v>
      </c>
      <c r="I598" s="148"/>
      <c r="J598" s="148"/>
      <c r="K598" s="148"/>
      <c r="L598" s="151" t="s">
        <v>2128</v>
      </c>
      <c r="M598" s="148"/>
      <c r="N598" s="148"/>
      <c r="O598" s="148"/>
      <c r="P598" s="151" t="s">
        <v>2129</v>
      </c>
      <c r="Q598" s="148"/>
      <c r="R598" s="148"/>
      <c r="S598" s="151" t="s">
        <v>2130</v>
      </c>
      <c r="T598" s="148"/>
      <c r="U598" s="148"/>
      <c r="V598" s="148"/>
      <c r="W598" s="151" t="s">
        <v>2131</v>
      </c>
      <c r="X598" s="151" t="s">
        <v>2132</v>
      </c>
      <c r="Y598" s="151"/>
      <c r="Z598" s="148"/>
      <c r="AA598" s="148"/>
      <c r="AB598" s="148"/>
      <c r="AC598" s="151" t="s">
        <v>2133</v>
      </c>
      <c r="AD598" s="148"/>
      <c r="AE598" s="151" t="s">
        <v>2134</v>
      </c>
      <c r="AF598" s="151" t="s">
        <v>1990</v>
      </c>
      <c r="AG598" s="148"/>
      <c r="AH598" s="148"/>
      <c r="AI598" s="148"/>
      <c r="AJ598" s="148"/>
      <c r="AK598" s="150">
        <v>47</v>
      </c>
      <c r="AL598" s="144" t="s">
        <v>1306</v>
      </c>
      <c r="AM598" s="150">
        <v>9118</v>
      </c>
      <c r="AN598" s="144" t="s">
        <v>1398</v>
      </c>
    </row>
    <row r="599" spans="1:40" s="42" customFormat="1" ht="15">
      <c r="A599" s="148"/>
      <c r="B599" s="148"/>
      <c r="C599" s="151" t="s">
        <v>2135</v>
      </c>
      <c r="D599" s="151"/>
      <c r="E599" s="148"/>
      <c r="F599" s="148"/>
      <c r="G599" s="151" t="s">
        <v>2136</v>
      </c>
      <c r="H599" s="151" t="s">
        <v>2137</v>
      </c>
      <c r="I599" s="148"/>
      <c r="J599" s="148"/>
      <c r="K599" s="148"/>
      <c r="L599" s="151" t="s">
        <v>2138</v>
      </c>
      <c r="M599" s="148"/>
      <c r="N599" s="148"/>
      <c r="O599" s="148"/>
      <c r="P599" s="151" t="s">
        <v>2139</v>
      </c>
      <c r="Q599" s="148"/>
      <c r="R599" s="148"/>
      <c r="S599" s="151" t="s">
        <v>2140</v>
      </c>
      <c r="T599" s="148"/>
      <c r="U599" s="148"/>
      <c r="V599" s="148"/>
      <c r="W599" s="151" t="s">
        <v>1748</v>
      </c>
      <c r="X599" s="151" t="s">
        <v>1745</v>
      </c>
      <c r="Y599" s="151"/>
      <c r="Z599" s="148"/>
      <c r="AA599" s="148"/>
      <c r="AB599" s="148"/>
      <c r="AC599" s="151" t="s">
        <v>2141</v>
      </c>
      <c r="AD599" s="148"/>
      <c r="AE599" s="151" t="s">
        <v>2142</v>
      </c>
      <c r="AF599" s="151" t="s">
        <v>2143</v>
      </c>
      <c r="AG599" s="148"/>
      <c r="AH599" s="148"/>
      <c r="AI599" s="148"/>
      <c r="AJ599" s="148"/>
      <c r="AK599" s="150">
        <v>47</v>
      </c>
      <c r="AL599" s="144" t="s">
        <v>1306</v>
      </c>
      <c r="AM599" s="150">
        <v>9529</v>
      </c>
      <c r="AN599" s="144" t="s">
        <v>1399</v>
      </c>
    </row>
    <row r="600" spans="1:40" s="42" customFormat="1" ht="15">
      <c r="A600" s="148"/>
      <c r="B600" s="148"/>
      <c r="C600" s="151" t="s">
        <v>2144</v>
      </c>
      <c r="D600" s="151"/>
      <c r="E600" s="148"/>
      <c r="F600" s="148"/>
      <c r="G600" s="151" t="s">
        <v>2145</v>
      </c>
      <c r="H600" s="151" t="s">
        <v>2146</v>
      </c>
      <c r="I600" s="148"/>
      <c r="J600" s="148"/>
      <c r="K600" s="148"/>
      <c r="L600" s="151" t="s">
        <v>2147</v>
      </c>
      <c r="M600" s="148"/>
      <c r="N600" s="148"/>
      <c r="O600" s="148"/>
      <c r="P600" s="151" t="s">
        <v>2148</v>
      </c>
      <c r="Q600" s="148"/>
      <c r="R600" s="148"/>
      <c r="S600" s="151" t="s">
        <v>2149</v>
      </c>
      <c r="T600" s="148"/>
      <c r="U600" s="148"/>
      <c r="V600" s="148"/>
      <c r="W600" s="151" t="s">
        <v>2150</v>
      </c>
      <c r="X600" s="151" t="s">
        <v>2151</v>
      </c>
      <c r="Y600" s="151"/>
      <c r="Z600" s="148"/>
      <c r="AA600" s="148"/>
      <c r="AB600" s="148"/>
      <c r="AC600" s="151" t="s">
        <v>2152</v>
      </c>
      <c r="AD600" s="148"/>
      <c r="AE600" s="151" t="s">
        <v>2153</v>
      </c>
      <c r="AF600" s="151" t="s">
        <v>2154</v>
      </c>
      <c r="AG600" s="148"/>
      <c r="AH600" s="148"/>
      <c r="AI600" s="148"/>
      <c r="AJ600" s="148"/>
      <c r="AK600" s="150">
        <v>50</v>
      </c>
      <c r="AL600" s="144" t="s">
        <v>1307</v>
      </c>
      <c r="AM600" s="150">
        <v>9117</v>
      </c>
      <c r="AN600" s="144" t="s">
        <v>1400</v>
      </c>
    </row>
    <row r="601" spans="1:40" s="42" customFormat="1" ht="15">
      <c r="A601" s="148"/>
      <c r="B601" s="148"/>
      <c r="C601" s="151" t="s">
        <v>2155</v>
      </c>
      <c r="D601" s="151"/>
      <c r="E601" s="148"/>
      <c r="F601" s="148"/>
      <c r="G601" s="151" t="s">
        <v>2156</v>
      </c>
      <c r="H601" s="151" t="s">
        <v>2157</v>
      </c>
      <c r="I601" s="148"/>
      <c r="J601" s="148"/>
      <c r="K601" s="148"/>
      <c r="L601" s="151" t="s">
        <v>2158</v>
      </c>
      <c r="M601" s="148"/>
      <c r="N601" s="148"/>
      <c r="O601" s="148"/>
      <c r="P601" s="151" t="s">
        <v>2159</v>
      </c>
      <c r="Q601" s="148"/>
      <c r="R601" s="148"/>
      <c r="S601" s="151" t="s">
        <v>2160</v>
      </c>
      <c r="T601" s="148"/>
      <c r="U601" s="148"/>
      <c r="V601" s="148"/>
      <c r="W601" s="151" t="s">
        <v>2161</v>
      </c>
      <c r="X601" s="151" t="s">
        <v>2162</v>
      </c>
      <c r="Y601" s="151"/>
      <c r="Z601" s="148"/>
      <c r="AA601" s="148"/>
      <c r="AB601" s="148"/>
      <c r="AC601" s="151" t="s">
        <v>2163</v>
      </c>
      <c r="AD601" s="148"/>
      <c r="AE601" s="151" t="s">
        <v>2164</v>
      </c>
      <c r="AF601" s="151" t="s">
        <v>2165</v>
      </c>
      <c r="AG601" s="148"/>
      <c r="AH601" s="148"/>
      <c r="AI601" s="148"/>
      <c r="AJ601" s="148"/>
      <c r="AK601" s="150">
        <v>50</v>
      </c>
      <c r="AL601" s="144" t="s">
        <v>1307</v>
      </c>
      <c r="AM601" s="150">
        <v>9532</v>
      </c>
      <c r="AN601" s="144" t="s">
        <v>1401</v>
      </c>
    </row>
    <row r="602" spans="1:40" s="42" customFormat="1" ht="15">
      <c r="A602" s="148"/>
      <c r="B602" s="148"/>
      <c r="C602" s="151" t="s">
        <v>1970</v>
      </c>
      <c r="D602" s="151"/>
      <c r="E602" s="148"/>
      <c r="F602" s="148"/>
      <c r="G602" s="151" t="s">
        <v>2166</v>
      </c>
      <c r="H602" s="151" t="s">
        <v>2167</v>
      </c>
      <c r="I602" s="148"/>
      <c r="J602" s="148"/>
      <c r="K602" s="148"/>
      <c r="L602" s="151" t="s">
        <v>2168</v>
      </c>
      <c r="M602" s="148"/>
      <c r="N602" s="148"/>
      <c r="O602" s="148"/>
      <c r="P602" s="151" t="s">
        <v>2169</v>
      </c>
      <c r="Q602" s="148"/>
      <c r="R602" s="148"/>
      <c r="S602" s="151" t="s">
        <v>2170</v>
      </c>
      <c r="T602" s="148"/>
      <c r="U602" s="148"/>
      <c r="V602" s="148"/>
      <c r="W602" s="151" t="s">
        <v>2171</v>
      </c>
      <c r="X602" s="151" t="s">
        <v>2172</v>
      </c>
      <c r="Y602" s="151"/>
      <c r="Z602" s="148"/>
      <c r="AA602" s="148"/>
      <c r="AB602" s="148"/>
      <c r="AC602" s="151" t="s">
        <v>2173</v>
      </c>
      <c r="AD602" s="148"/>
      <c r="AE602" s="151" t="s">
        <v>2174</v>
      </c>
      <c r="AF602" s="151" t="s">
        <v>2175</v>
      </c>
      <c r="AG602" s="148"/>
      <c r="AH602" s="148"/>
      <c r="AI602" s="148"/>
      <c r="AJ602" s="148"/>
      <c r="AK602" s="150">
        <v>52</v>
      </c>
      <c r="AL602" s="144" t="s">
        <v>1308</v>
      </c>
      <c r="AM602" s="150">
        <v>9534</v>
      </c>
      <c r="AN602" s="144" t="s">
        <v>1402</v>
      </c>
    </row>
    <row r="603" spans="1:40" s="42" customFormat="1" ht="15">
      <c r="A603" s="148"/>
      <c r="B603" s="148"/>
      <c r="C603" s="151" t="s">
        <v>1664</v>
      </c>
      <c r="D603" s="151"/>
      <c r="E603" s="148"/>
      <c r="F603" s="148"/>
      <c r="G603" s="151" t="s">
        <v>2128</v>
      </c>
      <c r="H603" s="151" t="s">
        <v>2176</v>
      </c>
      <c r="I603" s="148"/>
      <c r="J603" s="148"/>
      <c r="K603" s="148"/>
      <c r="L603" s="151" t="s">
        <v>2039</v>
      </c>
      <c r="M603" s="148"/>
      <c r="N603" s="148"/>
      <c r="O603" s="148"/>
      <c r="P603" s="151" t="s">
        <v>2177</v>
      </c>
      <c r="Q603" s="148"/>
      <c r="R603" s="148"/>
      <c r="S603" s="151" t="s">
        <v>2178</v>
      </c>
      <c r="T603" s="148"/>
      <c r="U603" s="148"/>
      <c r="V603" s="148"/>
      <c r="W603" s="151" t="s">
        <v>2179</v>
      </c>
      <c r="X603" s="151" t="s">
        <v>2180</v>
      </c>
      <c r="Y603" s="151"/>
      <c r="Z603" s="148"/>
      <c r="AA603" s="148"/>
      <c r="AB603" s="148"/>
      <c r="AC603" s="151" t="s">
        <v>2181</v>
      </c>
      <c r="AD603" s="148"/>
      <c r="AE603" s="151" t="s">
        <v>2182</v>
      </c>
      <c r="AF603" s="151" t="s">
        <v>2183</v>
      </c>
      <c r="AG603" s="148"/>
      <c r="AH603" s="148"/>
      <c r="AI603" s="148"/>
      <c r="AJ603" s="148"/>
      <c r="AK603" s="150">
        <v>52</v>
      </c>
      <c r="AL603" s="144" t="s">
        <v>1308</v>
      </c>
      <c r="AM603" s="150">
        <v>9535</v>
      </c>
      <c r="AN603" s="144" t="s">
        <v>1403</v>
      </c>
    </row>
    <row r="604" spans="1:40" s="42" customFormat="1" ht="15">
      <c r="A604" s="148"/>
      <c r="B604" s="148"/>
      <c r="C604" s="151" t="s">
        <v>2184</v>
      </c>
      <c r="D604" s="151"/>
      <c r="E604" s="148"/>
      <c r="F604" s="148"/>
      <c r="G604" s="151" t="s">
        <v>2185</v>
      </c>
      <c r="H604" s="151" t="s">
        <v>2186</v>
      </c>
      <c r="I604" s="148"/>
      <c r="J604" s="148"/>
      <c r="K604" s="148"/>
      <c r="L604" s="151" t="s">
        <v>2187</v>
      </c>
      <c r="M604" s="148"/>
      <c r="N604" s="148"/>
      <c r="O604" s="148"/>
      <c r="P604" s="151" t="s">
        <v>1766</v>
      </c>
      <c r="Q604" s="148"/>
      <c r="R604" s="148"/>
      <c r="S604" s="148"/>
      <c r="T604" s="148"/>
      <c r="U604" s="148"/>
      <c r="V604" s="148"/>
      <c r="W604" s="151" t="s">
        <v>2188</v>
      </c>
      <c r="X604" s="151" t="s">
        <v>2189</v>
      </c>
      <c r="Y604" s="151"/>
      <c r="Z604" s="148"/>
      <c r="AA604" s="148"/>
      <c r="AB604" s="148"/>
      <c r="AC604" s="151" t="s">
        <v>1786</v>
      </c>
      <c r="AD604" s="148"/>
      <c r="AE604" s="151" t="s">
        <v>2190</v>
      </c>
      <c r="AF604" s="151" t="s">
        <v>2191</v>
      </c>
      <c r="AG604" s="148"/>
      <c r="AH604" s="148"/>
      <c r="AI604" s="148"/>
      <c r="AJ604" s="148"/>
      <c r="AK604" s="150">
        <v>52</v>
      </c>
      <c r="AL604" s="144" t="s">
        <v>1308</v>
      </c>
      <c r="AM604" s="150">
        <v>9536</v>
      </c>
      <c r="AN604" s="144" t="s">
        <v>1404</v>
      </c>
    </row>
    <row r="605" spans="1:40" s="42" customFormat="1" ht="15">
      <c r="A605" s="148"/>
      <c r="B605" s="148"/>
      <c r="C605" s="151" t="s">
        <v>2192</v>
      </c>
      <c r="D605" s="151"/>
      <c r="E605" s="148"/>
      <c r="F605" s="148"/>
      <c r="G605" s="151" t="s">
        <v>2193</v>
      </c>
      <c r="H605" s="151" t="s">
        <v>2194</v>
      </c>
      <c r="I605" s="148"/>
      <c r="J605" s="148"/>
      <c r="K605" s="148"/>
      <c r="L605" s="151" t="s">
        <v>2195</v>
      </c>
      <c r="M605" s="148"/>
      <c r="N605" s="148"/>
      <c r="O605" s="148"/>
      <c r="P605" s="151" t="s">
        <v>2196</v>
      </c>
      <c r="Q605" s="148"/>
      <c r="R605" s="148"/>
      <c r="S605" s="148"/>
      <c r="T605" s="148"/>
      <c r="U605" s="148"/>
      <c r="V605" s="148"/>
      <c r="W605" s="151" t="s">
        <v>2197</v>
      </c>
      <c r="X605" s="151" t="s">
        <v>2198</v>
      </c>
      <c r="Y605" s="151"/>
      <c r="Z605" s="148"/>
      <c r="AA605" s="148"/>
      <c r="AB605" s="148"/>
      <c r="AC605" s="151" t="s">
        <v>2199</v>
      </c>
      <c r="AD605" s="148"/>
      <c r="AE605" s="151" t="s">
        <v>2200</v>
      </c>
      <c r="AF605" s="151" t="s">
        <v>2201</v>
      </c>
      <c r="AG605" s="148"/>
      <c r="AH605" s="148"/>
      <c r="AI605" s="148"/>
      <c r="AJ605" s="148"/>
      <c r="AK605" s="150">
        <v>54</v>
      </c>
      <c r="AL605" s="144" t="s">
        <v>1405</v>
      </c>
      <c r="AM605" s="150">
        <v>9119</v>
      </c>
      <c r="AN605" s="144" t="s">
        <v>1406</v>
      </c>
    </row>
    <row r="606" spans="1:40" s="42" customFormat="1" ht="15">
      <c r="A606" s="148"/>
      <c r="B606" s="148"/>
      <c r="C606" s="151" t="s">
        <v>2202</v>
      </c>
      <c r="D606" s="151"/>
      <c r="E606" s="148"/>
      <c r="F606" s="148"/>
      <c r="G606" s="151" t="s">
        <v>2203</v>
      </c>
      <c r="H606" s="151" t="s">
        <v>2204</v>
      </c>
      <c r="I606" s="148"/>
      <c r="J606" s="148"/>
      <c r="K606" s="148"/>
      <c r="L606" s="151" t="s">
        <v>2205</v>
      </c>
      <c r="M606" s="148"/>
      <c r="N606" s="148"/>
      <c r="O606" s="148"/>
      <c r="P606" s="151" t="s">
        <v>2206</v>
      </c>
      <c r="Q606" s="148"/>
      <c r="R606" s="148"/>
      <c r="S606" s="148"/>
      <c r="T606" s="148"/>
      <c r="U606" s="148"/>
      <c r="V606" s="148"/>
      <c r="W606" s="151" t="s">
        <v>2207</v>
      </c>
      <c r="X606" s="151" t="s">
        <v>2208</v>
      </c>
      <c r="Y606" s="151"/>
      <c r="Z606" s="148"/>
      <c r="AA606" s="148"/>
      <c r="AB606" s="148"/>
      <c r="AC606" s="151" t="s">
        <v>2209</v>
      </c>
      <c r="AD606" s="148"/>
      <c r="AE606" s="151" t="s">
        <v>2210</v>
      </c>
      <c r="AF606" s="151" t="s">
        <v>2211</v>
      </c>
      <c r="AG606" s="148"/>
      <c r="AH606" s="148"/>
      <c r="AI606" s="148"/>
      <c r="AJ606" s="148"/>
      <c r="AK606" s="150">
        <v>54</v>
      </c>
      <c r="AL606" s="144" t="s">
        <v>1405</v>
      </c>
      <c r="AM606" s="150">
        <v>9537</v>
      </c>
      <c r="AN606" s="144" t="s">
        <v>1396</v>
      </c>
    </row>
    <row r="607" spans="1:40" s="42" customFormat="1" ht="15">
      <c r="A607" s="148"/>
      <c r="B607" s="148"/>
      <c r="C607" s="151" t="s">
        <v>2212</v>
      </c>
      <c r="D607" s="151"/>
      <c r="E607" s="148"/>
      <c r="F607" s="148"/>
      <c r="G607" s="151" t="s">
        <v>2213</v>
      </c>
      <c r="H607" s="151" t="s">
        <v>2214</v>
      </c>
      <c r="I607" s="148"/>
      <c r="J607" s="148"/>
      <c r="K607" s="148"/>
      <c r="L607" s="151" t="s">
        <v>2215</v>
      </c>
      <c r="M607" s="148"/>
      <c r="N607" s="148"/>
      <c r="O607" s="148"/>
      <c r="P607" s="151" t="s">
        <v>2216</v>
      </c>
      <c r="Q607" s="148"/>
      <c r="R607" s="148"/>
      <c r="S607" s="148"/>
      <c r="T607" s="148"/>
      <c r="U607" s="148"/>
      <c r="V607" s="148"/>
      <c r="W607" s="151" t="s">
        <v>2217</v>
      </c>
      <c r="X607" s="148"/>
      <c r="Y607" s="148"/>
      <c r="Z607" s="148"/>
      <c r="AA607" s="148"/>
      <c r="AB607" s="148"/>
      <c r="AC607" s="151" t="s">
        <v>2218</v>
      </c>
      <c r="AD607" s="148"/>
      <c r="AE607" s="151" t="s">
        <v>2219</v>
      </c>
      <c r="AF607" s="151" t="s">
        <v>2220</v>
      </c>
      <c r="AG607" s="148"/>
      <c r="AH607" s="148"/>
      <c r="AI607" s="148"/>
      <c r="AJ607" s="148"/>
      <c r="AK607" s="150">
        <v>86</v>
      </c>
      <c r="AL607" s="144" t="s">
        <v>1310</v>
      </c>
      <c r="AM607" s="150">
        <v>9518</v>
      </c>
      <c r="AN607" s="144" t="s">
        <v>1407</v>
      </c>
    </row>
    <row r="608" spans="1:40" s="42" customFormat="1" ht="15">
      <c r="A608" s="148"/>
      <c r="B608" s="148"/>
      <c r="C608" s="151" t="s">
        <v>2221</v>
      </c>
      <c r="D608" s="151"/>
      <c r="E608" s="148"/>
      <c r="F608" s="148"/>
      <c r="G608" s="151" t="s">
        <v>2222</v>
      </c>
      <c r="H608" s="151" t="s">
        <v>2223</v>
      </c>
      <c r="I608" s="148"/>
      <c r="J608" s="148"/>
      <c r="K608" s="148"/>
      <c r="L608" s="151" t="s">
        <v>2224</v>
      </c>
      <c r="M608" s="148"/>
      <c r="N608" s="148"/>
      <c r="O608" s="148"/>
      <c r="P608" s="151" t="s">
        <v>2225</v>
      </c>
      <c r="Q608" s="148"/>
      <c r="R608" s="148"/>
      <c r="S608" s="148"/>
      <c r="T608" s="148"/>
      <c r="U608" s="148"/>
      <c r="V608" s="148"/>
      <c r="W608" s="151" t="s">
        <v>2226</v>
      </c>
      <c r="X608" s="148"/>
      <c r="Y608" s="148"/>
      <c r="Z608" s="148"/>
      <c r="AA608" s="148"/>
      <c r="AB608" s="148"/>
      <c r="AC608" s="151" t="s">
        <v>2227</v>
      </c>
      <c r="AD608" s="148"/>
      <c r="AE608" s="151" t="s">
        <v>2228</v>
      </c>
      <c r="AF608" s="151" t="s">
        <v>2229</v>
      </c>
      <c r="AG608" s="148"/>
      <c r="AH608" s="148"/>
      <c r="AI608" s="148"/>
      <c r="AJ608" s="148"/>
      <c r="AK608" s="150">
        <v>63</v>
      </c>
      <c r="AL608" s="144" t="s">
        <v>1311</v>
      </c>
      <c r="AM608" s="150">
        <v>9120</v>
      </c>
      <c r="AN608" s="144" t="s">
        <v>1408</v>
      </c>
    </row>
    <row r="609" spans="1:40" s="42" customFormat="1" ht="15">
      <c r="A609" s="148"/>
      <c r="B609" s="148"/>
      <c r="C609" s="151" t="s">
        <v>2230</v>
      </c>
      <c r="D609" s="151"/>
      <c r="E609" s="148"/>
      <c r="F609" s="148"/>
      <c r="G609" s="151" t="s">
        <v>2231</v>
      </c>
      <c r="H609" s="151" t="s">
        <v>2232</v>
      </c>
      <c r="I609" s="148"/>
      <c r="J609" s="148"/>
      <c r="K609" s="148"/>
      <c r="L609" s="148"/>
      <c r="M609" s="148"/>
      <c r="N609" s="148"/>
      <c r="O609" s="148"/>
      <c r="P609" s="151" t="s">
        <v>2233</v>
      </c>
      <c r="Q609" s="148"/>
      <c r="R609" s="148"/>
      <c r="S609" s="148"/>
      <c r="T609" s="148"/>
      <c r="U609" s="148"/>
      <c r="V609" s="148"/>
      <c r="W609" s="151" t="s">
        <v>2234</v>
      </c>
      <c r="X609" s="148"/>
      <c r="Y609" s="148"/>
      <c r="Z609" s="148"/>
      <c r="AA609" s="148"/>
      <c r="AB609" s="148"/>
      <c r="AC609" s="151" t="s">
        <v>2235</v>
      </c>
      <c r="AD609" s="148"/>
      <c r="AE609" s="151" t="s">
        <v>2168</v>
      </c>
      <c r="AF609" s="148"/>
      <c r="AG609" s="148"/>
      <c r="AH609" s="148"/>
      <c r="AI609" s="148"/>
      <c r="AJ609" s="148"/>
      <c r="AK609" s="150">
        <v>63</v>
      </c>
      <c r="AL609" s="144" t="s">
        <v>1311</v>
      </c>
      <c r="AM609" s="150">
        <v>9231</v>
      </c>
      <c r="AN609" s="144" t="s">
        <v>1409</v>
      </c>
    </row>
    <row r="610" spans="1:40" s="42" customFormat="1" ht="15">
      <c r="A610" s="148"/>
      <c r="B610" s="148"/>
      <c r="C610" s="151" t="s">
        <v>2236</v>
      </c>
      <c r="D610" s="151"/>
      <c r="E610" s="148"/>
      <c r="F610" s="148"/>
      <c r="G610" s="151" t="s">
        <v>2237</v>
      </c>
      <c r="H610" s="151" t="s">
        <v>2238</v>
      </c>
      <c r="I610" s="148"/>
      <c r="J610" s="148"/>
      <c r="K610" s="148"/>
      <c r="L610" s="148"/>
      <c r="M610" s="148"/>
      <c r="N610" s="148"/>
      <c r="O610" s="148"/>
      <c r="P610" s="151" t="s">
        <v>2239</v>
      </c>
      <c r="Q610" s="148"/>
      <c r="R610" s="148"/>
      <c r="S610" s="148"/>
      <c r="T610" s="148"/>
      <c r="U610" s="148"/>
      <c r="V610" s="148"/>
      <c r="W610" s="151" t="s">
        <v>2240</v>
      </c>
      <c r="X610" s="148"/>
      <c r="Y610" s="148"/>
      <c r="Z610" s="148"/>
      <c r="AA610" s="148"/>
      <c r="AB610" s="148"/>
      <c r="AC610" s="151" t="s">
        <v>2241</v>
      </c>
      <c r="AD610" s="148"/>
      <c r="AE610" s="151" t="s">
        <v>2242</v>
      </c>
      <c r="AF610" s="148"/>
      <c r="AG610" s="148"/>
      <c r="AH610" s="148"/>
      <c r="AI610" s="148"/>
      <c r="AJ610" s="148"/>
      <c r="AK610" s="150">
        <v>63</v>
      </c>
      <c r="AL610" s="144" t="s">
        <v>1311</v>
      </c>
      <c r="AM610" s="150">
        <v>9538</v>
      </c>
      <c r="AN610" s="144" t="s">
        <v>1410</v>
      </c>
    </row>
    <row r="611" spans="1:40" s="42" customFormat="1" ht="15">
      <c r="A611" s="148"/>
      <c r="B611" s="148"/>
      <c r="C611" s="151" t="s">
        <v>2243</v>
      </c>
      <c r="D611" s="151"/>
      <c r="E611" s="148"/>
      <c r="F611" s="148"/>
      <c r="G611" s="151" t="s">
        <v>1853</v>
      </c>
      <c r="H611" s="151" t="s">
        <v>2244</v>
      </c>
      <c r="I611" s="148"/>
      <c r="J611" s="148"/>
      <c r="K611" s="148"/>
      <c r="L611" s="148"/>
      <c r="M611" s="148"/>
      <c r="N611" s="148"/>
      <c r="O611" s="148"/>
      <c r="P611" s="151" t="s">
        <v>2245</v>
      </c>
      <c r="Q611" s="148"/>
      <c r="R611" s="148"/>
      <c r="S611" s="148"/>
      <c r="T611" s="148"/>
      <c r="U611" s="148"/>
      <c r="V611" s="148"/>
      <c r="W611" s="151" t="s">
        <v>2246</v>
      </c>
      <c r="X611" s="148"/>
      <c r="Y611" s="148"/>
      <c r="Z611" s="148"/>
      <c r="AA611" s="148"/>
      <c r="AB611" s="148"/>
      <c r="AC611" s="151" t="s">
        <v>2247</v>
      </c>
      <c r="AD611" s="148"/>
      <c r="AE611" s="151" t="s">
        <v>2248</v>
      </c>
      <c r="AF611" s="148"/>
      <c r="AG611" s="148"/>
      <c r="AH611" s="148"/>
      <c r="AI611" s="148"/>
      <c r="AJ611" s="148"/>
      <c r="AK611" s="150">
        <v>66</v>
      </c>
      <c r="AL611" s="144" t="s">
        <v>1312</v>
      </c>
      <c r="AM611" s="150">
        <v>9121</v>
      </c>
      <c r="AN611" s="144" t="s">
        <v>1411</v>
      </c>
    </row>
    <row r="612" spans="1:40" s="42" customFormat="1" ht="15">
      <c r="A612" s="148"/>
      <c r="B612" s="148"/>
      <c r="C612" s="151" t="s">
        <v>2249</v>
      </c>
      <c r="D612" s="151"/>
      <c r="E612" s="148"/>
      <c r="F612" s="148"/>
      <c r="G612" s="151" t="s">
        <v>2250</v>
      </c>
      <c r="H612" s="151" t="s">
        <v>2251</v>
      </c>
      <c r="I612" s="148"/>
      <c r="J612" s="148"/>
      <c r="K612" s="148"/>
      <c r="L612" s="148"/>
      <c r="M612" s="148"/>
      <c r="N612" s="148"/>
      <c r="O612" s="148"/>
      <c r="P612" s="151" t="s">
        <v>2252</v>
      </c>
      <c r="Q612" s="148"/>
      <c r="R612" s="148"/>
      <c r="S612" s="148"/>
      <c r="T612" s="148"/>
      <c r="U612" s="148"/>
      <c r="V612" s="148"/>
      <c r="W612" s="151" t="s">
        <v>1497</v>
      </c>
      <c r="X612" s="148"/>
      <c r="Y612" s="148"/>
      <c r="Z612" s="148"/>
      <c r="AA612" s="148"/>
      <c r="AB612" s="148"/>
      <c r="AC612" s="151" t="s">
        <v>1848</v>
      </c>
      <c r="AD612" s="148"/>
      <c r="AE612" s="151" t="s">
        <v>2253</v>
      </c>
      <c r="AF612" s="148"/>
      <c r="AG612" s="148"/>
      <c r="AH612" s="148"/>
      <c r="AI612" s="148"/>
      <c r="AJ612" s="148"/>
      <c r="AK612" s="150">
        <v>66</v>
      </c>
      <c r="AL612" s="144" t="s">
        <v>1312</v>
      </c>
      <c r="AM612" s="150">
        <v>9223</v>
      </c>
      <c r="AN612" s="144" t="s">
        <v>1412</v>
      </c>
    </row>
    <row r="613" spans="1:40" s="42" customFormat="1" ht="15">
      <c r="A613" s="148"/>
      <c r="B613" s="148"/>
      <c r="C613" s="151" t="s">
        <v>2254</v>
      </c>
      <c r="D613" s="151"/>
      <c r="E613" s="148"/>
      <c r="F613" s="148"/>
      <c r="G613" s="148"/>
      <c r="H613" s="151" t="s">
        <v>2255</v>
      </c>
      <c r="I613" s="148"/>
      <c r="J613" s="148"/>
      <c r="K613" s="148"/>
      <c r="L613" s="148"/>
      <c r="M613" s="148"/>
      <c r="N613" s="148"/>
      <c r="O613" s="148"/>
      <c r="P613" s="151" t="s">
        <v>2256</v>
      </c>
      <c r="Q613" s="148"/>
      <c r="R613" s="148"/>
      <c r="S613" s="148"/>
      <c r="T613" s="148"/>
      <c r="U613" s="148"/>
      <c r="V613" s="148"/>
      <c r="W613" s="151" t="s">
        <v>2257</v>
      </c>
      <c r="X613" s="148"/>
      <c r="Y613" s="148"/>
      <c r="Z613" s="148"/>
      <c r="AA613" s="148"/>
      <c r="AB613" s="148"/>
      <c r="AC613" s="151" t="s">
        <v>2258</v>
      </c>
      <c r="AD613" s="148"/>
      <c r="AE613" s="151" t="s">
        <v>2259</v>
      </c>
      <c r="AF613" s="148"/>
      <c r="AG613" s="148"/>
      <c r="AH613" s="148"/>
      <c r="AI613" s="148"/>
      <c r="AJ613" s="148"/>
      <c r="AK613" s="150">
        <v>66</v>
      </c>
      <c r="AL613" s="144" t="s">
        <v>1312</v>
      </c>
      <c r="AM613" s="150">
        <v>9308</v>
      </c>
      <c r="AN613" s="144" t="s">
        <v>1343</v>
      </c>
    </row>
    <row r="614" spans="1:40" s="42" customFormat="1" ht="15">
      <c r="A614" s="148"/>
      <c r="B614" s="148"/>
      <c r="C614" s="151" t="s">
        <v>2260</v>
      </c>
      <c r="D614" s="151"/>
      <c r="E614" s="148"/>
      <c r="F614" s="148"/>
      <c r="G614" s="148"/>
      <c r="H614" s="151" t="s">
        <v>1562</v>
      </c>
      <c r="I614" s="148"/>
      <c r="J614" s="148"/>
      <c r="K614" s="148"/>
      <c r="L614" s="148"/>
      <c r="M614" s="148"/>
      <c r="N614" s="148"/>
      <c r="O614" s="148"/>
      <c r="P614" s="151" t="s">
        <v>2261</v>
      </c>
      <c r="Q614" s="148"/>
      <c r="R614" s="148"/>
      <c r="S614" s="148"/>
      <c r="T614" s="148"/>
      <c r="U614" s="148"/>
      <c r="V614" s="148"/>
      <c r="W614" s="151" t="s">
        <v>2262</v>
      </c>
      <c r="X614" s="148"/>
      <c r="Y614" s="148"/>
      <c r="Z614" s="148"/>
      <c r="AA614" s="148"/>
      <c r="AB614" s="148"/>
      <c r="AC614" s="151" t="s">
        <v>2263</v>
      </c>
      <c r="AD614" s="148"/>
      <c r="AE614" s="148"/>
      <c r="AF614" s="148"/>
      <c r="AG614" s="148"/>
      <c r="AH614" s="148"/>
      <c r="AI614" s="148"/>
      <c r="AJ614" s="148"/>
      <c r="AK614" s="150">
        <v>88</v>
      </c>
      <c r="AL614" s="144" t="s">
        <v>1413</v>
      </c>
      <c r="AM614" s="150">
        <v>9539</v>
      </c>
      <c r="AN614" s="144" t="s">
        <v>1414</v>
      </c>
    </row>
    <row r="615" spans="1:40" s="42" customFormat="1" ht="15">
      <c r="A615" s="148"/>
      <c r="B615" s="148"/>
      <c r="C615" s="151" t="s">
        <v>2264</v>
      </c>
      <c r="D615" s="151"/>
      <c r="E615" s="148"/>
      <c r="F615" s="148"/>
      <c r="G615" s="148"/>
      <c r="H615" s="151" t="s">
        <v>2265</v>
      </c>
      <c r="I615" s="148"/>
      <c r="J615" s="148"/>
      <c r="K615" s="148"/>
      <c r="L615" s="148"/>
      <c r="M615" s="148"/>
      <c r="N615" s="148"/>
      <c r="O615" s="148"/>
      <c r="P615" s="151" t="s">
        <v>2266</v>
      </c>
      <c r="Q615" s="148"/>
      <c r="R615" s="148"/>
      <c r="S615" s="148"/>
      <c r="T615" s="148"/>
      <c r="U615" s="148"/>
      <c r="V615" s="148"/>
      <c r="W615" s="151" t="s">
        <v>2267</v>
      </c>
      <c r="X615" s="148"/>
      <c r="Y615" s="148"/>
      <c r="Z615" s="148"/>
      <c r="AA615" s="148"/>
      <c r="AB615" s="148"/>
      <c r="AC615" s="151" t="s">
        <v>2268</v>
      </c>
      <c r="AD615" s="148"/>
      <c r="AE615" s="148"/>
      <c r="AF615" s="148"/>
      <c r="AG615" s="148"/>
      <c r="AH615" s="148"/>
      <c r="AI615" s="148"/>
      <c r="AJ615" s="148"/>
      <c r="AK615" s="150">
        <v>68</v>
      </c>
      <c r="AL615" s="144" t="s">
        <v>1314</v>
      </c>
      <c r="AM615" s="150">
        <v>9122</v>
      </c>
      <c r="AN615" s="144" t="s">
        <v>1411</v>
      </c>
    </row>
    <row r="616" spans="1:40" s="42" customFormat="1" ht="15">
      <c r="A616" s="148"/>
      <c r="B616" s="148"/>
      <c r="C616" s="151" t="s">
        <v>2269</v>
      </c>
      <c r="D616" s="151"/>
      <c r="E616" s="148"/>
      <c r="F616" s="148"/>
      <c r="G616" s="148"/>
      <c r="H616" s="151" t="s">
        <v>2270</v>
      </c>
      <c r="I616" s="148"/>
      <c r="J616" s="148"/>
      <c r="K616" s="148"/>
      <c r="L616" s="148"/>
      <c r="M616" s="148"/>
      <c r="N616" s="148"/>
      <c r="O616" s="148"/>
      <c r="P616" s="151" t="s">
        <v>2271</v>
      </c>
      <c r="Q616" s="148"/>
      <c r="R616" s="148"/>
      <c r="S616" s="148"/>
      <c r="T616" s="148"/>
      <c r="U616" s="148"/>
      <c r="V616" s="148"/>
      <c r="W616" s="151" t="s">
        <v>2272</v>
      </c>
      <c r="X616" s="148"/>
      <c r="Y616" s="148"/>
      <c r="Z616" s="148"/>
      <c r="AA616" s="148"/>
      <c r="AB616" s="148"/>
      <c r="AC616" s="151" t="s">
        <v>2273</v>
      </c>
      <c r="AD616" s="148"/>
      <c r="AE616" s="148"/>
      <c r="AF616" s="148"/>
      <c r="AG616" s="148"/>
      <c r="AH616" s="148"/>
      <c r="AI616" s="148"/>
      <c r="AJ616" s="148"/>
      <c r="AK616" s="150">
        <v>68</v>
      </c>
      <c r="AL616" s="144" t="s">
        <v>1314</v>
      </c>
      <c r="AM616" s="150">
        <v>9224</v>
      </c>
      <c r="AN616" s="144" t="s">
        <v>1415</v>
      </c>
    </row>
    <row r="617" spans="1:40" s="42" customFormat="1" ht="15">
      <c r="A617" s="148"/>
      <c r="B617" s="148"/>
      <c r="C617" s="151" t="s">
        <v>2274</v>
      </c>
      <c r="D617" s="151"/>
      <c r="E617" s="148"/>
      <c r="F617" s="148"/>
      <c r="G617" s="148"/>
      <c r="H617" s="151" t="s">
        <v>2275</v>
      </c>
      <c r="I617" s="148"/>
      <c r="J617" s="148"/>
      <c r="K617" s="148"/>
      <c r="L617" s="148"/>
      <c r="M617" s="148"/>
      <c r="N617" s="148"/>
      <c r="O617" s="148"/>
      <c r="P617" s="151" t="s">
        <v>2276</v>
      </c>
      <c r="Q617" s="148"/>
      <c r="R617" s="148"/>
      <c r="S617" s="148"/>
      <c r="T617" s="148"/>
      <c r="U617" s="148"/>
      <c r="V617" s="148"/>
      <c r="W617" s="151" t="s">
        <v>2277</v>
      </c>
      <c r="X617" s="148"/>
      <c r="Y617" s="148"/>
      <c r="Z617" s="148"/>
      <c r="AA617" s="148"/>
      <c r="AB617" s="148"/>
      <c r="AC617" s="151" t="s">
        <v>2278</v>
      </c>
      <c r="AD617" s="148"/>
      <c r="AE617" s="148"/>
      <c r="AF617" s="148"/>
      <c r="AG617" s="148"/>
      <c r="AH617" s="148"/>
      <c r="AI617" s="148"/>
      <c r="AJ617" s="148"/>
      <c r="AK617" s="150">
        <v>68</v>
      </c>
      <c r="AL617" s="144" t="s">
        <v>1314</v>
      </c>
      <c r="AM617" s="150">
        <v>9225</v>
      </c>
      <c r="AN617" s="144" t="s">
        <v>1416</v>
      </c>
    </row>
    <row r="618" spans="1:40" s="42" customFormat="1" ht="15">
      <c r="A618" s="148"/>
      <c r="B618" s="148"/>
      <c r="C618" s="151" t="s">
        <v>1766</v>
      </c>
      <c r="D618" s="151"/>
      <c r="E618" s="148"/>
      <c r="F618" s="148"/>
      <c r="G618" s="148"/>
      <c r="H618" s="151" t="s">
        <v>1546</v>
      </c>
      <c r="I618" s="148"/>
      <c r="J618" s="148"/>
      <c r="K618" s="148"/>
      <c r="L618" s="148"/>
      <c r="M618" s="148"/>
      <c r="N618" s="148"/>
      <c r="O618" s="148"/>
      <c r="P618" s="151" t="s">
        <v>2279</v>
      </c>
      <c r="Q618" s="148"/>
      <c r="R618" s="148"/>
      <c r="S618" s="148"/>
      <c r="T618" s="148"/>
      <c r="U618" s="148"/>
      <c r="V618" s="148"/>
      <c r="W618" s="151" t="s">
        <v>2280</v>
      </c>
      <c r="X618" s="148"/>
      <c r="Y618" s="148"/>
      <c r="Z618" s="148"/>
      <c r="AA618" s="148"/>
      <c r="AB618" s="148"/>
      <c r="AC618" s="151" t="s">
        <v>2281</v>
      </c>
      <c r="AD618" s="148"/>
      <c r="AE618" s="148"/>
      <c r="AF618" s="148"/>
      <c r="AG618" s="148"/>
      <c r="AH618" s="148"/>
      <c r="AI618" s="148"/>
      <c r="AJ618" s="148"/>
      <c r="AK618" s="150">
        <v>68</v>
      </c>
      <c r="AL618" s="144" t="s">
        <v>1314</v>
      </c>
      <c r="AM618" s="150">
        <v>9309</v>
      </c>
      <c r="AN618" s="144" t="s">
        <v>1417</v>
      </c>
    </row>
    <row r="619" spans="1:40" s="42" customFormat="1" ht="15">
      <c r="A619" s="148"/>
      <c r="B619" s="148"/>
      <c r="C619" s="151" t="s">
        <v>1786</v>
      </c>
      <c r="D619" s="151"/>
      <c r="E619" s="148"/>
      <c r="F619" s="148"/>
      <c r="G619" s="148"/>
      <c r="H619" s="151" t="s">
        <v>2282</v>
      </c>
      <c r="I619" s="148"/>
      <c r="J619" s="148"/>
      <c r="K619" s="148"/>
      <c r="L619" s="148"/>
      <c r="M619" s="148"/>
      <c r="N619" s="148"/>
      <c r="O619" s="148"/>
      <c r="P619" s="151" t="s">
        <v>1888</v>
      </c>
      <c r="Q619" s="148"/>
      <c r="R619" s="148"/>
      <c r="S619" s="148"/>
      <c r="T619" s="148"/>
      <c r="U619" s="148"/>
      <c r="V619" s="148"/>
      <c r="W619" s="151" t="s">
        <v>2283</v>
      </c>
      <c r="X619" s="148"/>
      <c r="Y619" s="148"/>
      <c r="Z619" s="148"/>
      <c r="AA619" s="148"/>
      <c r="AB619" s="148"/>
      <c r="AC619" s="151" t="s">
        <v>2284</v>
      </c>
      <c r="AD619" s="148"/>
      <c r="AE619" s="148"/>
      <c r="AF619" s="148"/>
      <c r="AG619" s="148"/>
      <c r="AH619" s="148"/>
      <c r="AI619" s="148"/>
      <c r="AJ619" s="148"/>
      <c r="AK619" s="150">
        <v>68</v>
      </c>
      <c r="AL619" s="144" t="s">
        <v>1314</v>
      </c>
      <c r="AM619" s="150">
        <v>9540</v>
      </c>
      <c r="AN619" s="144" t="s">
        <v>1418</v>
      </c>
    </row>
    <row r="620" spans="1:40" s="42" customFormat="1" ht="15">
      <c r="A620" s="148"/>
      <c r="B620" s="148"/>
      <c r="C620" s="151" t="s">
        <v>2285</v>
      </c>
      <c r="D620" s="151"/>
      <c r="E620" s="148"/>
      <c r="F620" s="148"/>
      <c r="G620" s="148"/>
      <c r="H620" s="151" t="s">
        <v>2286</v>
      </c>
      <c r="I620" s="148"/>
      <c r="J620" s="148"/>
      <c r="K620" s="148"/>
      <c r="L620" s="148"/>
      <c r="M620" s="148"/>
      <c r="N620" s="148"/>
      <c r="O620" s="148"/>
      <c r="P620" s="151" t="s">
        <v>2287</v>
      </c>
      <c r="Q620" s="148"/>
      <c r="R620" s="148"/>
      <c r="S620" s="148"/>
      <c r="T620" s="148"/>
      <c r="U620" s="148"/>
      <c r="V620" s="148"/>
      <c r="W620" s="151" t="s">
        <v>2288</v>
      </c>
      <c r="X620" s="148"/>
      <c r="Y620" s="148"/>
      <c r="Z620" s="148"/>
      <c r="AA620" s="148"/>
      <c r="AB620" s="148"/>
      <c r="AC620" s="151" t="s">
        <v>2289</v>
      </c>
      <c r="AD620" s="148"/>
      <c r="AE620" s="148"/>
      <c r="AF620" s="148"/>
      <c r="AG620" s="148"/>
      <c r="AH620" s="148"/>
      <c r="AI620" s="148"/>
      <c r="AJ620" s="148"/>
      <c r="AK620" s="150">
        <v>68</v>
      </c>
      <c r="AL620" s="144" t="s">
        <v>1314</v>
      </c>
      <c r="AM620" s="150">
        <v>9541</v>
      </c>
      <c r="AN620" s="144" t="s">
        <v>1419</v>
      </c>
    </row>
    <row r="621" spans="1:40" s="42" customFormat="1" ht="15">
      <c r="A621" s="148"/>
      <c r="B621" s="148"/>
      <c r="C621" s="151" t="s">
        <v>2290</v>
      </c>
      <c r="D621" s="151"/>
      <c r="E621" s="148"/>
      <c r="F621" s="148"/>
      <c r="G621" s="148"/>
      <c r="H621" s="151" t="s">
        <v>2291</v>
      </c>
      <c r="I621" s="148"/>
      <c r="J621" s="148"/>
      <c r="K621" s="148"/>
      <c r="L621" s="148"/>
      <c r="M621" s="148"/>
      <c r="N621" s="148"/>
      <c r="O621" s="148"/>
      <c r="P621" s="151" t="s">
        <v>2292</v>
      </c>
      <c r="Q621" s="148"/>
      <c r="R621" s="148"/>
      <c r="S621" s="148"/>
      <c r="T621" s="148"/>
      <c r="U621" s="148"/>
      <c r="V621" s="148"/>
      <c r="W621" s="151" t="s">
        <v>2156</v>
      </c>
      <c r="X621" s="148"/>
      <c r="Y621" s="148"/>
      <c r="Z621" s="148"/>
      <c r="AA621" s="148"/>
      <c r="AB621" s="148"/>
      <c r="AC621" s="151" t="s">
        <v>2293</v>
      </c>
      <c r="AD621" s="148"/>
      <c r="AE621" s="148"/>
      <c r="AF621" s="148"/>
      <c r="AG621" s="148"/>
      <c r="AH621" s="148"/>
      <c r="AI621" s="148"/>
      <c r="AJ621" s="148"/>
      <c r="AK621" s="150">
        <v>68</v>
      </c>
      <c r="AL621" s="144" t="s">
        <v>1314</v>
      </c>
      <c r="AM621" s="150">
        <v>9545</v>
      </c>
      <c r="AN621" s="144" t="s">
        <v>1420</v>
      </c>
    </row>
    <row r="622" spans="1:40" s="42" customFormat="1" ht="15">
      <c r="A622" s="148"/>
      <c r="B622" s="148"/>
      <c r="C622" s="151" t="s">
        <v>2294</v>
      </c>
      <c r="D622" s="151"/>
      <c r="E622" s="148"/>
      <c r="F622" s="148"/>
      <c r="G622" s="148"/>
      <c r="H622" s="151" t="s">
        <v>2295</v>
      </c>
      <c r="I622" s="148"/>
      <c r="J622" s="148"/>
      <c r="K622" s="148"/>
      <c r="L622" s="148"/>
      <c r="M622" s="148"/>
      <c r="N622" s="148"/>
      <c r="O622" s="148"/>
      <c r="P622" s="151" t="s">
        <v>2296</v>
      </c>
      <c r="Q622" s="148"/>
      <c r="R622" s="148"/>
      <c r="S622" s="148"/>
      <c r="T622" s="148"/>
      <c r="U622" s="148"/>
      <c r="V622" s="148"/>
      <c r="W622" s="151" t="s">
        <v>2297</v>
      </c>
      <c r="X622" s="148"/>
      <c r="Y622" s="148"/>
      <c r="Z622" s="148"/>
      <c r="AA622" s="148"/>
      <c r="AB622" s="148"/>
      <c r="AC622" s="151" t="s">
        <v>2298</v>
      </c>
      <c r="AD622" s="148"/>
      <c r="AE622" s="148"/>
      <c r="AF622" s="148"/>
      <c r="AG622" s="148"/>
      <c r="AH622" s="148"/>
      <c r="AI622" s="148"/>
      <c r="AJ622" s="148"/>
      <c r="AK622" s="150">
        <v>68</v>
      </c>
      <c r="AL622" s="144" t="s">
        <v>1314</v>
      </c>
      <c r="AM622" s="150">
        <v>9546</v>
      </c>
      <c r="AN622" s="144" t="s">
        <v>1421</v>
      </c>
    </row>
    <row r="623" spans="1:40" s="42" customFormat="1" ht="15">
      <c r="A623" s="148"/>
      <c r="B623" s="148"/>
      <c r="C623" s="151" t="s">
        <v>2299</v>
      </c>
      <c r="D623" s="151"/>
      <c r="E623" s="148"/>
      <c r="F623" s="148"/>
      <c r="G623" s="148"/>
      <c r="H623" s="151" t="s">
        <v>2300</v>
      </c>
      <c r="I623" s="148"/>
      <c r="J623" s="148"/>
      <c r="K623" s="148"/>
      <c r="L623" s="148"/>
      <c r="M623" s="148"/>
      <c r="N623" s="148"/>
      <c r="O623" s="148"/>
      <c r="P623" s="151" t="s">
        <v>2301</v>
      </c>
      <c r="Q623" s="148"/>
      <c r="R623" s="148"/>
      <c r="S623" s="148"/>
      <c r="T623" s="148"/>
      <c r="U623" s="148"/>
      <c r="V623" s="148"/>
      <c r="W623" s="151" t="s">
        <v>2302</v>
      </c>
      <c r="X623" s="148"/>
      <c r="Y623" s="148"/>
      <c r="Z623" s="148"/>
      <c r="AA623" s="148"/>
      <c r="AB623" s="148"/>
      <c r="AC623" s="151" t="s">
        <v>2303</v>
      </c>
      <c r="AD623" s="148"/>
      <c r="AE623" s="148"/>
      <c r="AF623" s="148"/>
      <c r="AG623" s="148"/>
      <c r="AH623" s="148"/>
      <c r="AI623" s="148"/>
      <c r="AJ623" s="148"/>
      <c r="AK623" s="150">
        <v>70</v>
      </c>
      <c r="AL623" s="144" t="s">
        <v>1315</v>
      </c>
      <c r="AM623" s="150">
        <v>9542</v>
      </c>
      <c r="AN623" s="144" t="s">
        <v>1422</v>
      </c>
    </row>
    <row r="624" spans="1:40" s="42" customFormat="1" ht="15">
      <c r="A624" s="148"/>
      <c r="B624" s="148"/>
      <c r="C624" s="151" t="s">
        <v>2304</v>
      </c>
      <c r="D624" s="151"/>
      <c r="E624" s="148"/>
      <c r="F624" s="148"/>
      <c r="G624" s="148"/>
      <c r="H624" s="151" t="s">
        <v>2305</v>
      </c>
      <c r="I624" s="148"/>
      <c r="J624" s="148"/>
      <c r="K624" s="148"/>
      <c r="L624" s="148"/>
      <c r="M624" s="148"/>
      <c r="N624" s="148"/>
      <c r="O624" s="148"/>
      <c r="P624" s="151" t="s">
        <v>2306</v>
      </c>
      <c r="Q624" s="148"/>
      <c r="R624" s="148"/>
      <c r="S624" s="148"/>
      <c r="T624" s="148"/>
      <c r="U624" s="148"/>
      <c r="V624" s="148"/>
      <c r="W624" s="151" t="s">
        <v>2307</v>
      </c>
      <c r="X624" s="148"/>
      <c r="Y624" s="148"/>
      <c r="Z624" s="148"/>
      <c r="AA624" s="148"/>
      <c r="AB624" s="148"/>
      <c r="AC624" s="151" t="s">
        <v>2308</v>
      </c>
      <c r="AD624" s="148"/>
      <c r="AE624" s="148"/>
      <c r="AF624" s="148"/>
      <c r="AG624" s="148"/>
      <c r="AH624" s="148"/>
      <c r="AI624" s="148"/>
      <c r="AJ624" s="148"/>
      <c r="AK624" s="150">
        <v>73</v>
      </c>
      <c r="AL624" s="144" t="s">
        <v>1316</v>
      </c>
      <c r="AM624" s="150">
        <v>9123</v>
      </c>
      <c r="AN624" s="144" t="s">
        <v>1423</v>
      </c>
    </row>
    <row r="625" spans="1:40" s="42" customFormat="1" ht="15">
      <c r="A625" s="148"/>
      <c r="B625" s="148"/>
      <c r="C625" s="151" t="s">
        <v>2309</v>
      </c>
      <c r="D625" s="151"/>
      <c r="E625" s="148"/>
      <c r="F625" s="148"/>
      <c r="G625" s="148"/>
      <c r="H625" s="151" t="s">
        <v>2310</v>
      </c>
      <c r="I625" s="148"/>
      <c r="J625" s="148"/>
      <c r="K625" s="148"/>
      <c r="L625" s="148"/>
      <c r="M625" s="148"/>
      <c r="N625" s="148"/>
      <c r="O625" s="148"/>
      <c r="P625" s="151" t="s">
        <v>2197</v>
      </c>
      <c r="Q625" s="148"/>
      <c r="R625" s="148"/>
      <c r="S625" s="148"/>
      <c r="T625" s="148"/>
      <c r="U625" s="148"/>
      <c r="V625" s="148"/>
      <c r="W625" s="151" t="s">
        <v>2311</v>
      </c>
      <c r="X625" s="148"/>
      <c r="Y625" s="148"/>
      <c r="Z625" s="148"/>
      <c r="AA625" s="148"/>
      <c r="AB625" s="148"/>
      <c r="AC625" s="151" t="s">
        <v>2312</v>
      </c>
      <c r="AD625" s="148"/>
      <c r="AE625" s="148"/>
      <c r="AF625" s="148"/>
      <c r="AG625" s="148"/>
      <c r="AH625" s="148"/>
      <c r="AI625" s="148"/>
      <c r="AJ625" s="148"/>
      <c r="AK625" s="150">
        <v>73</v>
      </c>
      <c r="AL625" s="144" t="s">
        <v>1316</v>
      </c>
      <c r="AM625" s="150">
        <v>9226</v>
      </c>
      <c r="AN625" s="144" t="s">
        <v>1424</v>
      </c>
    </row>
    <row r="626" spans="1:40" s="42" customFormat="1" ht="15">
      <c r="A626" s="148"/>
      <c r="B626" s="148"/>
      <c r="C626" s="151" t="s">
        <v>2313</v>
      </c>
      <c r="D626" s="151"/>
      <c r="E626" s="148"/>
      <c r="F626" s="148"/>
      <c r="G626" s="148"/>
      <c r="H626" s="151" t="s">
        <v>2314</v>
      </c>
      <c r="I626" s="148"/>
      <c r="J626" s="148"/>
      <c r="K626" s="148"/>
      <c r="L626" s="148"/>
      <c r="M626" s="148"/>
      <c r="N626" s="148"/>
      <c r="O626" s="148"/>
      <c r="P626" s="151" t="s">
        <v>2207</v>
      </c>
      <c r="Q626" s="148"/>
      <c r="R626" s="148"/>
      <c r="S626" s="148"/>
      <c r="T626" s="148"/>
      <c r="U626" s="148"/>
      <c r="V626" s="148"/>
      <c r="W626" s="151" t="s">
        <v>2315</v>
      </c>
      <c r="X626" s="148"/>
      <c r="Y626" s="148"/>
      <c r="Z626" s="148"/>
      <c r="AA626" s="148"/>
      <c r="AB626" s="148"/>
      <c r="AC626" s="151" t="s">
        <v>2316</v>
      </c>
      <c r="AD626" s="148"/>
      <c r="AE626" s="148"/>
      <c r="AF626" s="148"/>
      <c r="AG626" s="148"/>
      <c r="AH626" s="148"/>
      <c r="AI626" s="148"/>
      <c r="AJ626" s="148"/>
      <c r="AK626" s="150">
        <v>73</v>
      </c>
      <c r="AL626" s="144" t="s">
        <v>1316</v>
      </c>
      <c r="AM626" s="150">
        <v>9310</v>
      </c>
      <c r="AN626" s="144" t="s">
        <v>1343</v>
      </c>
    </row>
    <row r="627" spans="1:40" s="42" customFormat="1" ht="15">
      <c r="A627" s="148"/>
      <c r="B627" s="148"/>
      <c r="C627" s="151" t="s">
        <v>2244</v>
      </c>
      <c r="D627" s="151"/>
      <c r="E627" s="148"/>
      <c r="F627" s="148"/>
      <c r="G627" s="148"/>
      <c r="H627" s="151" t="s">
        <v>2317</v>
      </c>
      <c r="I627" s="148"/>
      <c r="J627" s="148"/>
      <c r="K627" s="148"/>
      <c r="L627" s="148"/>
      <c r="M627" s="148"/>
      <c r="N627" s="148"/>
      <c r="O627" s="148"/>
      <c r="P627" s="151" t="s">
        <v>2318</v>
      </c>
      <c r="Q627" s="148"/>
      <c r="R627" s="148"/>
      <c r="S627" s="148"/>
      <c r="T627" s="148"/>
      <c r="U627" s="148"/>
      <c r="V627" s="148"/>
      <c r="W627" s="151" t="s">
        <v>2319</v>
      </c>
      <c r="X627" s="148"/>
      <c r="Y627" s="148"/>
      <c r="Z627" s="148"/>
      <c r="AA627" s="148"/>
      <c r="AB627" s="148"/>
      <c r="AC627" s="151" t="s">
        <v>2320</v>
      </c>
      <c r="AD627" s="148"/>
      <c r="AE627" s="148"/>
      <c r="AF627" s="148"/>
      <c r="AG627" s="148"/>
      <c r="AH627" s="148"/>
      <c r="AI627" s="148"/>
      <c r="AJ627" s="148"/>
      <c r="AK627" s="150">
        <v>76</v>
      </c>
      <c r="AL627" s="144" t="s">
        <v>1317</v>
      </c>
      <c r="AM627" s="150">
        <v>9124</v>
      </c>
      <c r="AN627" s="144" t="s">
        <v>1425</v>
      </c>
    </row>
    <row r="628" spans="1:40" s="42" customFormat="1" ht="15">
      <c r="A628" s="148"/>
      <c r="B628" s="148"/>
      <c r="C628" s="151" t="s">
        <v>2321</v>
      </c>
      <c r="D628" s="151"/>
      <c r="E628" s="148"/>
      <c r="F628" s="148"/>
      <c r="G628" s="148"/>
      <c r="H628" s="151" t="s">
        <v>2322</v>
      </c>
      <c r="I628" s="148"/>
      <c r="J628" s="148"/>
      <c r="K628" s="148"/>
      <c r="L628" s="148"/>
      <c r="M628" s="148"/>
      <c r="N628" s="148"/>
      <c r="O628" s="148"/>
      <c r="P628" s="151" t="s">
        <v>2323</v>
      </c>
      <c r="Q628" s="148"/>
      <c r="R628" s="148"/>
      <c r="S628" s="148"/>
      <c r="T628" s="148"/>
      <c r="U628" s="148"/>
      <c r="V628" s="148"/>
      <c r="W628" s="151" t="s">
        <v>2324</v>
      </c>
      <c r="X628" s="148"/>
      <c r="Y628" s="148"/>
      <c r="Z628" s="148"/>
      <c r="AA628" s="148"/>
      <c r="AB628" s="148"/>
      <c r="AC628" s="151" t="s">
        <v>2325</v>
      </c>
      <c r="AD628" s="148"/>
      <c r="AE628" s="148"/>
      <c r="AF628" s="148"/>
      <c r="AG628" s="148"/>
      <c r="AH628" s="148"/>
      <c r="AI628" s="148"/>
      <c r="AJ628" s="148"/>
      <c r="AK628" s="150">
        <v>76</v>
      </c>
      <c r="AL628" s="144" t="s">
        <v>1317</v>
      </c>
      <c r="AM628" s="150">
        <v>9125</v>
      </c>
      <c r="AN628" s="144" t="s">
        <v>1426</v>
      </c>
    </row>
    <row r="629" spans="1:40" s="42" customFormat="1" ht="15">
      <c r="A629" s="148"/>
      <c r="B629" s="148"/>
      <c r="C629" s="151" t="s">
        <v>2326</v>
      </c>
      <c r="D629" s="151"/>
      <c r="E629" s="148"/>
      <c r="F629" s="148"/>
      <c r="G629" s="148"/>
      <c r="H629" s="151" t="s">
        <v>1997</v>
      </c>
      <c r="I629" s="148"/>
      <c r="J629" s="148"/>
      <c r="K629" s="148"/>
      <c r="L629" s="148"/>
      <c r="M629" s="148"/>
      <c r="N629" s="148"/>
      <c r="O629" s="148"/>
      <c r="P629" s="151" t="s">
        <v>2327</v>
      </c>
      <c r="Q629" s="148"/>
      <c r="R629" s="148"/>
      <c r="S629" s="148"/>
      <c r="T629" s="148"/>
      <c r="U629" s="148"/>
      <c r="V629" s="148"/>
      <c r="W629" s="151" t="s">
        <v>2328</v>
      </c>
      <c r="X629" s="148"/>
      <c r="Y629" s="148"/>
      <c r="Z629" s="148"/>
      <c r="AA629" s="148"/>
      <c r="AB629" s="148"/>
      <c r="AC629" s="151" t="s">
        <v>2329</v>
      </c>
      <c r="AD629" s="148"/>
      <c r="AE629" s="148"/>
      <c r="AF629" s="148"/>
      <c r="AG629" s="148"/>
      <c r="AH629" s="148"/>
      <c r="AI629" s="148"/>
      <c r="AJ629" s="148"/>
      <c r="AK629" s="150">
        <v>76</v>
      </c>
      <c r="AL629" s="144" t="s">
        <v>1317</v>
      </c>
      <c r="AM629" s="150">
        <v>9126</v>
      </c>
      <c r="AN629" s="144" t="s">
        <v>1427</v>
      </c>
    </row>
    <row r="630" spans="1:40" s="42" customFormat="1" ht="15">
      <c r="A630" s="148"/>
      <c r="B630" s="148"/>
      <c r="C630" s="151" t="s">
        <v>2330</v>
      </c>
      <c r="D630" s="151"/>
      <c r="E630" s="148"/>
      <c r="F630" s="148"/>
      <c r="G630" s="148"/>
      <c r="H630" s="151" t="s">
        <v>2331</v>
      </c>
      <c r="I630" s="148"/>
      <c r="J630" s="148"/>
      <c r="K630" s="148"/>
      <c r="L630" s="148"/>
      <c r="M630" s="148"/>
      <c r="N630" s="148"/>
      <c r="O630" s="148"/>
      <c r="P630" s="151" t="s">
        <v>2332</v>
      </c>
      <c r="Q630" s="148"/>
      <c r="R630" s="148"/>
      <c r="S630" s="148"/>
      <c r="T630" s="148"/>
      <c r="U630" s="148"/>
      <c r="V630" s="148"/>
      <c r="W630" s="151" t="s">
        <v>2333</v>
      </c>
      <c r="X630" s="148"/>
      <c r="Y630" s="148"/>
      <c r="Z630" s="148"/>
      <c r="AA630" s="148"/>
      <c r="AB630" s="148"/>
      <c r="AC630" s="151" t="s">
        <v>2334</v>
      </c>
      <c r="AD630" s="148"/>
      <c r="AE630" s="148"/>
      <c r="AF630" s="148"/>
      <c r="AG630" s="148"/>
      <c r="AH630" s="148"/>
      <c r="AI630" s="148"/>
      <c r="AJ630" s="148"/>
      <c r="AK630" s="150">
        <v>76</v>
      </c>
      <c r="AL630" s="144" t="s">
        <v>1317</v>
      </c>
      <c r="AM630" s="150">
        <v>9227</v>
      </c>
      <c r="AN630" s="144" t="s">
        <v>1428</v>
      </c>
    </row>
    <row r="631" spans="1:40" s="42" customFormat="1" ht="15">
      <c r="A631" s="148"/>
      <c r="B631" s="148"/>
      <c r="C631" s="151" t="s">
        <v>1748</v>
      </c>
      <c r="D631" s="151"/>
      <c r="E631" s="148"/>
      <c r="F631" s="148"/>
      <c r="G631" s="148"/>
      <c r="H631" s="151" t="s">
        <v>2335</v>
      </c>
      <c r="I631" s="148"/>
      <c r="J631" s="148"/>
      <c r="K631" s="148"/>
      <c r="L631" s="148"/>
      <c r="M631" s="148"/>
      <c r="N631" s="148"/>
      <c r="O631" s="148"/>
      <c r="P631" s="151" t="s">
        <v>2336</v>
      </c>
      <c r="Q631" s="148"/>
      <c r="R631" s="148"/>
      <c r="S631" s="148"/>
      <c r="T631" s="148"/>
      <c r="U631" s="148"/>
      <c r="V631" s="148"/>
      <c r="W631" s="148"/>
      <c r="X631" s="148"/>
      <c r="Y631" s="148"/>
      <c r="Z631" s="148"/>
      <c r="AA631" s="148"/>
      <c r="AB631" s="148"/>
      <c r="AC631" s="151" t="s">
        <v>2337</v>
      </c>
      <c r="AD631" s="148"/>
      <c r="AE631" s="148"/>
      <c r="AF631" s="148"/>
      <c r="AG631" s="148"/>
      <c r="AH631" s="148"/>
      <c r="AI631" s="148"/>
      <c r="AJ631" s="148"/>
      <c r="AK631" s="150">
        <v>76</v>
      </c>
      <c r="AL631" s="144" t="s">
        <v>1317</v>
      </c>
      <c r="AM631" s="150">
        <v>9228</v>
      </c>
      <c r="AN631" s="144" t="s">
        <v>1429</v>
      </c>
    </row>
    <row r="632" spans="1:40" s="42" customFormat="1" ht="15">
      <c r="A632" s="148"/>
      <c r="B632" s="148"/>
      <c r="C632" s="151" t="s">
        <v>2338</v>
      </c>
      <c r="D632" s="151"/>
      <c r="E632" s="148"/>
      <c r="F632" s="148"/>
      <c r="G632" s="148"/>
      <c r="H632" s="151" t="s">
        <v>2339</v>
      </c>
      <c r="I632" s="148"/>
      <c r="J632" s="148"/>
      <c r="K632" s="148"/>
      <c r="L632" s="148"/>
      <c r="M632" s="148"/>
      <c r="N632" s="148"/>
      <c r="O632" s="148"/>
      <c r="P632" s="151" t="s">
        <v>2340</v>
      </c>
      <c r="Q632" s="148"/>
      <c r="R632" s="148"/>
      <c r="S632" s="148"/>
      <c r="T632" s="148"/>
      <c r="U632" s="148"/>
      <c r="V632" s="148"/>
      <c r="W632" s="148"/>
      <c r="X632" s="148"/>
      <c r="Y632" s="148"/>
      <c r="Z632" s="148"/>
      <c r="AA632" s="148"/>
      <c r="AB632" s="148"/>
      <c r="AC632" s="151" t="s">
        <v>2341</v>
      </c>
      <c r="AD632" s="148"/>
      <c r="AE632" s="148"/>
      <c r="AF632" s="148"/>
      <c r="AG632" s="148"/>
      <c r="AH632" s="148"/>
      <c r="AI632" s="148"/>
      <c r="AJ632" s="148"/>
      <c r="AK632" s="150">
        <v>76</v>
      </c>
      <c r="AL632" s="144" t="s">
        <v>1317</v>
      </c>
      <c r="AM632" s="150">
        <v>9229</v>
      </c>
      <c r="AN632" s="144" t="s">
        <v>1430</v>
      </c>
    </row>
    <row r="633" spans="1:40" s="42" customFormat="1" ht="15">
      <c r="A633" s="148"/>
      <c r="B633" s="148"/>
      <c r="C633" s="151" t="s">
        <v>2342</v>
      </c>
      <c r="D633" s="151"/>
      <c r="E633" s="148"/>
      <c r="F633" s="148"/>
      <c r="G633" s="148"/>
      <c r="H633" s="151" t="s">
        <v>2343</v>
      </c>
      <c r="I633" s="148"/>
      <c r="J633" s="148"/>
      <c r="K633" s="148"/>
      <c r="L633" s="148"/>
      <c r="M633" s="148"/>
      <c r="N633" s="148"/>
      <c r="O633" s="148"/>
      <c r="P633" s="151" t="s">
        <v>2344</v>
      </c>
      <c r="Q633" s="148"/>
      <c r="R633" s="148"/>
      <c r="S633" s="148"/>
      <c r="T633" s="148"/>
      <c r="U633" s="148"/>
      <c r="V633" s="148"/>
      <c r="W633" s="148"/>
      <c r="X633" s="148"/>
      <c r="Y633" s="148"/>
      <c r="Z633" s="148"/>
      <c r="AA633" s="148"/>
      <c r="AB633" s="148"/>
      <c r="AC633" s="151" t="s">
        <v>2345</v>
      </c>
      <c r="AD633" s="148"/>
      <c r="AE633" s="148"/>
      <c r="AF633" s="148"/>
      <c r="AG633" s="148"/>
      <c r="AH633" s="148"/>
      <c r="AI633" s="148"/>
      <c r="AJ633" s="148"/>
      <c r="AK633" s="150">
        <v>76</v>
      </c>
      <c r="AL633" s="144" t="s">
        <v>1317</v>
      </c>
      <c r="AM633" s="150">
        <v>9230</v>
      </c>
      <c r="AN633" s="144" t="s">
        <v>1431</v>
      </c>
    </row>
    <row r="634" spans="1:40" s="42" customFormat="1" ht="15">
      <c r="A634" s="148"/>
      <c r="B634" s="148"/>
      <c r="C634" s="151" t="s">
        <v>2346</v>
      </c>
      <c r="D634" s="151"/>
      <c r="E634" s="148"/>
      <c r="F634" s="148"/>
      <c r="G634" s="148"/>
      <c r="H634" s="151" t="s">
        <v>2347</v>
      </c>
      <c r="I634" s="148"/>
      <c r="J634" s="148"/>
      <c r="K634" s="148"/>
      <c r="L634" s="148"/>
      <c r="M634" s="148"/>
      <c r="N634" s="148"/>
      <c r="O634" s="148"/>
      <c r="P634" s="151" t="s">
        <v>2348</v>
      </c>
      <c r="Q634" s="148"/>
      <c r="R634" s="148"/>
      <c r="S634" s="148"/>
      <c r="T634" s="148"/>
      <c r="U634" s="148"/>
      <c r="V634" s="148"/>
      <c r="W634" s="148"/>
      <c r="X634" s="148"/>
      <c r="Y634" s="148"/>
      <c r="Z634" s="148"/>
      <c r="AA634" s="148"/>
      <c r="AB634" s="148"/>
      <c r="AC634" s="151" t="s">
        <v>1526</v>
      </c>
      <c r="AD634" s="148"/>
      <c r="AE634" s="148"/>
      <c r="AF634" s="148"/>
      <c r="AG634" s="148"/>
      <c r="AH634" s="148"/>
      <c r="AI634" s="148"/>
      <c r="AJ634" s="148"/>
      <c r="AK634" s="150">
        <v>76</v>
      </c>
      <c r="AL634" s="144" t="s">
        <v>1317</v>
      </c>
      <c r="AM634" s="150">
        <v>9311</v>
      </c>
      <c r="AN634" s="144" t="s">
        <v>1432</v>
      </c>
    </row>
    <row r="635" spans="1:40" s="42" customFormat="1" ht="15">
      <c r="A635" s="148"/>
      <c r="B635" s="148"/>
      <c r="C635" s="151" t="s">
        <v>2349</v>
      </c>
      <c r="D635" s="151"/>
      <c r="E635" s="148"/>
      <c r="F635" s="148"/>
      <c r="G635" s="148"/>
      <c r="H635" s="151" t="s">
        <v>2350</v>
      </c>
      <c r="I635" s="148"/>
      <c r="J635" s="148"/>
      <c r="K635" s="148"/>
      <c r="L635" s="148"/>
      <c r="M635" s="148"/>
      <c r="N635" s="148"/>
      <c r="O635" s="148"/>
      <c r="P635" s="151" t="s">
        <v>2351</v>
      </c>
      <c r="Q635" s="148"/>
      <c r="R635" s="148"/>
      <c r="S635" s="148"/>
      <c r="T635" s="148"/>
      <c r="U635" s="148"/>
      <c r="V635" s="148"/>
      <c r="W635" s="148"/>
      <c r="X635" s="148"/>
      <c r="Y635" s="148"/>
      <c r="Z635" s="148"/>
      <c r="AA635" s="148"/>
      <c r="AB635" s="148"/>
      <c r="AC635" s="151" t="s">
        <v>2352</v>
      </c>
      <c r="AD635" s="148"/>
      <c r="AE635" s="148"/>
      <c r="AF635" s="148"/>
      <c r="AG635" s="148"/>
      <c r="AH635" s="148"/>
      <c r="AI635" s="148"/>
      <c r="AJ635" s="148"/>
      <c r="AK635" s="150">
        <v>76</v>
      </c>
      <c r="AL635" s="144" t="s">
        <v>1317</v>
      </c>
      <c r="AM635" s="150">
        <v>9543</v>
      </c>
      <c r="AN635" s="144" t="s">
        <v>1433</v>
      </c>
    </row>
    <row r="636" spans="1:40" s="42" customFormat="1" ht="15">
      <c r="A636" s="148"/>
      <c r="B636" s="148"/>
      <c r="C636" s="151" t="s">
        <v>2353</v>
      </c>
      <c r="D636" s="151"/>
      <c r="E636" s="148"/>
      <c r="F636" s="148"/>
      <c r="G636" s="148"/>
      <c r="H636" s="151" t="s">
        <v>2354</v>
      </c>
      <c r="I636" s="148"/>
      <c r="J636" s="148"/>
      <c r="K636" s="148"/>
      <c r="L636" s="148"/>
      <c r="M636" s="148"/>
      <c r="N636" s="148"/>
      <c r="O636" s="148"/>
      <c r="P636" s="151" t="s">
        <v>2355</v>
      </c>
      <c r="Q636" s="148"/>
      <c r="R636" s="148"/>
      <c r="S636" s="148"/>
      <c r="T636" s="148"/>
      <c r="U636" s="148"/>
      <c r="V636" s="148"/>
      <c r="W636" s="148"/>
      <c r="X636" s="148"/>
      <c r="Y636" s="148"/>
      <c r="Z636" s="148"/>
      <c r="AA636" s="148"/>
      <c r="AB636" s="148"/>
      <c r="AC636" s="151" t="s">
        <v>2356</v>
      </c>
      <c r="AD636" s="148"/>
      <c r="AE636" s="148"/>
      <c r="AF636" s="148"/>
      <c r="AG636" s="148"/>
      <c r="AH636" s="148"/>
      <c r="AI636" s="148"/>
      <c r="AJ636" s="148"/>
      <c r="AK636" s="150">
        <v>76</v>
      </c>
      <c r="AL636" s="144" t="s">
        <v>1317</v>
      </c>
      <c r="AM636" s="150">
        <v>9544</v>
      </c>
      <c r="AN636" s="144" t="s">
        <v>1434</v>
      </c>
    </row>
    <row r="637" spans="1:40" s="42" customFormat="1" ht="15">
      <c r="A637" s="148"/>
      <c r="B637" s="148"/>
      <c r="C637" s="151" t="s">
        <v>2357</v>
      </c>
      <c r="D637" s="151"/>
      <c r="E637" s="148"/>
      <c r="F637" s="148"/>
      <c r="G637" s="148"/>
      <c r="H637" s="151" t="s">
        <v>2358</v>
      </c>
      <c r="I637" s="148"/>
      <c r="J637" s="148"/>
      <c r="K637" s="148"/>
      <c r="L637" s="148"/>
      <c r="M637" s="148"/>
      <c r="N637" s="148"/>
      <c r="O637" s="148"/>
      <c r="P637" s="151" t="s">
        <v>2359</v>
      </c>
      <c r="Q637" s="148"/>
      <c r="R637" s="148"/>
      <c r="S637" s="148"/>
      <c r="T637" s="148"/>
      <c r="U637" s="148"/>
      <c r="V637" s="148"/>
      <c r="W637" s="148"/>
      <c r="X637" s="148"/>
      <c r="Y637" s="148"/>
      <c r="Z637" s="148"/>
      <c r="AA637" s="148"/>
      <c r="AB637" s="148"/>
      <c r="AC637" s="151" t="s">
        <v>2360</v>
      </c>
      <c r="AD637" s="148"/>
      <c r="AE637" s="148"/>
      <c r="AF637" s="148"/>
      <c r="AG637" s="148"/>
      <c r="AH637" s="148"/>
      <c r="AI637" s="148"/>
      <c r="AJ637" s="148"/>
      <c r="AK637" s="154">
        <v>76</v>
      </c>
      <c r="AL637" s="147" t="s">
        <v>1317</v>
      </c>
      <c r="AM637" s="154">
        <v>9230</v>
      </c>
      <c r="AN637" s="147" t="s">
        <v>1435</v>
      </c>
    </row>
    <row r="638" spans="1:40" s="42" customFormat="1" ht="15">
      <c r="A638" s="148"/>
      <c r="B638" s="148"/>
      <c r="C638" s="151" t="s">
        <v>2361</v>
      </c>
      <c r="D638" s="151"/>
      <c r="E638" s="148"/>
      <c r="F638" s="148"/>
      <c r="G638" s="148"/>
      <c r="H638" s="151" t="s">
        <v>2362</v>
      </c>
      <c r="I638" s="148"/>
      <c r="J638" s="148"/>
      <c r="K638" s="148"/>
      <c r="L638" s="148"/>
      <c r="M638" s="148"/>
      <c r="N638" s="148"/>
      <c r="O638" s="148"/>
      <c r="P638" s="151" t="s">
        <v>2363</v>
      </c>
      <c r="Q638" s="148"/>
      <c r="R638" s="148"/>
      <c r="S638" s="148"/>
      <c r="T638" s="148"/>
      <c r="U638" s="148"/>
      <c r="V638" s="148"/>
      <c r="W638" s="148"/>
      <c r="X638" s="148"/>
      <c r="Y638" s="148"/>
      <c r="Z638" s="148"/>
      <c r="AA638" s="148"/>
      <c r="AB638" s="148"/>
      <c r="AC638" s="151" t="s">
        <v>2364</v>
      </c>
      <c r="AD638" s="148"/>
      <c r="AE638" s="148"/>
      <c r="AF638" s="148"/>
      <c r="AG638" s="148"/>
      <c r="AH638" s="148"/>
      <c r="AI638" s="148"/>
      <c r="AJ638" s="148"/>
      <c r="AK638" s="150">
        <v>97</v>
      </c>
      <c r="AL638" s="144" t="s">
        <v>1318</v>
      </c>
      <c r="AM638" s="150">
        <v>9548</v>
      </c>
      <c r="AN638" s="144" t="s">
        <v>1436</v>
      </c>
    </row>
    <row r="639" spans="1:40" s="42" customFormat="1" ht="15">
      <c r="A639" s="148"/>
      <c r="B639" s="148"/>
      <c r="C639" s="151" t="s">
        <v>2207</v>
      </c>
      <c r="D639" s="151"/>
      <c r="E639" s="148"/>
      <c r="F639" s="148"/>
      <c r="G639" s="148"/>
      <c r="H639" s="151" t="s">
        <v>2365</v>
      </c>
      <c r="I639" s="148"/>
      <c r="J639" s="148"/>
      <c r="K639" s="148"/>
      <c r="L639" s="148"/>
      <c r="M639" s="148"/>
      <c r="N639" s="148"/>
      <c r="O639" s="148"/>
      <c r="P639" s="151" t="s">
        <v>2366</v>
      </c>
      <c r="Q639" s="148"/>
      <c r="R639" s="148"/>
      <c r="S639" s="148"/>
      <c r="T639" s="148"/>
      <c r="U639" s="148"/>
      <c r="V639" s="148"/>
      <c r="W639" s="148"/>
      <c r="X639" s="148"/>
      <c r="Y639" s="148"/>
      <c r="Z639" s="148"/>
      <c r="AA639" s="148"/>
      <c r="AB639" s="148"/>
      <c r="AC639" s="151" t="s">
        <v>1720</v>
      </c>
      <c r="AD639" s="148"/>
      <c r="AE639" s="148"/>
      <c r="AF639" s="148"/>
      <c r="AG639" s="148"/>
      <c r="AH639" s="148"/>
      <c r="AI639" s="148"/>
      <c r="AJ639" s="148"/>
      <c r="AK639" s="150">
        <v>99</v>
      </c>
      <c r="AL639" s="144" t="s">
        <v>1319</v>
      </c>
      <c r="AM639" s="150">
        <v>9531</v>
      </c>
      <c r="AN639" s="144" t="s">
        <v>1437</v>
      </c>
    </row>
    <row r="640" spans="1:40" s="42" customFormat="1" ht="15">
      <c r="A640" s="148"/>
      <c r="B640" s="148"/>
      <c r="C640" s="151" t="s">
        <v>2367</v>
      </c>
      <c r="D640" s="151"/>
      <c r="E640" s="148"/>
      <c r="F640" s="148"/>
      <c r="G640" s="148"/>
      <c r="H640" s="151" t="s">
        <v>2368</v>
      </c>
      <c r="I640" s="148"/>
      <c r="J640" s="148"/>
      <c r="K640" s="148"/>
      <c r="L640" s="148"/>
      <c r="M640" s="148"/>
      <c r="N640" s="148"/>
      <c r="O640" s="148"/>
      <c r="P640" s="151" t="s">
        <v>2369</v>
      </c>
      <c r="Q640" s="148"/>
      <c r="R640" s="148"/>
      <c r="S640" s="148"/>
      <c r="T640" s="148"/>
      <c r="U640" s="148"/>
      <c r="V640" s="148"/>
      <c r="W640" s="148"/>
      <c r="X640" s="148"/>
      <c r="Y640" s="148"/>
      <c r="Z640" s="148"/>
      <c r="AA640" s="148"/>
      <c r="AB640" s="148"/>
      <c r="AC640" s="151" t="s">
        <v>2370</v>
      </c>
      <c r="AD640" s="148"/>
      <c r="AE640" s="148"/>
      <c r="AF640" s="148"/>
      <c r="AG640" s="148"/>
      <c r="AH640" s="148"/>
      <c r="AI640" s="148"/>
      <c r="AJ640" s="148"/>
      <c r="AK640" s="148"/>
      <c r="AL640" s="148"/>
      <c r="AM640" s="148"/>
      <c r="AN640" s="148"/>
    </row>
    <row r="641" spans="1:40" s="42" customFormat="1" ht="15">
      <c r="A641" s="148"/>
      <c r="B641" s="153"/>
      <c r="C641" s="151" t="s">
        <v>2371</v>
      </c>
      <c r="D641" s="151"/>
      <c r="E641" s="155"/>
      <c r="F641" s="156"/>
      <c r="G641" s="156"/>
      <c r="H641" s="151" t="s">
        <v>2372</v>
      </c>
      <c r="I641" s="148"/>
      <c r="J641" s="148"/>
      <c r="K641" s="148"/>
      <c r="L641" s="148"/>
      <c r="M641" s="148"/>
      <c r="N641" s="148"/>
      <c r="O641" s="148"/>
      <c r="P641" s="151" t="s">
        <v>2267</v>
      </c>
      <c r="Q641" s="148"/>
      <c r="R641" s="148"/>
      <c r="S641" s="148"/>
      <c r="T641" s="148"/>
      <c r="U641" s="148"/>
      <c r="V641" s="148"/>
      <c r="W641" s="148"/>
      <c r="X641" s="148"/>
      <c r="Y641" s="148"/>
      <c r="Z641" s="148"/>
      <c r="AA641" s="148"/>
      <c r="AB641" s="148"/>
      <c r="AC641" s="151" t="s">
        <v>2307</v>
      </c>
      <c r="AD641" s="148"/>
      <c r="AE641" s="148"/>
      <c r="AF641" s="148"/>
      <c r="AG641" s="148"/>
      <c r="AH641" s="148"/>
      <c r="AI641" s="148"/>
      <c r="AJ641" s="153"/>
      <c r="AK641" s="153"/>
      <c r="AL641" s="153"/>
      <c r="AM641" s="153"/>
      <c r="AN641" s="153"/>
    </row>
    <row r="642" spans="1:40" s="42" customFormat="1" ht="15">
      <c r="A642" s="148"/>
      <c r="B642" s="153"/>
      <c r="C642" s="151" t="s">
        <v>2373</v>
      </c>
      <c r="D642" s="151"/>
      <c r="E642" s="155"/>
      <c r="F642" s="156"/>
      <c r="G642" s="156"/>
      <c r="H642" s="151" t="s">
        <v>2374</v>
      </c>
      <c r="I642" s="148"/>
      <c r="J642" s="148"/>
      <c r="K642" s="148"/>
      <c r="L642" s="148"/>
      <c r="M642" s="148"/>
      <c r="N642" s="148"/>
      <c r="O642" s="148"/>
      <c r="P642" s="151" t="s">
        <v>2375</v>
      </c>
      <c r="Q642" s="148"/>
      <c r="R642" s="148"/>
      <c r="S642" s="148"/>
      <c r="T642" s="148"/>
      <c r="U642" s="148"/>
      <c r="V642" s="148"/>
      <c r="W642" s="148"/>
      <c r="X642" s="148"/>
      <c r="Y642" s="148"/>
      <c r="Z642" s="148"/>
      <c r="AA642" s="148"/>
      <c r="AB642" s="148"/>
      <c r="AC642" s="151" t="s">
        <v>2376</v>
      </c>
      <c r="AD642" s="148"/>
      <c r="AE642" s="148"/>
      <c r="AF642" s="148"/>
      <c r="AG642" s="148"/>
      <c r="AH642" s="148"/>
      <c r="AI642" s="153"/>
      <c r="AJ642" s="153"/>
      <c r="AK642" s="153"/>
      <c r="AL642" s="153"/>
      <c r="AM642" s="153"/>
    </row>
    <row r="643" spans="1:40" s="42" customFormat="1" ht="15">
      <c r="A643" s="153"/>
      <c r="B643" s="153"/>
      <c r="C643" s="151" t="s">
        <v>2377</v>
      </c>
      <c r="D643" s="151"/>
      <c r="E643" s="155"/>
      <c r="F643" s="156"/>
      <c r="G643" s="156"/>
      <c r="H643" s="151" t="s">
        <v>2378</v>
      </c>
      <c r="I643" s="148"/>
      <c r="J643" s="148"/>
      <c r="K643" s="148"/>
      <c r="L643" s="148"/>
      <c r="M643" s="148"/>
      <c r="N643" s="148"/>
      <c r="O643" s="148"/>
      <c r="P643" s="151" t="s">
        <v>2283</v>
      </c>
      <c r="Q643" s="148"/>
      <c r="R643" s="148"/>
      <c r="S643" s="148"/>
      <c r="T643" s="148"/>
      <c r="U643" s="148"/>
      <c r="V643" s="148"/>
      <c r="W643" s="148"/>
      <c r="X643" s="148"/>
      <c r="Y643" s="148"/>
      <c r="Z643" s="148"/>
      <c r="AA643" s="148"/>
      <c r="AB643" s="148"/>
      <c r="AC643" s="151" t="s">
        <v>2379</v>
      </c>
      <c r="AD643" s="148"/>
      <c r="AE643" s="148"/>
      <c r="AF643" s="148"/>
      <c r="AG643" s="148"/>
      <c r="AH643" s="148"/>
      <c r="AI643" s="153"/>
      <c r="AJ643" s="153"/>
      <c r="AK643" s="153"/>
      <c r="AL643" s="153"/>
      <c r="AM643" s="153"/>
    </row>
    <row r="644" spans="1:40" s="42" customFormat="1" ht="15">
      <c r="A644" s="153"/>
      <c r="B644" s="153"/>
      <c r="C644" s="151" t="s">
        <v>2380</v>
      </c>
      <c r="D644" s="151"/>
      <c r="E644" s="155"/>
      <c r="F644" s="156"/>
      <c r="G644" s="156"/>
      <c r="H644" s="151" t="s">
        <v>2381</v>
      </c>
      <c r="I644" s="148"/>
      <c r="J644" s="148"/>
      <c r="K644" s="148"/>
      <c r="L644" s="148"/>
      <c r="M644" s="148"/>
      <c r="N644" s="148"/>
      <c r="O644" s="148"/>
      <c r="P644" s="151" t="s">
        <v>2132</v>
      </c>
      <c r="Q644" s="148"/>
      <c r="R644" s="148"/>
      <c r="S644" s="148"/>
      <c r="T644" s="148"/>
      <c r="U644" s="148"/>
      <c r="V644" s="148"/>
      <c r="W644" s="148"/>
      <c r="X644" s="148"/>
      <c r="Y644" s="148"/>
      <c r="Z644" s="148"/>
      <c r="AA644" s="148"/>
      <c r="AB644" s="148"/>
      <c r="AC644" s="151" t="s">
        <v>2382</v>
      </c>
      <c r="AD644" s="148"/>
      <c r="AE644" s="148"/>
      <c r="AF644" s="148"/>
      <c r="AG644" s="148"/>
      <c r="AH644" s="148"/>
      <c r="AI644" s="153"/>
      <c r="AJ644" s="153"/>
      <c r="AK644" s="153"/>
      <c r="AL644" s="153"/>
      <c r="AM644" s="153"/>
    </row>
    <row r="645" spans="1:40" s="42" customFormat="1" ht="15">
      <c r="A645" s="153"/>
      <c r="B645" s="153"/>
      <c r="C645" s="151" t="s">
        <v>2383</v>
      </c>
      <c r="D645" s="151"/>
      <c r="E645" s="155"/>
      <c r="F645" s="156"/>
      <c r="G645" s="156"/>
      <c r="H645" s="151" t="s">
        <v>2384</v>
      </c>
      <c r="I645" s="148"/>
      <c r="J645" s="148"/>
      <c r="K645" s="148"/>
      <c r="L645" s="148"/>
      <c r="M645" s="148"/>
      <c r="N645" s="148"/>
      <c r="O645" s="148"/>
      <c r="P645" s="151" t="s">
        <v>1695</v>
      </c>
      <c r="Q645" s="148"/>
      <c r="R645" s="148"/>
      <c r="S645" s="148"/>
      <c r="T645" s="148"/>
      <c r="U645" s="148"/>
      <c r="V645" s="148"/>
      <c r="W645" s="148"/>
      <c r="X645" s="148"/>
      <c r="Y645" s="148"/>
      <c r="Z645" s="148"/>
      <c r="AA645" s="148"/>
      <c r="AB645" s="148"/>
      <c r="AC645" s="151" t="s">
        <v>2385</v>
      </c>
      <c r="AD645" s="148"/>
      <c r="AE645" s="148"/>
      <c r="AF645" s="148"/>
      <c r="AG645" s="148"/>
      <c r="AH645" s="148"/>
      <c r="AI645" s="153"/>
      <c r="AJ645" s="153"/>
      <c r="AK645" s="153"/>
      <c r="AL645" s="153"/>
      <c r="AM645" s="153"/>
    </row>
    <row r="646" spans="1:40" s="42" customFormat="1" ht="15">
      <c r="A646" s="153"/>
      <c r="B646" s="153"/>
      <c r="C646" s="151" t="s">
        <v>2386</v>
      </c>
      <c r="D646" s="151"/>
      <c r="E646" s="155"/>
      <c r="F646" s="156"/>
      <c r="G646" s="156"/>
      <c r="H646" s="151" t="s">
        <v>2387</v>
      </c>
      <c r="I646" s="148"/>
      <c r="J646" s="148"/>
      <c r="K646" s="148"/>
      <c r="L646" s="148"/>
      <c r="M646" s="148"/>
      <c r="N646" s="148"/>
      <c r="O646" s="148"/>
      <c r="P646" s="151" t="s">
        <v>2388</v>
      </c>
      <c r="Q646" s="148"/>
      <c r="R646" s="148"/>
      <c r="S646" s="148"/>
      <c r="T646" s="148"/>
      <c r="U646" s="148"/>
      <c r="V646" s="148"/>
      <c r="W646" s="148"/>
      <c r="X646" s="148"/>
      <c r="Y646" s="148"/>
      <c r="Z646" s="148"/>
      <c r="AA646" s="148"/>
      <c r="AB646" s="148"/>
      <c r="AC646" s="151" t="s">
        <v>2039</v>
      </c>
      <c r="AD646" s="148"/>
      <c r="AE646" s="148"/>
      <c r="AF646" s="148"/>
      <c r="AG646" s="148"/>
      <c r="AH646" s="148"/>
      <c r="AI646" s="153"/>
      <c r="AJ646" s="153"/>
      <c r="AK646" s="153"/>
      <c r="AL646" s="153"/>
      <c r="AM646" s="153"/>
    </row>
    <row r="647" spans="1:40" s="42" customFormat="1" ht="15">
      <c r="A647" s="153"/>
      <c r="B647" s="153"/>
      <c r="C647" s="151" t="s">
        <v>2389</v>
      </c>
      <c r="D647" s="151"/>
      <c r="E647" s="155"/>
      <c r="F647" s="156"/>
      <c r="G647" s="156"/>
      <c r="H647" s="151" t="s">
        <v>2390</v>
      </c>
      <c r="I647" s="148"/>
      <c r="J647" s="148"/>
      <c r="K647" s="148"/>
      <c r="L647" s="148"/>
      <c r="M647" s="148"/>
      <c r="N647" s="148"/>
      <c r="O647" s="148"/>
      <c r="P647" s="151" t="s">
        <v>2391</v>
      </c>
      <c r="Q647" s="148"/>
      <c r="R647" s="148"/>
      <c r="S647" s="148"/>
      <c r="T647" s="148"/>
      <c r="U647" s="148"/>
      <c r="V647" s="148"/>
      <c r="W647" s="148"/>
      <c r="X647" s="148"/>
      <c r="Y647" s="148"/>
      <c r="Z647" s="148"/>
      <c r="AA647" s="148"/>
      <c r="AB647" s="148"/>
      <c r="AC647" s="151" t="s">
        <v>2392</v>
      </c>
      <c r="AD647" s="148"/>
      <c r="AE647" s="148"/>
      <c r="AF647" s="148"/>
      <c r="AG647" s="148"/>
      <c r="AH647" s="148"/>
      <c r="AI647" s="153"/>
      <c r="AJ647" s="153"/>
      <c r="AK647" s="153"/>
      <c r="AL647" s="153"/>
      <c r="AM647" s="153"/>
    </row>
    <row r="648" spans="1:40" s="42" customFormat="1" ht="15">
      <c r="A648" s="153"/>
      <c r="B648" s="153"/>
      <c r="C648" s="151" t="s">
        <v>2393</v>
      </c>
      <c r="D648" s="151"/>
      <c r="E648" s="155"/>
      <c r="F648" s="156"/>
      <c r="G648" s="156"/>
      <c r="H648" s="151" t="s">
        <v>2394</v>
      </c>
      <c r="I648" s="148"/>
      <c r="J648" s="148"/>
      <c r="K648" s="148"/>
      <c r="L648" s="148"/>
      <c r="M648" s="148"/>
      <c r="N648" s="148"/>
      <c r="O648" s="148"/>
      <c r="P648" s="151" t="s">
        <v>2395</v>
      </c>
      <c r="Q648" s="148"/>
      <c r="R648" s="148"/>
      <c r="S648" s="148"/>
      <c r="T648" s="148"/>
      <c r="U648" s="148"/>
      <c r="V648" s="148"/>
      <c r="W648" s="148"/>
      <c r="X648" s="148"/>
      <c r="Y648" s="148"/>
      <c r="Z648" s="148"/>
      <c r="AA648" s="148"/>
      <c r="AB648" s="148"/>
      <c r="AC648" s="151" t="s">
        <v>2396</v>
      </c>
      <c r="AD648" s="148"/>
      <c r="AE648" s="148"/>
      <c r="AF648" s="148"/>
      <c r="AG648" s="148"/>
      <c r="AH648" s="148"/>
      <c r="AI648" s="153"/>
      <c r="AJ648" s="153"/>
      <c r="AK648" s="153"/>
      <c r="AL648" s="153"/>
      <c r="AM648" s="153"/>
    </row>
    <row r="649" spans="1:40" s="42" customFormat="1" ht="15">
      <c r="A649" s="153"/>
      <c r="B649" s="153"/>
      <c r="C649" s="151" t="s">
        <v>2397</v>
      </c>
      <c r="D649" s="151"/>
      <c r="E649" s="155"/>
      <c r="F649" s="156"/>
      <c r="G649" s="156"/>
      <c r="H649" s="151" t="s">
        <v>2398</v>
      </c>
      <c r="I649" s="148"/>
      <c r="J649" s="148"/>
      <c r="K649" s="148"/>
      <c r="L649" s="148"/>
      <c r="M649" s="148"/>
      <c r="N649" s="148"/>
      <c r="O649" s="148"/>
      <c r="P649" s="151" t="s">
        <v>2399</v>
      </c>
      <c r="Q649" s="148"/>
      <c r="R649" s="148"/>
      <c r="S649" s="148"/>
      <c r="T649" s="148"/>
      <c r="U649" s="148"/>
      <c r="V649" s="148"/>
      <c r="W649" s="148"/>
      <c r="X649" s="148"/>
      <c r="Y649" s="148"/>
      <c r="Z649" s="148"/>
      <c r="AA649" s="148"/>
      <c r="AB649" s="148"/>
      <c r="AC649" s="151" t="s">
        <v>2400</v>
      </c>
      <c r="AD649" s="148"/>
      <c r="AE649" s="148"/>
      <c r="AF649" s="148"/>
      <c r="AG649" s="148"/>
      <c r="AH649" s="148"/>
      <c r="AI649" s="153"/>
      <c r="AJ649" s="153"/>
      <c r="AK649" s="153"/>
      <c r="AL649" s="153"/>
      <c r="AM649" s="153"/>
    </row>
    <row r="650" spans="1:40" s="42" customFormat="1" ht="15">
      <c r="A650" s="153"/>
      <c r="B650" s="153"/>
      <c r="C650" s="151" t="s">
        <v>2401</v>
      </c>
      <c r="D650" s="151"/>
      <c r="E650" s="155"/>
      <c r="F650" s="156"/>
      <c r="G650" s="156"/>
      <c r="H650" s="151" t="s">
        <v>2402</v>
      </c>
      <c r="I650" s="148"/>
      <c r="J650" s="148"/>
      <c r="K650" s="148"/>
      <c r="L650" s="148"/>
      <c r="M650" s="148"/>
      <c r="N650" s="148"/>
      <c r="O650" s="148"/>
      <c r="P650" s="151" t="s">
        <v>2403</v>
      </c>
      <c r="Q650" s="148"/>
      <c r="R650" s="148"/>
      <c r="S650" s="148"/>
      <c r="T650" s="148"/>
      <c r="U650" s="148"/>
      <c r="V650" s="148"/>
      <c r="W650" s="148"/>
      <c r="X650" s="148"/>
      <c r="Y650" s="148"/>
      <c r="Z650" s="148"/>
      <c r="AA650" s="148"/>
      <c r="AB650" s="148"/>
      <c r="AC650" s="151" t="s">
        <v>2404</v>
      </c>
      <c r="AD650" s="148"/>
      <c r="AE650" s="148"/>
      <c r="AF650" s="148"/>
      <c r="AG650" s="148"/>
      <c r="AH650" s="148"/>
      <c r="AI650" s="153"/>
      <c r="AJ650" s="153"/>
      <c r="AK650" s="153"/>
      <c r="AL650" s="153"/>
      <c r="AM650" s="153"/>
    </row>
    <row r="651" spans="1:40" s="42" customFormat="1" ht="15">
      <c r="A651" s="153"/>
      <c r="B651" s="153"/>
      <c r="C651" s="151" t="s">
        <v>2341</v>
      </c>
      <c r="D651" s="151"/>
      <c r="E651" s="155"/>
      <c r="F651" s="156"/>
      <c r="G651" s="156"/>
      <c r="H651" s="151" t="s">
        <v>2405</v>
      </c>
      <c r="I651" s="148"/>
      <c r="J651" s="148"/>
      <c r="K651" s="148"/>
      <c r="L651" s="148"/>
      <c r="M651" s="148"/>
      <c r="N651" s="148"/>
      <c r="O651" s="148"/>
      <c r="P651" s="151" t="s">
        <v>2406</v>
      </c>
      <c r="Q651" s="148"/>
      <c r="R651" s="148"/>
      <c r="S651" s="148"/>
      <c r="T651" s="148"/>
      <c r="U651" s="148"/>
      <c r="V651" s="148"/>
      <c r="W651" s="148"/>
      <c r="X651" s="148"/>
      <c r="Y651" s="148"/>
      <c r="Z651" s="148"/>
      <c r="AA651" s="148"/>
      <c r="AB651" s="148"/>
      <c r="AC651" s="151" t="s">
        <v>2407</v>
      </c>
      <c r="AD651" s="148"/>
      <c r="AE651" s="148"/>
      <c r="AF651" s="148"/>
      <c r="AG651" s="148"/>
      <c r="AH651" s="148"/>
      <c r="AI651" s="153"/>
      <c r="AJ651" s="153"/>
      <c r="AK651" s="153"/>
      <c r="AL651" s="153"/>
      <c r="AM651" s="153"/>
    </row>
    <row r="652" spans="1:40" s="42" customFormat="1" ht="15">
      <c r="A652" s="153"/>
      <c r="B652" s="153"/>
      <c r="C652" s="151" t="s">
        <v>1780</v>
      </c>
      <c r="D652" s="151"/>
      <c r="E652" s="155"/>
      <c r="F652" s="156"/>
      <c r="G652" s="156"/>
      <c r="H652" s="151" t="s">
        <v>2093</v>
      </c>
      <c r="I652" s="148"/>
      <c r="J652" s="148"/>
      <c r="K652" s="148"/>
      <c r="L652" s="148"/>
      <c r="M652" s="148"/>
      <c r="N652" s="148"/>
      <c r="O652" s="148"/>
      <c r="P652" s="151" t="s">
        <v>2408</v>
      </c>
      <c r="Q652" s="148"/>
      <c r="R652" s="148"/>
      <c r="S652" s="148"/>
      <c r="T652" s="148"/>
      <c r="U652" s="148"/>
      <c r="V652" s="148"/>
      <c r="W652" s="148"/>
      <c r="X652" s="148"/>
      <c r="Y652" s="148"/>
      <c r="Z652" s="148"/>
      <c r="AA652" s="148"/>
      <c r="AB652" s="148"/>
      <c r="AC652" s="151" t="s">
        <v>1853</v>
      </c>
      <c r="AD652" s="148"/>
      <c r="AE652" s="148"/>
      <c r="AF652" s="148"/>
      <c r="AG652" s="148"/>
      <c r="AH652" s="148"/>
      <c r="AI652" s="153"/>
      <c r="AJ652" s="153"/>
      <c r="AK652" s="153"/>
      <c r="AL652" s="153"/>
      <c r="AM652" s="153"/>
    </row>
    <row r="653" spans="1:40" s="42" customFormat="1" ht="15">
      <c r="A653" s="153"/>
      <c r="B653" s="153"/>
      <c r="C653" s="151" t="s">
        <v>2409</v>
      </c>
      <c r="D653" s="151"/>
      <c r="E653" s="155"/>
      <c r="F653" s="156"/>
      <c r="G653" s="156"/>
      <c r="H653" s="151" t="s">
        <v>2410</v>
      </c>
      <c r="I653" s="148"/>
      <c r="J653" s="148"/>
      <c r="K653" s="148"/>
      <c r="L653" s="148"/>
      <c r="M653" s="148"/>
      <c r="N653" s="148"/>
      <c r="O653" s="148"/>
      <c r="P653" s="151" t="s">
        <v>2411</v>
      </c>
      <c r="Q653" s="148"/>
      <c r="R653" s="148"/>
      <c r="S653" s="148"/>
      <c r="T653" s="148"/>
      <c r="U653" s="148"/>
      <c r="V653" s="148"/>
      <c r="W653" s="148"/>
      <c r="X653" s="148"/>
      <c r="Y653" s="148"/>
      <c r="Z653" s="148"/>
      <c r="AA653" s="148"/>
      <c r="AB653" s="148"/>
      <c r="AC653" s="151" t="s">
        <v>2412</v>
      </c>
      <c r="AD653" s="148"/>
      <c r="AE653" s="148"/>
      <c r="AF653" s="148"/>
      <c r="AG653" s="148"/>
      <c r="AH653" s="148"/>
      <c r="AI653" s="153"/>
      <c r="AJ653" s="153"/>
      <c r="AK653" s="153"/>
      <c r="AL653" s="153"/>
      <c r="AM653" s="153"/>
    </row>
    <row r="654" spans="1:40" s="42" customFormat="1" ht="15">
      <c r="A654" s="153"/>
      <c r="B654" s="153"/>
      <c r="C654" s="151" t="s">
        <v>2413</v>
      </c>
      <c r="D654" s="151"/>
      <c r="E654" s="155"/>
      <c r="F654" s="156"/>
      <c r="G654" s="156"/>
      <c r="H654" s="151" t="s">
        <v>2414</v>
      </c>
      <c r="I654" s="148"/>
      <c r="J654" s="148"/>
      <c r="K654" s="148"/>
      <c r="L654" s="148"/>
      <c r="M654" s="148"/>
      <c r="N654" s="148"/>
      <c r="O654" s="148"/>
      <c r="P654" s="151" t="s">
        <v>2415</v>
      </c>
      <c r="Q654" s="148"/>
      <c r="R654" s="148"/>
      <c r="S654" s="148"/>
      <c r="T654" s="148"/>
      <c r="U654" s="148"/>
      <c r="V654" s="148"/>
      <c r="W654" s="148"/>
      <c r="X654" s="148"/>
      <c r="Y654" s="148"/>
      <c r="Z654" s="148"/>
      <c r="AA654" s="148"/>
      <c r="AB654" s="148"/>
      <c r="AC654" s="148"/>
      <c r="AD654" s="148"/>
      <c r="AE654" s="148"/>
      <c r="AF654" s="148"/>
      <c r="AG654" s="148"/>
      <c r="AH654" s="148"/>
      <c r="AI654" s="153"/>
      <c r="AJ654" s="153"/>
      <c r="AK654" s="153"/>
      <c r="AL654" s="153"/>
      <c r="AM654" s="153"/>
    </row>
    <row r="655" spans="1:40" s="42" customFormat="1" ht="15">
      <c r="A655" s="153"/>
      <c r="B655" s="153"/>
      <c r="C655" s="151" t="s">
        <v>2416</v>
      </c>
      <c r="D655" s="151"/>
      <c r="E655" s="155"/>
      <c r="F655" s="156"/>
      <c r="G655" s="156"/>
      <c r="H655" s="151" t="s">
        <v>2417</v>
      </c>
      <c r="I655" s="148"/>
      <c r="J655" s="148"/>
      <c r="K655" s="148"/>
      <c r="L655" s="148"/>
      <c r="M655" s="148"/>
      <c r="N655" s="148"/>
      <c r="O655" s="148"/>
      <c r="P655" s="151" t="s">
        <v>2418</v>
      </c>
      <c r="Q655" s="148"/>
      <c r="R655" s="148"/>
      <c r="S655" s="148"/>
      <c r="T655" s="148"/>
      <c r="U655" s="148"/>
      <c r="V655" s="148"/>
      <c r="W655" s="148"/>
      <c r="X655" s="148"/>
      <c r="Y655" s="148"/>
      <c r="Z655" s="148"/>
      <c r="AA655" s="148"/>
      <c r="AB655" s="148"/>
      <c r="AC655" s="148"/>
      <c r="AD655" s="148"/>
      <c r="AE655" s="148"/>
      <c r="AF655" s="148"/>
      <c r="AG655" s="148"/>
      <c r="AH655" s="148"/>
      <c r="AI655" s="153"/>
      <c r="AJ655" s="153"/>
      <c r="AK655" s="153"/>
      <c r="AL655" s="153"/>
      <c r="AM655" s="153"/>
    </row>
    <row r="656" spans="1:40" s="42" customFormat="1" ht="15">
      <c r="A656" s="153"/>
      <c r="B656" s="153"/>
      <c r="C656" s="151" t="s">
        <v>2032</v>
      </c>
      <c r="D656" s="151"/>
      <c r="E656" s="155"/>
      <c r="F656" s="156"/>
      <c r="G656" s="156"/>
      <c r="H656" s="151" t="s">
        <v>2419</v>
      </c>
      <c r="I656" s="148"/>
      <c r="J656" s="148"/>
      <c r="K656" s="148"/>
      <c r="L656" s="148"/>
      <c r="M656" s="148"/>
      <c r="N656" s="148"/>
      <c r="O656" s="148"/>
      <c r="P656" s="151" t="s">
        <v>2420</v>
      </c>
      <c r="Q656" s="148"/>
      <c r="R656" s="148"/>
      <c r="S656" s="148"/>
      <c r="T656" s="148"/>
      <c r="U656" s="148"/>
      <c r="V656" s="148"/>
      <c r="W656" s="148"/>
      <c r="X656" s="148"/>
      <c r="Y656" s="148"/>
      <c r="Z656" s="148"/>
      <c r="AA656" s="148"/>
      <c r="AB656" s="148"/>
      <c r="AC656" s="148"/>
      <c r="AD656" s="148"/>
      <c r="AE656" s="148"/>
      <c r="AF656" s="148"/>
      <c r="AG656" s="148"/>
      <c r="AH656" s="148"/>
      <c r="AI656" s="153"/>
      <c r="AJ656" s="153"/>
      <c r="AK656" s="153"/>
      <c r="AL656" s="153"/>
      <c r="AM656" s="153"/>
    </row>
    <row r="657" spans="1:39" s="42" customFormat="1" ht="15">
      <c r="A657" s="153"/>
      <c r="B657" s="153"/>
      <c r="C657" s="151" t="s">
        <v>1695</v>
      </c>
      <c r="D657" s="151"/>
      <c r="E657" s="155"/>
      <c r="F657" s="156"/>
      <c r="G657" s="156"/>
      <c r="H657" s="151" t="s">
        <v>2421</v>
      </c>
      <c r="I657" s="148"/>
      <c r="J657" s="148"/>
      <c r="K657" s="148"/>
      <c r="L657" s="148"/>
      <c r="M657" s="148"/>
      <c r="N657" s="148"/>
      <c r="O657" s="148"/>
      <c r="P657" s="151" t="s">
        <v>2422</v>
      </c>
      <c r="Q657" s="148"/>
      <c r="R657" s="148"/>
      <c r="S657" s="148"/>
      <c r="T657" s="148"/>
      <c r="U657" s="148"/>
      <c r="V657" s="148"/>
      <c r="W657" s="148"/>
      <c r="X657" s="148"/>
      <c r="Y657" s="148"/>
      <c r="Z657" s="148"/>
      <c r="AA657" s="148"/>
      <c r="AB657" s="148"/>
      <c r="AC657" s="148"/>
      <c r="AD657" s="148"/>
      <c r="AE657" s="148"/>
      <c r="AF657" s="148"/>
      <c r="AG657" s="148"/>
      <c r="AH657" s="148"/>
      <c r="AI657" s="153"/>
      <c r="AJ657" s="153"/>
      <c r="AK657" s="153"/>
      <c r="AL657" s="153"/>
      <c r="AM657" s="153"/>
    </row>
    <row r="658" spans="1:39" s="42" customFormat="1" ht="15">
      <c r="A658" s="153"/>
      <c r="B658" s="153"/>
      <c r="C658" s="151" t="s">
        <v>2423</v>
      </c>
      <c r="D658" s="151"/>
      <c r="E658" s="155"/>
      <c r="F658" s="156"/>
      <c r="G658" s="156"/>
      <c r="H658" s="151" t="s">
        <v>2424</v>
      </c>
      <c r="I658" s="148"/>
      <c r="J658" s="148"/>
      <c r="K658" s="148"/>
      <c r="L658" s="148"/>
      <c r="M658" s="148"/>
      <c r="N658" s="148"/>
      <c r="O658" s="148"/>
      <c r="P658" s="151" t="s">
        <v>2425</v>
      </c>
      <c r="Q658" s="148"/>
      <c r="R658" s="148"/>
      <c r="S658" s="148"/>
      <c r="T658" s="148"/>
      <c r="U658" s="148"/>
      <c r="V658" s="148"/>
      <c r="W658" s="148"/>
      <c r="X658" s="148"/>
      <c r="Y658" s="148"/>
      <c r="Z658" s="148"/>
      <c r="AA658" s="148"/>
      <c r="AB658" s="148"/>
      <c r="AC658" s="148"/>
      <c r="AD658" s="148"/>
      <c r="AE658" s="148"/>
      <c r="AF658" s="148"/>
      <c r="AG658" s="148"/>
      <c r="AH658" s="148"/>
      <c r="AI658" s="153"/>
      <c r="AJ658" s="153"/>
      <c r="AK658" s="153"/>
      <c r="AL658" s="153"/>
      <c r="AM658" s="153"/>
    </row>
    <row r="659" spans="1:39" s="42" customFormat="1" ht="15">
      <c r="A659" s="153"/>
      <c r="B659" s="153"/>
      <c r="C659" s="151" t="s">
        <v>2426</v>
      </c>
      <c r="D659" s="151"/>
      <c r="E659" s="155"/>
      <c r="F659" s="156"/>
      <c r="G659" s="156"/>
      <c r="H659" s="151" t="s">
        <v>2427</v>
      </c>
      <c r="I659" s="148"/>
      <c r="J659" s="148"/>
      <c r="K659" s="148"/>
      <c r="L659" s="148"/>
      <c r="M659" s="148"/>
      <c r="N659" s="148"/>
      <c r="O659" s="148"/>
      <c r="P659" s="151" t="s">
        <v>2428</v>
      </c>
      <c r="Q659" s="148"/>
      <c r="R659" s="148"/>
      <c r="S659" s="148"/>
      <c r="T659" s="148"/>
      <c r="U659" s="148"/>
      <c r="V659" s="148"/>
      <c r="W659" s="148"/>
      <c r="X659" s="148"/>
      <c r="Y659" s="148"/>
      <c r="Z659" s="148"/>
      <c r="AA659" s="148"/>
      <c r="AB659" s="148"/>
      <c r="AC659" s="148"/>
      <c r="AD659" s="148"/>
      <c r="AE659" s="148"/>
      <c r="AF659" s="148"/>
      <c r="AG659" s="148"/>
      <c r="AH659" s="148"/>
      <c r="AI659" s="153"/>
      <c r="AJ659" s="153"/>
      <c r="AK659" s="153"/>
      <c r="AL659" s="153"/>
      <c r="AM659" s="153"/>
    </row>
    <row r="660" spans="1:39" s="42" customFormat="1" ht="15">
      <c r="A660" s="153"/>
      <c r="B660" s="153"/>
      <c r="C660" s="151" t="s">
        <v>2429</v>
      </c>
      <c r="D660" s="151"/>
      <c r="E660" s="155"/>
      <c r="F660" s="156"/>
      <c r="G660" s="156"/>
      <c r="H660" s="151" t="s">
        <v>2430</v>
      </c>
      <c r="I660" s="148"/>
      <c r="J660" s="148"/>
      <c r="K660" s="148"/>
      <c r="L660" s="148"/>
      <c r="M660" s="148"/>
      <c r="N660" s="148"/>
      <c r="O660" s="148"/>
      <c r="P660" s="151" t="s">
        <v>2431</v>
      </c>
      <c r="Q660" s="148"/>
      <c r="R660" s="148"/>
      <c r="S660" s="148"/>
      <c r="T660" s="148"/>
      <c r="U660" s="148"/>
      <c r="V660" s="148"/>
      <c r="W660" s="148"/>
      <c r="X660" s="148"/>
      <c r="Y660" s="148"/>
      <c r="Z660" s="148"/>
      <c r="AA660" s="148"/>
      <c r="AB660" s="148"/>
      <c r="AC660" s="148"/>
      <c r="AD660" s="148"/>
      <c r="AE660" s="148"/>
      <c r="AF660" s="148"/>
      <c r="AG660" s="148"/>
      <c r="AH660" s="148"/>
      <c r="AI660" s="153"/>
      <c r="AJ660" s="153"/>
      <c r="AK660" s="153"/>
      <c r="AL660" s="153"/>
      <c r="AM660" s="153"/>
    </row>
    <row r="661" spans="1:39" s="42" customFormat="1" ht="15">
      <c r="A661" s="153"/>
      <c r="B661" s="153"/>
      <c r="C661" s="151" t="s">
        <v>2210</v>
      </c>
      <c r="D661" s="151"/>
      <c r="E661" s="155"/>
      <c r="F661" s="156"/>
      <c r="G661" s="156"/>
      <c r="H661" s="151" t="s">
        <v>2432</v>
      </c>
      <c r="I661" s="148"/>
      <c r="J661" s="148"/>
      <c r="K661" s="148"/>
      <c r="L661" s="148"/>
      <c r="M661" s="148"/>
      <c r="N661" s="148"/>
      <c r="O661" s="148"/>
      <c r="P661" s="151" t="s">
        <v>2433</v>
      </c>
      <c r="Q661" s="148"/>
      <c r="R661" s="148"/>
      <c r="S661" s="148"/>
      <c r="T661" s="148"/>
      <c r="U661" s="148"/>
      <c r="V661" s="148"/>
      <c r="W661" s="148"/>
      <c r="X661" s="148"/>
      <c r="Y661" s="148"/>
      <c r="Z661" s="148"/>
      <c r="AA661" s="148"/>
      <c r="AB661" s="148"/>
      <c r="AC661" s="148"/>
      <c r="AD661" s="148"/>
      <c r="AE661" s="148"/>
      <c r="AF661" s="148"/>
      <c r="AG661" s="148"/>
      <c r="AH661" s="148"/>
      <c r="AI661" s="153"/>
      <c r="AJ661" s="153"/>
      <c r="AK661" s="153"/>
      <c r="AL661" s="153"/>
      <c r="AM661" s="153"/>
    </row>
    <row r="662" spans="1:39" s="42" customFormat="1" ht="15">
      <c r="A662" s="153"/>
      <c r="B662" s="153"/>
      <c r="C662" s="151" t="s">
        <v>2434</v>
      </c>
      <c r="D662" s="151"/>
      <c r="E662" s="155"/>
      <c r="F662" s="156"/>
      <c r="G662" s="156"/>
      <c r="H662" s="151" t="s">
        <v>2435</v>
      </c>
      <c r="I662" s="148"/>
      <c r="J662" s="148"/>
      <c r="K662" s="148"/>
      <c r="L662" s="148"/>
      <c r="M662" s="148"/>
      <c r="N662" s="148"/>
      <c r="O662" s="148"/>
      <c r="P662" s="151" t="s">
        <v>2436</v>
      </c>
      <c r="Q662" s="148"/>
      <c r="R662" s="148"/>
      <c r="S662" s="148"/>
      <c r="T662" s="148"/>
      <c r="U662" s="148"/>
      <c r="V662" s="148"/>
      <c r="W662" s="148"/>
      <c r="X662" s="148"/>
      <c r="Y662" s="148"/>
      <c r="Z662" s="148"/>
      <c r="AA662" s="148"/>
      <c r="AB662" s="148"/>
      <c r="AC662" s="148"/>
      <c r="AD662" s="148"/>
      <c r="AE662" s="148"/>
      <c r="AF662" s="148"/>
      <c r="AG662" s="148"/>
      <c r="AH662" s="148"/>
      <c r="AI662" s="153"/>
      <c r="AJ662" s="153"/>
      <c r="AK662" s="153"/>
      <c r="AL662" s="153"/>
      <c r="AM662" s="153"/>
    </row>
    <row r="663" spans="1:39" s="42" customFormat="1" ht="15">
      <c r="A663" s="153"/>
      <c r="B663" s="153"/>
      <c r="C663" s="151" t="s">
        <v>2437</v>
      </c>
      <c r="D663" s="151"/>
      <c r="E663" s="155"/>
      <c r="F663" s="156"/>
      <c r="G663" s="156"/>
      <c r="H663" s="151" t="s">
        <v>2438</v>
      </c>
      <c r="I663" s="148"/>
      <c r="J663" s="148"/>
      <c r="K663" s="148"/>
      <c r="L663" s="148"/>
      <c r="M663" s="148"/>
      <c r="N663" s="148"/>
      <c r="O663" s="148"/>
      <c r="P663" s="151" t="s">
        <v>2439</v>
      </c>
      <c r="Q663" s="148"/>
      <c r="R663" s="148"/>
      <c r="S663" s="148"/>
      <c r="T663" s="148"/>
      <c r="U663" s="148"/>
      <c r="V663" s="148"/>
      <c r="W663" s="148"/>
      <c r="X663" s="148"/>
      <c r="Y663" s="148"/>
      <c r="Z663" s="148"/>
      <c r="AA663" s="148"/>
      <c r="AB663" s="148"/>
      <c r="AC663" s="148"/>
      <c r="AD663" s="148"/>
      <c r="AE663" s="148"/>
      <c r="AF663" s="148"/>
      <c r="AG663" s="148"/>
      <c r="AH663" s="148"/>
      <c r="AI663" s="153"/>
      <c r="AJ663" s="153"/>
      <c r="AK663" s="153"/>
      <c r="AL663" s="153"/>
      <c r="AM663" s="153"/>
    </row>
    <row r="664" spans="1:39" s="42" customFormat="1" ht="15">
      <c r="A664" s="153"/>
      <c r="B664" s="153"/>
      <c r="C664" s="151" t="s">
        <v>2440</v>
      </c>
      <c r="D664" s="151"/>
      <c r="E664" s="155"/>
      <c r="F664" s="156"/>
      <c r="G664" s="156"/>
      <c r="H664" s="151" t="s">
        <v>2441</v>
      </c>
      <c r="I664" s="148"/>
      <c r="J664" s="148"/>
      <c r="K664" s="148"/>
      <c r="L664" s="148"/>
      <c r="M664" s="148"/>
      <c r="N664" s="148"/>
      <c r="O664" s="148"/>
      <c r="P664" s="151" t="s">
        <v>2442</v>
      </c>
      <c r="Q664" s="148"/>
      <c r="R664" s="148"/>
      <c r="S664" s="148"/>
      <c r="T664" s="148"/>
      <c r="U664" s="148"/>
      <c r="V664" s="148"/>
      <c r="W664" s="148"/>
      <c r="X664" s="148"/>
      <c r="Y664" s="148"/>
      <c r="Z664" s="148"/>
      <c r="AA664" s="148"/>
      <c r="AB664" s="148"/>
      <c r="AC664" s="148"/>
      <c r="AD664" s="148"/>
      <c r="AE664" s="148"/>
      <c r="AF664" s="148"/>
      <c r="AG664" s="148"/>
      <c r="AH664" s="148"/>
      <c r="AI664" s="153"/>
      <c r="AJ664" s="153"/>
      <c r="AK664" s="153"/>
      <c r="AL664" s="153"/>
      <c r="AM664" s="153"/>
    </row>
    <row r="665" spans="1:39" s="42" customFormat="1" ht="15">
      <c r="A665" s="153"/>
      <c r="B665" s="153"/>
      <c r="C665" s="151" t="s">
        <v>2443</v>
      </c>
      <c r="D665" s="151"/>
      <c r="E665" s="155"/>
      <c r="F665" s="156"/>
      <c r="G665" s="156"/>
      <c r="H665" s="151" t="s">
        <v>2444</v>
      </c>
      <c r="I665" s="148"/>
      <c r="J665" s="148"/>
      <c r="K665" s="148"/>
      <c r="L665" s="148"/>
      <c r="M665" s="148"/>
      <c r="N665" s="148"/>
      <c r="O665" s="148"/>
      <c r="P665" s="151" t="s">
        <v>2445</v>
      </c>
      <c r="Q665" s="148"/>
      <c r="R665" s="148"/>
      <c r="S665" s="148"/>
      <c r="T665" s="148"/>
      <c r="U665" s="148"/>
      <c r="V665" s="148"/>
      <c r="W665" s="148"/>
      <c r="X665" s="148"/>
      <c r="Y665" s="148"/>
      <c r="Z665" s="148"/>
      <c r="AA665" s="148"/>
      <c r="AB665" s="148"/>
      <c r="AC665" s="148"/>
      <c r="AD665" s="148"/>
      <c r="AE665" s="148"/>
      <c r="AF665" s="148"/>
      <c r="AG665" s="148"/>
      <c r="AH665" s="148"/>
      <c r="AI665" s="153"/>
      <c r="AJ665" s="153"/>
      <c r="AK665" s="153"/>
      <c r="AL665" s="153"/>
      <c r="AM665" s="153"/>
    </row>
    <row r="666" spans="1:39" s="42" customFormat="1" ht="15">
      <c r="A666" s="153"/>
      <c r="B666" s="153"/>
      <c r="C666" s="151" t="s">
        <v>2446</v>
      </c>
      <c r="D666" s="151"/>
      <c r="E666" s="155"/>
      <c r="F666" s="156"/>
      <c r="G666" s="156"/>
      <c r="H666" s="151" t="s">
        <v>2447</v>
      </c>
      <c r="I666" s="148"/>
      <c r="J666" s="148"/>
      <c r="K666" s="148"/>
      <c r="L666" s="148"/>
      <c r="M666" s="148"/>
      <c r="N666" s="148"/>
      <c r="O666" s="148"/>
      <c r="P666" s="151" t="s">
        <v>2448</v>
      </c>
      <c r="Q666" s="148"/>
      <c r="R666" s="148"/>
      <c r="S666" s="148"/>
      <c r="T666" s="148"/>
      <c r="U666" s="148"/>
      <c r="V666" s="148"/>
      <c r="W666" s="148"/>
      <c r="X666" s="148"/>
      <c r="Y666" s="148"/>
      <c r="Z666" s="148"/>
      <c r="AA666" s="148"/>
      <c r="AB666" s="148"/>
      <c r="AC666" s="148"/>
      <c r="AD666" s="148"/>
      <c r="AE666" s="148"/>
      <c r="AF666" s="148"/>
      <c r="AG666" s="148"/>
      <c r="AH666" s="148"/>
      <c r="AI666" s="153"/>
      <c r="AJ666" s="153"/>
      <c r="AK666" s="153"/>
      <c r="AL666" s="153"/>
      <c r="AM666" s="153"/>
    </row>
    <row r="667" spans="1:39" s="42" customFormat="1" ht="15">
      <c r="A667" s="153"/>
      <c r="B667" s="153"/>
      <c r="C667" s="151" t="s">
        <v>2307</v>
      </c>
      <c r="D667" s="151"/>
      <c r="E667" s="155"/>
      <c r="F667" s="156"/>
      <c r="G667" s="156"/>
      <c r="H667" s="151" t="s">
        <v>2449</v>
      </c>
      <c r="I667" s="148"/>
      <c r="J667" s="148"/>
      <c r="K667" s="148"/>
      <c r="L667" s="148"/>
      <c r="M667" s="148"/>
      <c r="N667" s="148"/>
      <c r="O667" s="148"/>
      <c r="P667" s="151" t="s">
        <v>2450</v>
      </c>
      <c r="Q667" s="148"/>
      <c r="R667" s="148"/>
      <c r="S667" s="148"/>
      <c r="T667" s="148"/>
      <c r="U667" s="148"/>
      <c r="V667" s="148"/>
      <c r="W667" s="148"/>
      <c r="X667" s="148"/>
      <c r="Y667" s="148"/>
      <c r="Z667" s="148"/>
      <c r="AA667" s="148"/>
      <c r="AB667" s="148"/>
      <c r="AC667" s="148"/>
      <c r="AD667" s="148"/>
      <c r="AE667" s="148"/>
      <c r="AF667" s="148"/>
      <c r="AG667" s="148"/>
      <c r="AH667" s="148"/>
      <c r="AI667" s="153"/>
      <c r="AJ667" s="153"/>
      <c r="AK667" s="153"/>
      <c r="AL667" s="153"/>
      <c r="AM667" s="153"/>
    </row>
    <row r="668" spans="1:39" s="42" customFormat="1" ht="15">
      <c r="A668" s="153"/>
      <c r="B668" s="153"/>
      <c r="C668" s="151" t="s">
        <v>2451</v>
      </c>
      <c r="D668" s="151"/>
      <c r="E668" s="155"/>
      <c r="F668" s="156"/>
      <c r="G668" s="156"/>
      <c r="H668" s="151" t="s">
        <v>2452</v>
      </c>
      <c r="I668" s="148"/>
      <c r="J668" s="148"/>
      <c r="K668" s="148"/>
      <c r="L668" s="148"/>
      <c r="M668" s="148"/>
      <c r="N668" s="148"/>
      <c r="O668" s="148"/>
      <c r="P668" s="151" t="s">
        <v>2453</v>
      </c>
      <c r="Q668" s="148"/>
      <c r="R668" s="148"/>
      <c r="S668" s="148"/>
      <c r="T668" s="148"/>
      <c r="U668" s="148"/>
      <c r="V668" s="148"/>
      <c r="W668" s="148"/>
      <c r="X668" s="148"/>
      <c r="Y668" s="148"/>
      <c r="Z668" s="148"/>
      <c r="AA668" s="148"/>
      <c r="AB668" s="148"/>
      <c r="AC668" s="148"/>
      <c r="AD668" s="148"/>
      <c r="AE668" s="148"/>
      <c r="AF668" s="148"/>
      <c r="AG668" s="148"/>
      <c r="AH668" s="148"/>
      <c r="AI668" s="153"/>
      <c r="AJ668" s="153"/>
      <c r="AK668" s="153"/>
      <c r="AL668" s="153"/>
      <c r="AM668" s="153"/>
    </row>
    <row r="669" spans="1:39" s="42" customFormat="1" ht="15">
      <c r="A669" s="153"/>
      <c r="B669" s="153"/>
      <c r="C669" s="151" t="s">
        <v>2454</v>
      </c>
      <c r="D669" s="151"/>
      <c r="E669" s="155"/>
      <c r="F669" s="156"/>
      <c r="G669" s="156"/>
      <c r="H669" s="151" t="s">
        <v>2455</v>
      </c>
      <c r="I669" s="148"/>
      <c r="J669" s="148"/>
      <c r="K669" s="148"/>
      <c r="L669" s="148"/>
      <c r="M669" s="148"/>
      <c r="N669" s="148"/>
      <c r="O669" s="148"/>
      <c r="P669" s="151" t="s">
        <v>2456</v>
      </c>
      <c r="Q669" s="148"/>
      <c r="R669" s="148"/>
      <c r="S669" s="148"/>
      <c r="T669" s="148"/>
      <c r="U669" s="148"/>
      <c r="V669" s="148"/>
      <c r="W669" s="148"/>
      <c r="X669" s="148"/>
      <c r="Y669" s="148"/>
      <c r="Z669" s="148"/>
      <c r="AA669" s="148"/>
      <c r="AB669" s="148"/>
      <c r="AC669" s="148"/>
      <c r="AD669" s="148"/>
      <c r="AE669" s="148"/>
      <c r="AF669" s="148"/>
      <c r="AG669" s="148"/>
      <c r="AH669" s="148"/>
      <c r="AI669" s="153"/>
      <c r="AJ669" s="153"/>
      <c r="AK669" s="153"/>
      <c r="AL669" s="153"/>
      <c r="AM669" s="153"/>
    </row>
    <row r="670" spans="1:39" s="42" customFormat="1" ht="15">
      <c r="A670" s="153"/>
      <c r="B670" s="153"/>
      <c r="C670" s="151" t="s">
        <v>2457</v>
      </c>
      <c r="D670" s="151"/>
      <c r="E670" s="155"/>
      <c r="F670" s="156"/>
      <c r="G670" s="156"/>
      <c r="H670" s="151" t="s">
        <v>2458</v>
      </c>
      <c r="I670" s="148"/>
      <c r="J670" s="148"/>
      <c r="K670" s="148"/>
      <c r="L670" s="148"/>
      <c r="M670" s="148"/>
      <c r="N670" s="148"/>
      <c r="O670" s="148"/>
      <c r="P670" s="151" t="s">
        <v>2459</v>
      </c>
      <c r="Q670" s="148"/>
      <c r="R670" s="148"/>
      <c r="S670" s="148"/>
      <c r="T670" s="148"/>
      <c r="U670" s="148"/>
      <c r="V670" s="148"/>
      <c r="W670" s="148"/>
      <c r="X670" s="148"/>
      <c r="Y670" s="148"/>
      <c r="Z670" s="148"/>
      <c r="AA670" s="148"/>
      <c r="AB670" s="148"/>
      <c r="AC670" s="148"/>
      <c r="AD670" s="148"/>
      <c r="AE670" s="148"/>
      <c r="AF670" s="148"/>
      <c r="AG670" s="148"/>
      <c r="AH670" s="148"/>
      <c r="AI670" s="153"/>
      <c r="AJ670" s="153"/>
      <c r="AK670" s="153"/>
      <c r="AL670" s="153"/>
      <c r="AM670" s="153"/>
    </row>
    <row r="671" spans="1:39" s="42" customFormat="1" ht="15">
      <c r="A671" s="153"/>
      <c r="B671" s="153"/>
      <c r="C671" s="151" t="s">
        <v>2460</v>
      </c>
      <c r="D671" s="151"/>
      <c r="E671" s="155"/>
      <c r="F671" s="156"/>
      <c r="G671" s="156"/>
      <c r="H671" s="151" t="s">
        <v>2461</v>
      </c>
      <c r="I671" s="148"/>
      <c r="J671" s="148"/>
      <c r="K671" s="148"/>
      <c r="L671" s="148"/>
      <c r="M671" s="148"/>
      <c r="N671" s="148"/>
      <c r="O671" s="148"/>
      <c r="P671" s="151" t="s">
        <v>2462</v>
      </c>
      <c r="Q671" s="148"/>
      <c r="R671" s="148"/>
      <c r="S671" s="148"/>
      <c r="T671" s="148"/>
      <c r="U671" s="148"/>
      <c r="V671" s="148"/>
      <c r="W671" s="148"/>
      <c r="X671" s="148"/>
      <c r="Y671" s="148"/>
      <c r="Z671" s="148"/>
      <c r="AA671" s="148"/>
      <c r="AB671" s="148"/>
      <c r="AC671" s="148"/>
      <c r="AD671" s="148"/>
      <c r="AE671" s="148"/>
      <c r="AF671" s="148"/>
      <c r="AG671" s="148"/>
      <c r="AH671" s="148"/>
      <c r="AI671" s="153"/>
      <c r="AJ671" s="153"/>
      <c r="AK671" s="153"/>
      <c r="AL671" s="153"/>
      <c r="AM671" s="153"/>
    </row>
    <row r="672" spans="1:39" s="42" customFormat="1" ht="15">
      <c r="A672" s="153"/>
      <c r="B672" s="153"/>
      <c r="C672" s="151" t="s">
        <v>2463</v>
      </c>
      <c r="D672" s="151"/>
      <c r="E672" s="155"/>
      <c r="F672" s="156"/>
      <c r="G672" s="156"/>
      <c r="H672" s="151" t="s">
        <v>2464</v>
      </c>
      <c r="I672" s="148"/>
      <c r="J672" s="148"/>
      <c r="K672" s="148"/>
      <c r="L672" s="148"/>
      <c r="M672" s="148"/>
      <c r="N672" s="148"/>
      <c r="O672" s="148"/>
      <c r="P672" s="151" t="s">
        <v>2465</v>
      </c>
      <c r="Q672" s="148"/>
      <c r="R672" s="148"/>
      <c r="S672" s="148"/>
      <c r="T672" s="148"/>
      <c r="U672" s="148"/>
      <c r="V672" s="148"/>
      <c r="W672" s="148"/>
      <c r="X672" s="148"/>
      <c r="Y672" s="148"/>
      <c r="Z672" s="148"/>
      <c r="AA672" s="148"/>
      <c r="AB672" s="148"/>
      <c r="AC672" s="148"/>
      <c r="AD672" s="148"/>
      <c r="AE672" s="148"/>
      <c r="AF672" s="148"/>
      <c r="AG672" s="148"/>
      <c r="AH672" s="148"/>
      <c r="AI672" s="153"/>
      <c r="AJ672" s="153"/>
      <c r="AK672" s="153"/>
      <c r="AL672" s="153"/>
      <c r="AM672" s="153"/>
    </row>
    <row r="673" spans="1:39" s="42" customFormat="1" ht="15">
      <c r="A673" s="153"/>
      <c r="B673" s="153"/>
      <c r="C673" s="151" t="s">
        <v>2466</v>
      </c>
      <c r="D673" s="151"/>
      <c r="E673" s="155"/>
      <c r="F673" s="156"/>
      <c r="G673" s="156"/>
      <c r="H673" s="151" t="s">
        <v>2467</v>
      </c>
      <c r="I673" s="148"/>
      <c r="J673" s="148"/>
      <c r="K673" s="148"/>
      <c r="L673" s="148"/>
      <c r="M673" s="148"/>
      <c r="N673" s="148"/>
      <c r="O673" s="148"/>
      <c r="P673" s="151" t="s">
        <v>2468</v>
      </c>
      <c r="Q673" s="148"/>
      <c r="R673" s="148"/>
      <c r="S673" s="148"/>
      <c r="T673" s="148"/>
      <c r="U673" s="148"/>
      <c r="V673" s="148"/>
      <c r="W673" s="148"/>
      <c r="X673" s="148"/>
      <c r="Y673" s="148"/>
      <c r="Z673" s="148"/>
      <c r="AA673" s="148"/>
      <c r="AB673" s="148"/>
      <c r="AC673" s="148"/>
      <c r="AD673" s="148"/>
      <c r="AE673" s="148"/>
      <c r="AF673" s="148"/>
      <c r="AG673" s="148"/>
      <c r="AH673" s="148"/>
      <c r="AI673" s="153"/>
      <c r="AJ673" s="153"/>
      <c r="AK673" s="153"/>
      <c r="AL673" s="153"/>
      <c r="AM673" s="153"/>
    </row>
    <row r="674" spans="1:39" s="42" customFormat="1" ht="15">
      <c r="A674" s="153"/>
      <c r="B674" s="153"/>
      <c r="C674" s="151" t="s">
        <v>2469</v>
      </c>
      <c r="D674" s="151"/>
      <c r="E674" s="155"/>
      <c r="F674" s="156"/>
      <c r="G674" s="156"/>
      <c r="H674" s="151" t="s">
        <v>2470</v>
      </c>
      <c r="I674" s="148"/>
      <c r="J674" s="148"/>
      <c r="K674" s="148"/>
      <c r="L674" s="148"/>
      <c r="M674" s="148"/>
      <c r="N674" s="148"/>
      <c r="O674" s="148"/>
      <c r="P674" s="151" t="s">
        <v>2471</v>
      </c>
      <c r="Q674" s="148"/>
      <c r="R674" s="148"/>
      <c r="S674" s="148"/>
      <c r="T674" s="148"/>
      <c r="U674" s="148"/>
      <c r="V674" s="148"/>
      <c r="W674" s="148"/>
      <c r="X674" s="148"/>
      <c r="Y674" s="148"/>
      <c r="Z674" s="148"/>
      <c r="AA674" s="148"/>
      <c r="AB674" s="148"/>
      <c r="AC674" s="148"/>
      <c r="AD674" s="148"/>
      <c r="AE674" s="148"/>
      <c r="AF674" s="148"/>
      <c r="AG674" s="148"/>
      <c r="AH674" s="148"/>
      <c r="AI674" s="153"/>
      <c r="AJ674" s="153"/>
      <c r="AK674" s="153"/>
      <c r="AL674" s="153"/>
      <c r="AM674" s="153"/>
    </row>
    <row r="675" spans="1:39" s="42" customFormat="1" ht="15">
      <c r="A675" s="153"/>
      <c r="B675" s="153"/>
      <c r="C675" s="151" t="s">
        <v>2472</v>
      </c>
      <c r="D675" s="151"/>
      <c r="E675" s="155"/>
      <c r="F675" s="156"/>
      <c r="G675" s="156"/>
      <c r="H675" s="151" t="s">
        <v>2473</v>
      </c>
      <c r="I675" s="148"/>
      <c r="J675" s="148"/>
      <c r="K675" s="148"/>
      <c r="L675" s="148"/>
      <c r="M675" s="148"/>
      <c r="N675" s="148"/>
      <c r="O675" s="148"/>
      <c r="P675" s="151" t="s">
        <v>2474</v>
      </c>
      <c r="Q675" s="148"/>
      <c r="R675" s="148"/>
      <c r="S675" s="148"/>
      <c r="T675" s="148"/>
      <c r="U675" s="148"/>
      <c r="V675" s="148"/>
      <c r="W675" s="148"/>
      <c r="X675" s="148"/>
      <c r="Y675" s="148"/>
      <c r="Z675" s="148"/>
      <c r="AA675" s="148"/>
      <c r="AB675" s="148"/>
      <c r="AC675" s="148"/>
      <c r="AD675" s="148"/>
      <c r="AE675" s="148"/>
      <c r="AF675" s="148"/>
      <c r="AG675" s="148"/>
      <c r="AH675" s="148"/>
      <c r="AI675" s="153"/>
      <c r="AJ675" s="153"/>
      <c r="AK675" s="153"/>
      <c r="AL675" s="153"/>
      <c r="AM675" s="153"/>
    </row>
    <row r="676" spans="1:39" s="42" customFormat="1" ht="15">
      <c r="A676" s="153"/>
      <c r="B676" s="153"/>
      <c r="C676" s="151" t="s">
        <v>2475</v>
      </c>
      <c r="D676" s="151"/>
      <c r="E676" s="155"/>
      <c r="F676" s="156"/>
      <c r="G676" s="156"/>
      <c r="H676" s="151" t="s">
        <v>2476</v>
      </c>
      <c r="I676" s="148"/>
      <c r="J676" s="148"/>
      <c r="K676" s="148"/>
      <c r="L676" s="148"/>
      <c r="M676" s="148"/>
      <c r="N676" s="148"/>
      <c r="O676" s="148"/>
      <c r="P676" s="151" t="s">
        <v>2477</v>
      </c>
      <c r="Q676" s="148"/>
      <c r="R676" s="148"/>
      <c r="S676" s="148"/>
      <c r="T676" s="148"/>
      <c r="U676" s="148"/>
      <c r="V676" s="148"/>
      <c r="W676" s="148"/>
      <c r="X676" s="148"/>
      <c r="Y676" s="148"/>
      <c r="Z676" s="148"/>
      <c r="AA676" s="148"/>
      <c r="AB676" s="148"/>
      <c r="AC676" s="148"/>
      <c r="AD676" s="148"/>
      <c r="AE676" s="148"/>
      <c r="AF676" s="148"/>
      <c r="AG676" s="148"/>
      <c r="AH676" s="148"/>
      <c r="AI676" s="153"/>
      <c r="AJ676" s="153"/>
      <c r="AK676" s="153"/>
      <c r="AL676" s="153"/>
      <c r="AM676" s="153"/>
    </row>
    <row r="677" spans="1:39" s="42" customFormat="1" ht="15">
      <c r="A677" s="153"/>
      <c r="B677" s="153"/>
      <c r="C677" s="151" t="s">
        <v>2478</v>
      </c>
      <c r="D677" s="151"/>
      <c r="E677" s="155"/>
      <c r="F677" s="156"/>
      <c r="G677" s="156"/>
      <c r="H677" s="151" t="s">
        <v>2479</v>
      </c>
      <c r="I677" s="148"/>
      <c r="J677" s="148"/>
      <c r="K677" s="148"/>
      <c r="L677" s="148"/>
      <c r="M677" s="148"/>
      <c r="N677" s="148"/>
      <c r="O677" s="148"/>
      <c r="P677" s="151" t="s">
        <v>2480</v>
      </c>
      <c r="Q677" s="148"/>
      <c r="R677" s="148"/>
      <c r="S677" s="148"/>
      <c r="T677" s="148"/>
      <c r="U677" s="148"/>
      <c r="V677" s="148"/>
      <c r="W677" s="148"/>
      <c r="X677" s="148"/>
      <c r="Y677" s="148"/>
      <c r="Z677" s="148"/>
      <c r="AA677" s="148"/>
      <c r="AB677" s="148"/>
      <c r="AC677" s="148"/>
      <c r="AD677" s="148"/>
      <c r="AE677" s="148"/>
      <c r="AF677" s="148"/>
      <c r="AG677" s="148"/>
      <c r="AH677" s="148"/>
      <c r="AI677" s="153"/>
      <c r="AJ677" s="153"/>
      <c r="AK677" s="153"/>
      <c r="AL677" s="153"/>
      <c r="AM677" s="153"/>
    </row>
    <row r="678" spans="1:39" s="42" customFormat="1" ht="15">
      <c r="A678" s="153"/>
      <c r="B678" s="153"/>
      <c r="C678" s="151" t="s">
        <v>2189</v>
      </c>
      <c r="D678" s="151"/>
      <c r="E678" s="155"/>
      <c r="F678" s="156"/>
      <c r="G678" s="156"/>
      <c r="H678" s="151" t="s">
        <v>2481</v>
      </c>
      <c r="I678" s="148"/>
      <c r="J678" s="148"/>
      <c r="K678" s="148"/>
      <c r="L678" s="148"/>
      <c r="M678" s="148"/>
      <c r="N678" s="148"/>
      <c r="O678" s="148"/>
      <c r="P678" s="151" t="s">
        <v>2482</v>
      </c>
      <c r="Q678" s="148"/>
      <c r="R678" s="148"/>
      <c r="S678" s="148"/>
      <c r="T678" s="148"/>
      <c r="U678" s="148"/>
      <c r="V678" s="148"/>
      <c r="W678" s="148"/>
      <c r="X678" s="148"/>
      <c r="Y678" s="148"/>
      <c r="Z678" s="148"/>
      <c r="AA678" s="148"/>
      <c r="AB678" s="148"/>
      <c r="AC678" s="148"/>
      <c r="AD678" s="148"/>
      <c r="AE678" s="148"/>
      <c r="AF678" s="148"/>
      <c r="AG678" s="148"/>
      <c r="AH678" s="148"/>
      <c r="AI678" s="153"/>
      <c r="AJ678" s="153"/>
      <c r="AK678" s="153"/>
      <c r="AL678" s="153"/>
      <c r="AM678" s="153"/>
    </row>
    <row r="679" spans="1:39" s="42" customFormat="1" ht="15">
      <c r="A679" s="153"/>
      <c r="B679" s="153"/>
      <c r="C679" s="151" t="s">
        <v>2483</v>
      </c>
      <c r="D679" s="151"/>
      <c r="E679" s="155"/>
      <c r="F679" s="156"/>
      <c r="G679" s="156"/>
      <c r="H679" s="151" t="s">
        <v>2484</v>
      </c>
      <c r="I679" s="148"/>
      <c r="J679" s="148"/>
      <c r="K679" s="148"/>
      <c r="L679" s="148"/>
      <c r="M679" s="148"/>
      <c r="N679" s="148"/>
      <c r="O679" s="148"/>
      <c r="P679" s="151" t="s">
        <v>2485</v>
      </c>
      <c r="Q679" s="148"/>
      <c r="R679" s="148"/>
      <c r="S679" s="148"/>
      <c r="T679" s="148"/>
      <c r="U679" s="148"/>
      <c r="V679" s="148"/>
      <c r="W679" s="148"/>
      <c r="X679" s="148"/>
      <c r="Y679" s="148"/>
      <c r="Z679" s="148"/>
      <c r="AA679" s="148"/>
      <c r="AB679" s="148"/>
      <c r="AC679" s="148"/>
      <c r="AD679" s="148"/>
      <c r="AE679" s="148"/>
      <c r="AF679" s="148"/>
      <c r="AG679" s="148"/>
      <c r="AH679" s="148"/>
      <c r="AI679" s="153"/>
      <c r="AJ679" s="153"/>
      <c r="AK679" s="153"/>
      <c r="AL679" s="153"/>
      <c r="AM679" s="153"/>
    </row>
    <row r="680" spans="1:39" s="42" customFormat="1" ht="15">
      <c r="A680" s="153"/>
      <c r="B680" s="153"/>
      <c r="C680" s="151" t="s">
        <v>2486</v>
      </c>
      <c r="D680" s="151"/>
      <c r="E680" s="155"/>
      <c r="F680" s="156"/>
      <c r="G680" s="156"/>
      <c r="H680" s="151" t="s">
        <v>2487</v>
      </c>
      <c r="I680" s="148"/>
      <c r="J680" s="148"/>
      <c r="K680" s="148"/>
      <c r="L680" s="148"/>
      <c r="M680" s="148"/>
      <c r="N680" s="148"/>
      <c r="O680" s="148"/>
      <c r="P680" s="151" t="s">
        <v>2488</v>
      </c>
      <c r="Q680" s="148"/>
      <c r="R680" s="148"/>
      <c r="S680" s="148"/>
      <c r="T680" s="148"/>
      <c r="U680" s="148"/>
      <c r="V680" s="148"/>
      <c r="W680" s="148"/>
      <c r="X680" s="148"/>
      <c r="Y680" s="148"/>
      <c r="Z680" s="148"/>
      <c r="AA680" s="148"/>
      <c r="AB680" s="148"/>
      <c r="AC680" s="148"/>
      <c r="AD680" s="148"/>
      <c r="AE680" s="148"/>
      <c r="AF680" s="148"/>
      <c r="AG680" s="148"/>
      <c r="AH680" s="148"/>
      <c r="AI680" s="153"/>
      <c r="AJ680" s="153"/>
      <c r="AK680" s="153"/>
      <c r="AL680" s="153"/>
      <c r="AM680" s="153"/>
    </row>
    <row r="681" spans="1:39" s="42" customFormat="1" ht="15">
      <c r="A681" s="153"/>
      <c r="B681" s="153"/>
      <c r="C681" s="151" t="s">
        <v>2489</v>
      </c>
      <c r="D681" s="151"/>
      <c r="E681" s="155"/>
      <c r="F681" s="156"/>
      <c r="G681" s="156"/>
      <c r="H681" s="151" t="s">
        <v>2490</v>
      </c>
      <c r="I681" s="148"/>
      <c r="J681" s="148"/>
      <c r="K681" s="148"/>
      <c r="L681" s="148"/>
      <c r="M681" s="148"/>
      <c r="N681" s="148"/>
      <c r="O681" s="148"/>
      <c r="P681" s="151" t="s">
        <v>2491</v>
      </c>
      <c r="Q681" s="148"/>
      <c r="R681" s="148"/>
      <c r="S681" s="148"/>
      <c r="T681" s="148"/>
      <c r="U681" s="148"/>
      <c r="V681" s="148"/>
      <c r="W681" s="148"/>
      <c r="X681" s="148"/>
      <c r="Y681" s="148"/>
      <c r="Z681" s="148"/>
      <c r="AA681" s="148"/>
      <c r="AB681" s="148"/>
      <c r="AC681" s="148"/>
      <c r="AD681" s="148"/>
      <c r="AE681" s="148"/>
      <c r="AF681" s="148"/>
      <c r="AG681" s="148"/>
      <c r="AH681" s="148"/>
      <c r="AI681" s="153"/>
      <c r="AJ681" s="153"/>
      <c r="AK681" s="153"/>
      <c r="AL681" s="153"/>
      <c r="AM681" s="153"/>
    </row>
    <row r="682" spans="1:39" s="42" customFormat="1" ht="15">
      <c r="A682" s="153"/>
      <c r="B682" s="153"/>
      <c r="C682" s="151" t="s">
        <v>2492</v>
      </c>
      <c r="D682" s="151"/>
      <c r="E682" s="155"/>
      <c r="F682" s="156"/>
      <c r="G682" s="156"/>
      <c r="H682" s="151" t="s">
        <v>2493</v>
      </c>
      <c r="I682" s="148"/>
      <c r="J682" s="148"/>
      <c r="K682" s="148"/>
      <c r="L682" s="148"/>
      <c r="M682" s="148"/>
      <c r="N682" s="148"/>
      <c r="O682" s="148"/>
      <c r="P682" s="151" t="s">
        <v>2494</v>
      </c>
      <c r="Q682" s="148"/>
      <c r="R682" s="148"/>
      <c r="S682" s="148"/>
      <c r="T682" s="148"/>
      <c r="U682" s="148"/>
      <c r="V682" s="148"/>
      <c r="W682" s="148"/>
      <c r="X682" s="148"/>
      <c r="Y682" s="148"/>
      <c r="Z682" s="148"/>
      <c r="AA682" s="148"/>
      <c r="AB682" s="148"/>
      <c r="AC682" s="148"/>
      <c r="AD682" s="148"/>
      <c r="AE682" s="148"/>
      <c r="AF682" s="148"/>
      <c r="AG682" s="148"/>
      <c r="AH682" s="148"/>
      <c r="AI682" s="153"/>
      <c r="AJ682" s="153"/>
      <c r="AK682" s="153"/>
      <c r="AL682" s="153"/>
      <c r="AM682" s="153"/>
    </row>
    <row r="683" spans="1:39" s="42" customFormat="1" ht="15">
      <c r="A683" s="153"/>
      <c r="B683" s="153"/>
      <c r="C683" s="151" t="s">
        <v>1867</v>
      </c>
      <c r="D683" s="151"/>
      <c r="E683" s="155"/>
      <c r="F683" s="156"/>
      <c r="G683" s="156"/>
      <c r="H683" s="151" t="s">
        <v>2495</v>
      </c>
      <c r="I683" s="148"/>
      <c r="J683" s="148"/>
      <c r="K683" s="148"/>
      <c r="L683" s="148"/>
      <c r="M683" s="148"/>
      <c r="N683" s="148"/>
      <c r="O683" s="148"/>
      <c r="P683" s="148"/>
      <c r="Q683" s="148"/>
      <c r="R683" s="148"/>
      <c r="S683" s="148"/>
      <c r="T683" s="148"/>
      <c r="U683" s="148"/>
      <c r="V683" s="148"/>
      <c r="W683" s="148"/>
      <c r="X683" s="148"/>
      <c r="Y683" s="148"/>
      <c r="Z683" s="148"/>
      <c r="AA683" s="148"/>
      <c r="AB683" s="148"/>
      <c r="AC683" s="148"/>
      <c r="AD683" s="148"/>
      <c r="AE683" s="148"/>
      <c r="AF683" s="148"/>
      <c r="AG683" s="148"/>
      <c r="AH683" s="148"/>
      <c r="AI683" s="153"/>
      <c r="AJ683" s="153"/>
      <c r="AK683" s="153"/>
      <c r="AL683" s="153"/>
      <c r="AM683" s="153"/>
    </row>
    <row r="684" spans="1:39" s="42" customFormat="1" ht="15">
      <c r="A684" s="153"/>
      <c r="B684" s="153"/>
      <c r="C684" s="151" t="s">
        <v>2496</v>
      </c>
      <c r="D684" s="151"/>
      <c r="E684" s="155"/>
      <c r="F684" s="156"/>
      <c r="G684" s="156"/>
      <c r="H684" s="151" t="s">
        <v>2497</v>
      </c>
      <c r="I684" s="148"/>
      <c r="J684" s="148"/>
      <c r="K684" s="148"/>
      <c r="L684" s="148"/>
      <c r="M684" s="148"/>
      <c r="N684" s="148"/>
      <c r="O684" s="148"/>
      <c r="P684" s="148"/>
      <c r="Q684" s="148"/>
      <c r="R684" s="148"/>
      <c r="S684" s="148"/>
      <c r="T684" s="148"/>
      <c r="U684" s="148"/>
      <c r="V684" s="148"/>
      <c r="W684" s="148"/>
      <c r="X684" s="148"/>
      <c r="Y684" s="148"/>
      <c r="Z684" s="148"/>
      <c r="AA684" s="148"/>
      <c r="AB684" s="148"/>
      <c r="AC684" s="148"/>
      <c r="AD684" s="148"/>
      <c r="AE684" s="148"/>
      <c r="AF684" s="148"/>
      <c r="AG684" s="148"/>
      <c r="AH684" s="148"/>
      <c r="AI684" s="153"/>
      <c r="AJ684" s="153"/>
      <c r="AK684" s="153"/>
      <c r="AL684" s="153"/>
      <c r="AM684" s="153"/>
    </row>
    <row r="685" spans="1:39" s="42" customFormat="1" ht="15">
      <c r="A685" s="153"/>
      <c r="B685" s="153"/>
      <c r="C685" s="151" t="s">
        <v>2465</v>
      </c>
      <c r="D685" s="151"/>
      <c r="E685" s="155"/>
      <c r="F685" s="156"/>
      <c r="G685" s="156"/>
      <c r="H685" s="151" t="s">
        <v>2498</v>
      </c>
      <c r="I685" s="148"/>
      <c r="J685" s="148"/>
      <c r="K685" s="148"/>
      <c r="L685" s="148"/>
      <c r="M685" s="148"/>
      <c r="N685" s="148"/>
      <c r="O685" s="148"/>
      <c r="P685" s="148"/>
      <c r="Q685" s="148"/>
      <c r="R685" s="148"/>
      <c r="S685" s="148"/>
      <c r="T685" s="148"/>
      <c r="U685" s="148"/>
      <c r="V685" s="148"/>
      <c r="W685" s="148"/>
      <c r="X685" s="148"/>
      <c r="Y685" s="148"/>
      <c r="Z685" s="148"/>
      <c r="AA685" s="148"/>
      <c r="AB685" s="148"/>
      <c r="AC685" s="148"/>
      <c r="AD685" s="148"/>
      <c r="AE685" s="148"/>
      <c r="AF685" s="148"/>
      <c r="AG685" s="148"/>
      <c r="AH685" s="148"/>
      <c r="AI685" s="153"/>
      <c r="AJ685" s="153"/>
      <c r="AK685" s="153"/>
      <c r="AL685" s="153"/>
      <c r="AM685" s="153"/>
    </row>
    <row r="686" spans="1:39" s="42" customFormat="1" ht="15">
      <c r="A686" s="153"/>
      <c r="B686" s="153"/>
      <c r="C686" s="151" t="s">
        <v>2499</v>
      </c>
      <c r="D686" s="151"/>
      <c r="E686" s="155"/>
      <c r="F686" s="156"/>
      <c r="G686" s="156"/>
      <c r="H686" s="151" t="s">
        <v>2500</v>
      </c>
      <c r="I686" s="148"/>
      <c r="J686" s="148"/>
      <c r="K686" s="148"/>
      <c r="L686" s="148"/>
      <c r="M686" s="148"/>
      <c r="N686" s="148"/>
      <c r="O686" s="148"/>
      <c r="P686" s="148"/>
      <c r="Q686" s="148"/>
      <c r="R686" s="148"/>
      <c r="S686" s="148"/>
      <c r="T686" s="148"/>
      <c r="U686" s="148"/>
      <c r="V686" s="148"/>
      <c r="W686" s="148"/>
      <c r="X686" s="148"/>
      <c r="Y686" s="148"/>
      <c r="Z686" s="148"/>
      <c r="AA686" s="148"/>
      <c r="AB686" s="148"/>
      <c r="AC686" s="148"/>
      <c r="AD686" s="148"/>
      <c r="AE686" s="148"/>
      <c r="AF686" s="148"/>
      <c r="AG686" s="148"/>
      <c r="AH686" s="148"/>
      <c r="AI686" s="153"/>
      <c r="AJ686" s="153"/>
      <c r="AK686" s="153"/>
      <c r="AL686" s="153"/>
      <c r="AM686" s="153"/>
    </row>
    <row r="687" spans="1:39" s="42" customFormat="1" ht="15">
      <c r="A687" s="153"/>
      <c r="B687" s="153"/>
      <c r="C687" s="151" t="s">
        <v>2501</v>
      </c>
      <c r="D687" s="151"/>
      <c r="E687" s="155"/>
      <c r="F687" s="156"/>
      <c r="G687" s="156"/>
      <c r="H687" s="151" t="s">
        <v>2502</v>
      </c>
      <c r="I687" s="148"/>
      <c r="J687" s="148"/>
      <c r="K687" s="148"/>
      <c r="L687" s="148"/>
      <c r="M687" s="148"/>
      <c r="N687" s="148"/>
      <c r="O687" s="148"/>
      <c r="P687" s="148"/>
      <c r="Q687" s="148"/>
      <c r="R687" s="148"/>
      <c r="S687" s="148"/>
      <c r="T687" s="148"/>
      <c r="U687" s="148"/>
      <c r="V687" s="148"/>
      <c r="W687" s="148"/>
      <c r="X687" s="148"/>
      <c r="Y687" s="148"/>
      <c r="Z687" s="148"/>
      <c r="AA687" s="148"/>
      <c r="AB687" s="148"/>
      <c r="AC687" s="148"/>
      <c r="AD687" s="148"/>
      <c r="AE687" s="148"/>
      <c r="AF687" s="148"/>
      <c r="AG687" s="148"/>
      <c r="AH687" s="148"/>
      <c r="AI687" s="153"/>
      <c r="AJ687" s="153"/>
      <c r="AK687" s="153"/>
      <c r="AL687" s="153"/>
      <c r="AM687" s="153"/>
    </row>
    <row r="688" spans="1:39" s="42" customFormat="1" ht="15">
      <c r="A688" s="153"/>
      <c r="B688" s="153"/>
      <c r="C688" s="151" t="s">
        <v>2503</v>
      </c>
      <c r="D688" s="151"/>
      <c r="E688" s="155"/>
      <c r="F688" s="156"/>
      <c r="G688" s="156"/>
      <c r="H688" s="151" t="s">
        <v>2504</v>
      </c>
      <c r="I688" s="148"/>
      <c r="J688" s="148"/>
      <c r="K688" s="148"/>
      <c r="L688" s="148"/>
      <c r="M688" s="148"/>
      <c r="N688" s="148"/>
      <c r="O688" s="148"/>
      <c r="P688" s="148"/>
      <c r="Q688" s="148"/>
      <c r="R688" s="148"/>
      <c r="S688" s="148"/>
      <c r="T688" s="148"/>
      <c r="U688" s="148"/>
      <c r="V688" s="148"/>
      <c r="W688" s="148"/>
      <c r="X688" s="148"/>
      <c r="Y688" s="148"/>
      <c r="Z688" s="148"/>
      <c r="AA688" s="148"/>
      <c r="AB688" s="148"/>
      <c r="AC688" s="148"/>
      <c r="AD688" s="148"/>
      <c r="AE688" s="148"/>
      <c r="AF688" s="148"/>
      <c r="AG688" s="148"/>
      <c r="AH688" s="148"/>
      <c r="AI688" s="153"/>
      <c r="AJ688" s="153"/>
      <c r="AK688" s="153"/>
      <c r="AL688" s="153"/>
      <c r="AM688" s="153"/>
    </row>
    <row r="689" spans="1:40" s="42" customFormat="1" ht="15">
      <c r="A689" s="153"/>
      <c r="B689" s="153"/>
      <c r="C689" s="151" t="s">
        <v>2505</v>
      </c>
      <c r="D689" s="151"/>
      <c r="E689" s="155"/>
      <c r="F689" s="156"/>
      <c r="G689" s="156"/>
      <c r="H689" s="151" t="s">
        <v>2506</v>
      </c>
      <c r="I689" s="148"/>
      <c r="J689" s="148"/>
      <c r="K689" s="148"/>
      <c r="L689" s="148"/>
      <c r="M689" s="148"/>
      <c r="N689" s="148"/>
      <c r="O689" s="148"/>
      <c r="P689" s="148"/>
      <c r="Q689" s="148"/>
      <c r="R689" s="148"/>
      <c r="S689" s="148"/>
      <c r="T689" s="148"/>
      <c r="U689" s="148"/>
      <c r="V689" s="148"/>
      <c r="W689" s="148"/>
      <c r="X689" s="148"/>
      <c r="Y689" s="148"/>
      <c r="Z689" s="148"/>
      <c r="AA689" s="148"/>
      <c r="AB689" s="148"/>
      <c r="AC689" s="148"/>
      <c r="AD689" s="148"/>
      <c r="AE689" s="148"/>
      <c r="AF689" s="148"/>
      <c r="AG689" s="148"/>
      <c r="AH689" s="148"/>
      <c r="AI689" s="153"/>
      <c r="AJ689" s="153"/>
      <c r="AK689" s="153"/>
      <c r="AL689" s="153"/>
      <c r="AM689" s="153"/>
    </row>
    <row r="690" spans="1:40" s="42" customFormat="1" ht="15">
      <c r="A690" s="153"/>
      <c r="B690" s="153"/>
      <c r="C690" s="151" t="s">
        <v>2507</v>
      </c>
      <c r="D690" s="151"/>
      <c r="E690" s="155"/>
      <c r="F690" s="156"/>
      <c r="G690" s="156"/>
      <c r="H690" s="156"/>
      <c r="I690" s="156"/>
      <c r="J690" s="156"/>
      <c r="K690" s="156"/>
      <c r="L690" s="156"/>
      <c r="M690" s="156"/>
      <c r="N690" s="156"/>
      <c r="O690" s="156"/>
      <c r="P690" s="153"/>
      <c r="Q690" s="157"/>
      <c r="R690" s="157"/>
      <c r="S690" s="153"/>
      <c r="T690" s="153"/>
      <c r="U690" s="153"/>
      <c r="V690" s="153"/>
      <c r="W690" s="153"/>
      <c r="X690" s="153"/>
      <c r="Y690" s="153"/>
      <c r="Z690" s="153"/>
      <c r="AA690" s="153"/>
      <c r="AB690" s="153"/>
      <c r="AC690" s="153"/>
      <c r="AD690" s="153"/>
      <c r="AE690" s="153"/>
      <c r="AF690" s="153"/>
      <c r="AG690" s="153"/>
      <c r="AH690" s="153"/>
      <c r="AI690" s="153"/>
      <c r="AJ690" s="153"/>
      <c r="AK690" s="153"/>
      <c r="AL690" s="153"/>
      <c r="AM690" s="153"/>
    </row>
    <row r="691" spans="1:40" s="42" customFormat="1" ht="15">
      <c r="A691" s="153"/>
      <c r="B691" s="153"/>
      <c r="C691" s="151" t="s">
        <v>2508</v>
      </c>
      <c r="D691" s="151"/>
      <c r="E691" s="155"/>
      <c r="F691" s="156"/>
      <c r="G691" s="156"/>
      <c r="H691" s="156"/>
      <c r="I691" s="156"/>
      <c r="J691" s="156"/>
      <c r="K691" s="156"/>
      <c r="L691" s="156"/>
      <c r="M691" s="156"/>
      <c r="N691" s="156"/>
      <c r="O691" s="156"/>
      <c r="P691" s="153"/>
      <c r="Q691" s="157"/>
      <c r="R691" s="157"/>
      <c r="S691" s="153"/>
      <c r="T691" s="153"/>
      <c r="U691" s="153"/>
      <c r="V691" s="153"/>
      <c r="W691" s="153"/>
      <c r="X691" s="153"/>
      <c r="Y691" s="153"/>
      <c r="Z691" s="153"/>
      <c r="AA691" s="153"/>
      <c r="AB691" s="153"/>
      <c r="AC691" s="153"/>
      <c r="AD691" s="153"/>
      <c r="AE691" s="153"/>
      <c r="AF691" s="153"/>
      <c r="AG691" s="153"/>
      <c r="AH691" s="153"/>
      <c r="AI691" s="153"/>
      <c r="AJ691" s="153"/>
      <c r="AK691" s="153"/>
      <c r="AL691" s="153"/>
      <c r="AM691" s="153"/>
    </row>
    <row r="692" spans="1:40" s="42" customFormat="1" ht="14.25">
      <c r="A692" s="153"/>
      <c r="B692" s="157"/>
      <c r="C692" s="155"/>
      <c r="D692" s="156"/>
      <c r="E692" s="156"/>
      <c r="F692" s="156"/>
      <c r="G692" s="156"/>
      <c r="H692" s="156"/>
      <c r="I692" s="156"/>
      <c r="J692" s="156"/>
      <c r="K692" s="156"/>
      <c r="L692" s="153"/>
      <c r="M692" s="153"/>
      <c r="N692" s="157"/>
      <c r="O692" s="153"/>
      <c r="P692" s="153"/>
      <c r="Q692" s="153"/>
      <c r="R692" s="153"/>
      <c r="S692" s="153"/>
      <c r="T692" s="153"/>
      <c r="U692" s="153"/>
      <c r="V692" s="153"/>
      <c r="W692" s="153"/>
      <c r="X692" s="153"/>
      <c r="Y692" s="153"/>
      <c r="Z692" s="153"/>
      <c r="AA692" s="153"/>
      <c r="AB692" s="153"/>
      <c r="AC692" s="153"/>
      <c r="AD692" s="153"/>
      <c r="AE692" s="153"/>
      <c r="AF692" s="153"/>
      <c r="AG692" s="153"/>
      <c r="AH692" s="153"/>
      <c r="AI692" s="153"/>
      <c r="AJ692" s="153"/>
      <c r="AK692" s="153"/>
      <c r="AL692" s="153"/>
      <c r="AM692" s="153"/>
      <c r="AN692" s="153"/>
    </row>
  </sheetData>
  <sheetProtection sheet="1" objects="1" scenarios="1" selectLockedCells="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pageSetUpPr autoPageBreaks="0"/>
  </sheetPr>
  <dimension ref="A1:N40"/>
  <sheetViews>
    <sheetView showGridLines="0" showRowColHeaders="0" showZeros="0" showOutlineSymbols="0" topLeftCell="A4" workbookViewId="0"/>
  </sheetViews>
  <sheetFormatPr baseColWidth="10" defaultColWidth="0" defaultRowHeight="12.75" zeroHeight="1"/>
  <cols>
    <col min="1" max="6" width="11.42578125" style="1" customWidth="1"/>
    <col min="7" max="7" width="5.7109375" style="1" customWidth="1"/>
    <col min="8" max="13" width="11.42578125" style="1" customWidth="1"/>
    <col min="14" max="14" width="0" style="1" hidden="1" customWidth="1"/>
    <col min="15" max="16384" width="11.42578125" style="1" hidden="1"/>
  </cols>
  <sheetData>
    <row r="1" spans="1:14" ht="13.5" thickBot="1">
      <c r="A1" s="251" t="s">
        <v>7</v>
      </c>
    </row>
    <row r="2" spans="1:14" ht="13.5" thickTop="1">
      <c r="B2" s="120"/>
      <c r="C2" s="121"/>
      <c r="D2" s="121"/>
      <c r="E2" s="121"/>
      <c r="F2" s="121"/>
      <c r="G2" s="121"/>
      <c r="H2" s="121"/>
      <c r="I2" s="121"/>
      <c r="J2" s="121"/>
      <c r="K2" s="121"/>
      <c r="L2" s="122"/>
    </row>
    <row r="3" spans="1:14">
      <c r="B3" s="123"/>
      <c r="C3" s="124"/>
      <c r="D3" s="124"/>
      <c r="E3" s="124"/>
      <c r="F3" s="124"/>
      <c r="G3" s="124"/>
      <c r="H3" s="124"/>
      <c r="I3" s="124"/>
      <c r="J3" s="124"/>
      <c r="K3" s="124"/>
      <c r="L3" s="125"/>
    </row>
    <row r="4" spans="1:14">
      <c r="B4" s="123"/>
      <c r="C4" s="124"/>
      <c r="D4" s="124"/>
      <c r="E4" s="124"/>
      <c r="F4" s="124"/>
      <c r="G4" s="124"/>
      <c r="H4" s="124"/>
      <c r="I4" s="124"/>
      <c r="J4" s="124"/>
      <c r="K4" s="124"/>
      <c r="L4" s="125"/>
    </row>
    <row r="5" spans="1:14">
      <c r="B5" s="123"/>
      <c r="C5" s="124"/>
      <c r="D5" s="124"/>
      <c r="E5" s="124"/>
      <c r="F5" s="124"/>
      <c r="G5" s="124"/>
      <c r="H5" s="124"/>
      <c r="I5" s="124"/>
      <c r="J5" s="124"/>
      <c r="K5" s="124"/>
      <c r="L5" s="125"/>
    </row>
    <row r="6" spans="1:14">
      <c r="B6" s="123"/>
      <c r="C6" s="124"/>
      <c r="D6" s="124"/>
      <c r="E6" s="124"/>
      <c r="F6" s="124"/>
      <c r="G6" s="124"/>
      <c r="H6" s="124"/>
      <c r="I6" s="124"/>
      <c r="J6" s="124"/>
      <c r="K6" s="124"/>
      <c r="L6" s="125"/>
    </row>
    <row r="7" spans="1:14">
      <c r="B7" s="555"/>
      <c r="C7" s="556"/>
      <c r="D7" s="124"/>
      <c r="E7" s="124"/>
      <c r="F7" s="124"/>
      <c r="G7" s="124"/>
      <c r="H7" s="124"/>
      <c r="I7" s="124"/>
      <c r="J7" s="124"/>
      <c r="K7" s="124"/>
      <c r="L7" s="125"/>
    </row>
    <row r="8" spans="1:14">
      <c r="B8" s="555"/>
      <c r="C8" s="556"/>
      <c r="D8" s="124"/>
      <c r="E8" s="124"/>
      <c r="F8" s="124" t="s">
        <v>7</v>
      </c>
      <c r="G8" s="124"/>
      <c r="H8" s="124"/>
      <c r="I8" s="124"/>
      <c r="J8" s="124"/>
      <c r="K8" s="124"/>
      <c r="L8" s="125"/>
    </row>
    <row r="9" spans="1:14" ht="19.5" customHeight="1">
      <c r="B9" s="123"/>
      <c r="C9" s="553"/>
      <c r="D9" s="553"/>
      <c r="E9" s="553"/>
      <c r="F9" s="553"/>
      <c r="G9" s="553"/>
      <c r="H9" s="553"/>
      <c r="I9" s="553"/>
      <c r="J9" s="553"/>
      <c r="K9" s="553"/>
      <c r="L9" s="125"/>
      <c r="N9" s="130"/>
    </row>
    <row r="10" spans="1:14" ht="9" customHeight="1">
      <c r="B10" s="123"/>
      <c r="C10" s="126"/>
      <c r="D10" s="126"/>
      <c r="E10" s="126"/>
      <c r="F10" s="126"/>
      <c r="G10" s="138"/>
      <c r="H10" s="126"/>
      <c r="I10" s="126"/>
      <c r="J10" s="126"/>
      <c r="K10" s="126"/>
      <c r="L10" s="125"/>
    </row>
    <row r="11" spans="1:14" ht="19.5" customHeight="1">
      <c r="B11" s="123"/>
      <c r="C11" s="139"/>
      <c r="D11" s="557"/>
      <c r="E11" s="557"/>
      <c r="F11" s="139"/>
      <c r="G11" s="139"/>
      <c r="H11" s="139"/>
      <c r="I11" s="557"/>
      <c r="J11" s="557"/>
      <c r="K11" s="139"/>
      <c r="L11" s="125"/>
    </row>
    <row r="12" spans="1:14" ht="6" customHeight="1">
      <c r="B12" s="123"/>
      <c r="C12" s="124"/>
      <c r="D12" s="124"/>
      <c r="E12" s="124"/>
      <c r="F12" s="124"/>
      <c r="G12" s="124"/>
      <c r="H12" s="124"/>
      <c r="I12" s="124"/>
      <c r="J12" s="124"/>
      <c r="K12" s="124"/>
      <c r="L12" s="125"/>
    </row>
    <row r="13" spans="1:14">
      <c r="B13" s="123"/>
      <c r="C13" s="124"/>
      <c r="D13" s="554"/>
      <c r="E13" s="554"/>
      <c r="F13" s="554"/>
      <c r="G13" s="554"/>
      <c r="H13" s="554"/>
      <c r="I13" s="124"/>
      <c r="J13" s="124"/>
      <c r="K13" s="124"/>
      <c r="L13" s="125"/>
    </row>
    <row r="14" spans="1:14">
      <c r="B14" s="123"/>
      <c r="C14" s="124"/>
      <c r="D14" s="124"/>
      <c r="E14" s="124"/>
      <c r="F14" s="124"/>
      <c r="G14" s="124"/>
      <c r="H14" s="124"/>
      <c r="I14" s="124"/>
      <c r="J14" s="124"/>
      <c r="K14" s="124"/>
      <c r="L14" s="125"/>
    </row>
    <row r="15" spans="1:14">
      <c r="B15" s="123"/>
      <c r="C15" s="124"/>
      <c r="D15" s="124"/>
      <c r="E15" s="124"/>
      <c r="F15" s="124"/>
      <c r="G15" s="124"/>
      <c r="H15" s="124"/>
      <c r="I15" s="124"/>
      <c r="J15" s="124"/>
      <c r="K15" s="124"/>
      <c r="L15" s="125"/>
    </row>
    <row r="16" spans="1:14">
      <c r="B16" s="123"/>
      <c r="C16" s="124"/>
      <c r="D16" s="124"/>
      <c r="E16" s="124"/>
      <c r="F16" s="124"/>
      <c r="G16" s="124"/>
      <c r="H16" s="124"/>
      <c r="I16" s="124"/>
      <c r="J16" s="124"/>
      <c r="K16" s="124"/>
      <c r="L16" s="125"/>
    </row>
    <row r="17" spans="2:12">
      <c r="B17" s="123"/>
      <c r="C17" s="124"/>
      <c r="D17" s="124"/>
      <c r="E17" s="124"/>
      <c r="F17" s="124"/>
      <c r="G17" s="124"/>
      <c r="H17" s="124"/>
      <c r="I17" s="124"/>
      <c r="J17" s="124"/>
      <c r="K17" s="124"/>
      <c r="L17" s="125"/>
    </row>
    <row r="18" spans="2:12">
      <c r="B18" s="123"/>
      <c r="C18" s="124"/>
      <c r="D18" s="124"/>
      <c r="E18" s="124"/>
      <c r="F18" s="124"/>
      <c r="G18" s="124"/>
      <c r="H18" s="124"/>
      <c r="I18" s="124"/>
      <c r="J18" s="124"/>
      <c r="K18" s="124"/>
      <c r="L18" s="125"/>
    </row>
    <row r="19" spans="2:12">
      <c r="B19" s="123"/>
      <c r="C19" s="124"/>
      <c r="D19" s="124"/>
      <c r="E19" s="124"/>
      <c r="F19" s="124"/>
      <c r="G19" s="124"/>
      <c r="H19" s="124"/>
      <c r="I19" s="124"/>
      <c r="J19" s="124"/>
      <c r="K19" s="124"/>
      <c r="L19" s="125"/>
    </row>
    <row r="20" spans="2:12">
      <c r="B20" s="123"/>
      <c r="C20" s="124"/>
      <c r="D20" s="124"/>
      <c r="E20" s="124"/>
      <c r="F20" s="124"/>
      <c r="G20" s="124"/>
      <c r="H20" s="124"/>
      <c r="I20" s="124"/>
      <c r="J20" s="124"/>
      <c r="K20" s="124"/>
      <c r="L20" s="125"/>
    </row>
    <row r="21" spans="2:12">
      <c r="B21" s="123"/>
      <c r="C21" s="124"/>
      <c r="D21" s="124"/>
      <c r="E21" s="124"/>
      <c r="F21" s="124"/>
      <c r="G21" s="124"/>
      <c r="H21" s="124"/>
      <c r="I21" s="124"/>
      <c r="J21" s="124"/>
      <c r="K21" s="124"/>
      <c r="L21" s="125"/>
    </row>
    <row r="22" spans="2:12">
      <c r="B22" s="123"/>
      <c r="C22" s="124"/>
      <c r="D22" s="124"/>
      <c r="E22" s="124"/>
      <c r="F22" s="124"/>
      <c r="G22" s="124"/>
      <c r="H22" s="124"/>
      <c r="I22" s="124"/>
      <c r="J22" s="124"/>
      <c r="K22" s="124"/>
      <c r="L22" s="125"/>
    </row>
    <row r="23" spans="2:12">
      <c r="B23" s="123"/>
      <c r="C23" s="124"/>
      <c r="D23" s="124"/>
      <c r="E23" s="124"/>
      <c r="F23" s="124"/>
      <c r="G23" s="124"/>
      <c r="H23" s="124"/>
      <c r="I23" s="124"/>
      <c r="J23" s="124"/>
      <c r="K23" s="124"/>
      <c r="L23" s="125"/>
    </row>
    <row r="24" spans="2:12">
      <c r="B24" s="123"/>
      <c r="C24" s="124"/>
      <c r="D24" s="124"/>
      <c r="E24" s="124"/>
      <c r="F24" s="124"/>
      <c r="G24" s="124"/>
      <c r="H24" s="124"/>
      <c r="I24" s="124"/>
      <c r="J24" s="124"/>
      <c r="K24" s="124"/>
      <c r="L24" s="125"/>
    </row>
    <row r="25" spans="2:12">
      <c r="B25" s="123"/>
      <c r="C25" s="124"/>
      <c r="D25" s="124"/>
      <c r="E25" s="124"/>
      <c r="F25" s="124"/>
      <c r="G25" s="124"/>
      <c r="H25" s="124"/>
      <c r="I25" s="124"/>
      <c r="J25" s="124"/>
      <c r="K25" s="124"/>
      <c r="L25" s="125"/>
    </row>
    <row r="26" spans="2:12">
      <c r="B26" s="123"/>
      <c r="C26" s="124"/>
      <c r="D26" s="124"/>
      <c r="E26" s="124"/>
      <c r="F26" s="124"/>
      <c r="G26" s="124"/>
      <c r="H26" s="124"/>
      <c r="I26" s="124"/>
      <c r="J26" s="124"/>
      <c r="K26" s="124"/>
      <c r="L26" s="125"/>
    </row>
    <row r="27" spans="2:12">
      <c r="B27" s="123"/>
      <c r="C27" s="124"/>
      <c r="D27" s="124"/>
      <c r="E27" s="124"/>
      <c r="F27" s="124"/>
      <c r="G27" s="124"/>
      <c r="H27" s="124"/>
      <c r="I27" s="124"/>
      <c r="J27" s="124"/>
      <c r="K27" s="124"/>
      <c r="L27" s="125"/>
    </row>
    <row r="28" spans="2:12">
      <c r="B28" s="123"/>
      <c r="C28" s="124"/>
      <c r="D28" s="124"/>
      <c r="E28" s="124"/>
      <c r="F28" s="124"/>
      <c r="G28" s="124"/>
      <c r="H28" s="124"/>
      <c r="I28" s="124"/>
      <c r="J28" s="124"/>
      <c r="K28" s="124"/>
      <c r="L28" s="125"/>
    </row>
    <row r="29" spans="2:12">
      <c r="B29" s="123"/>
      <c r="C29" s="124"/>
      <c r="D29" s="124"/>
      <c r="E29" s="124"/>
      <c r="F29" s="124"/>
      <c r="G29" s="124"/>
      <c r="H29" s="124"/>
      <c r="I29" s="124"/>
      <c r="J29" s="124"/>
      <c r="K29" s="124"/>
      <c r="L29" s="125"/>
    </row>
    <row r="30" spans="2:12">
      <c r="B30" s="123"/>
      <c r="C30" s="124"/>
      <c r="D30" s="124"/>
      <c r="E30" s="124"/>
      <c r="F30" s="124"/>
      <c r="G30" s="124"/>
      <c r="H30" s="124"/>
      <c r="I30" s="124"/>
      <c r="J30" s="124"/>
      <c r="K30" s="124"/>
      <c r="L30" s="125"/>
    </row>
    <row r="31" spans="2:12">
      <c r="B31" s="123" t="s">
        <v>7</v>
      </c>
      <c r="C31" s="124"/>
      <c r="D31" s="124"/>
      <c r="E31" s="124"/>
      <c r="F31" s="124"/>
      <c r="G31" s="124"/>
      <c r="H31" s="124"/>
      <c r="I31" s="124"/>
      <c r="J31" s="124"/>
      <c r="K31" s="124"/>
      <c r="L31" s="125"/>
    </row>
    <row r="32" spans="2:12">
      <c r="B32" s="123"/>
      <c r="C32" s="124"/>
      <c r="D32" s="124"/>
      <c r="E32" s="124"/>
      <c r="F32" s="124"/>
      <c r="G32" s="124"/>
      <c r="H32" s="124"/>
      <c r="I32" s="124"/>
      <c r="J32" s="124"/>
      <c r="K32" s="124"/>
      <c r="L32" s="125"/>
    </row>
    <row r="33" spans="2:12">
      <c r="B33" s="123"/>
      <c r="C33" s="124"/>
      <c r="D33" s="124"/>
      <c r="E33" s="124"/>
      <c r="F33" s="124"/>
      <c r="G33" s="124"/>
      <c r="H33" s="124"/>
      <c r="I33" s="124"/>
      <c r="J33" s="124"/>
      <c r="K33" s="124"/>
      <c r="L33" s="125"/>
    </row>
    <row r="34" spans="2:12">
      <c r="B34" s="123"/>
      <c r="C34" s="124"/>
      <c r="D34" s="124"/>
      <c r="E34" s="124"/>
      <c r="F34" s="124"/>
      <c r="G34" s="124"/>
      <c r="H34" s="124"/>
      <c r="I34" s="124"/>
      <c r="J34" s="124"/>
      <c r="K34" s="124"/>
      <c r="L34" s="125"/>
    </row>
    <row r="35" spans="2:12">
      <c r="B35" s="123"/>
      <c r="C35" s="124"/>
      <c r="D35" s="124"/>
      <c r="E35" s="124"/>
      <c r="F35" s="124"/>
      <c r="G35" s="124"/>
      <c r="H35" s="124"/>
      <c r="I35" s="124"/>
      <c r="J35" s="124"/>
      <c r="K35" s="124"/>
      <c r="L35" s="125"/>
    </row>
    <row r="36" spans="2:12">
      <c r="B36" s="123"/>
      <c r="C36" s="124"/>
      <c r="D36" s="124"/>
      <c r="E36" s="124"/>
      <c r="F36" s="124"/>
      <c r="G36" s="124"/>
      <c r="H36" s="124"/>
      <c r="I36" s="124"/>
      <c r="J36" s="124"/>
      <c r="K36" s="124"/>
      <c r="L36" s="125"/>
    </row>
    <row r="37" spans="2:12">
      <c r="B37" s="123"/>
      <c r="C37" s="124"/>
      <c r="D37" s="124"/>
      <c r="E37" s="124"/>
      <c r="F37" s="124"/>
      <c r="G37" s="124"/>
      <c r="H37" s="124"/>
      <c r="I37" s="124"/>
      <c r="J37" s="124"/>
      <c r="K37" s="124"/>
      <c r="L37" s="125"/>
    </row>
    <row r="38" spans="2:12" ht="17.25" customHeight="1" thickBot="1">
      <c r="B38" s="127"/>
      <c r="C38" s="128"/>
      <c r="D38" s="131"/>
      <c r="E38" s="128"/>
      <c r="F38" s="128"/>
      <c r="G38" s="128"/>
      <c r="H38" s="128"/>
      <c r="I38" s="128"/>
      <c r="J38" s="128"/>
      <c r="K38" s="128"/>
      <c r="L38" s="129"/>
    </row>
    <row r="39" spans="2:12" ht="13.5" thickTop="1"/>
    <row r="40" spans="2:12"/>
  </sheetData>
  <sheetProtection algorithmName="SHA-512" hashValue="dUYHu211sIJSGlUpFPE/NyYqvdpJvVV5SX/v7EuL0pXka5Vo2R174elixXLSbTDMyIZheecbFmye3lWYtQharQ==" saltValue="Uq96k7cGYyeeMZhVU9rk4Q==" spinCount="100000" sheet="1" objects="1" scenarios="1" selectLockedCells="1"/>
  <mergeCells count="5">
    <mergeCell ref="C9:K9"/>
    <mergeCell ref="D13:H13"/>
    <mergeCell ref="B7:C8"/>
    <mergeCell ref="D11:E11"/>
    <mergeCell ref="I11:J11"/>
  </mergeCells>
  <phoneticPr fontId="0" type="noConversion"/>
  <pageMargins left="0.75" right="0.75" top="1" bottom="1" header="0" footer="0"/>
  <pageSetup paperSize="9" orientation="landscape" r:id="rId1"/>
  <headerFooter alignWithMargins="0"/>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8">
    <pageSetUpPr autoPageBreaks="0" fitToPage="1"/>
  </sheetPr>
  <dimension ref="A1:N810"/>
  <sheetViews>
    <sheetView showGridLines="0" showRowColHeaders="0" showZeros="0" showOutlineSymbols="0" topLeftCell="A31" zoomScale="90" zoomScaleNormal="90" workbookViewId="0">
      <selection activeCell="H5" sqref="H5:K5"/>
    </sheetView>
  </sheetViews>
  <sheetFormatPr baseColWidth="10" defaultColWidth="0" defaultRowHeight="12.75" zeroHeight="1"/>
  <cols>
    <col min="1" max="1" width="1.5703125" style="42" customWidth="1"/>
    <col min="2" max="2" width="4.28515625" style="42" customWidth="1"/>
    <col min="3" max="3" width="28" style="42" customWidth="1"/>
    <col min="4" max="6" width="14.28515625" style="42" customWidth="1"/>
    <col min="7" max="7" width="24.28515625" style="42" customWidth="1"/>
    <col min="8" max="8" width="22.85546875" style="42" customWidth="1"/>
    <col min="9" max="9" width="13.140625" style="42" customWidth="1"/>
    <col min="10" max="10" width="11.42578125" style="42" customWidth="1"/>
    <col min="11" max="11" width="22.5703125" style="42" customWidth="1"/>
    <col min="12" max="12" width="21.42578125" style="42" customWidth="1"/>
    <col min="13" max="13" width="4.28515625" style="42" customWidth="1"/>
    <col min="14" max="14" width="11.42578125" style="42" customWidth="1"/>
    <col min="15" max="16384" width="11.42578125" style="42" hidden="1"/>
  </cols>
  <sheetData>
    <row r="1" spans="1:14" s="36" customFormat="1" ht="9" customHeight="1" thickBot="1">
      <c r="A1" s="245"/>
    </row>
    <row r="2" spans="1:14" s="36" customFormat="1" ht="7.5" customHeight="1" thickTop="1" thickBot="1">
      <c r="B2" s="37"/>
      <c r="C2" s="38"/>
      <c r="D2" s="38"/>
      <c r="E2" s="38"/>
      <c r="F2" s="38"/>
      <c r="G2" s="38"/>
      <c r="H2" s="38"/>
      <c r="I2" s="38"/>
      <c r="J2" s="38"/>
      <c r="K2" s="38"/>
      <c r="L2" s="38"/>
      <c r="M2" s="180"/>
    </row>
    <row r="3" spans="1:14" s="36" customFormat="1" ht="21" thickBot="1">
      <c r="B3" s="165"/>
      <c r="C3" s="573" t="s">
        <v>259</v>
      </c>
      <c r="D3" s="573"/>
      <c r="E3" s="573"/>
      <c r="F3" s="573"/>
      <c r="G3" s="573"/>
      <c r="H3" s="573"/>
      <c r="I3" s="573"/>
      <c r="J3" s="573"/>
      <c r="K3" s="573"/>
      <c r="L3" s="573"/>
      <c r="M3" s="574"/>
    </row>
    <row r="4" spans="1:14" s="36" customFormat="1" ht="6" customHeight="1" thickBot="1">
      <c r="B4" s="169"/>
      <c r="C4" s="41"/>
      <c r="D4" s="41"/>
      <c r="E4" s="41"/>
      <c r="F4" s="41"/>
      <c r="G4" s="41"/>
      <c r="H4" s="41"/>
      <c r="I4" s="41"/>
      <c r="J4" s="41"/>
      <c r="K4" s="41"/>
      <c r="L4" s="164"/>
      <c r="M4" s="158"/>
    </row>
    <row r="5" spans="1:14" s="40" customFormat="1" ht="16.5" thickTop="1" thickBot="1">
      <c r="B5" s="163"/>
      <c r="C5" s="41"/>
      <c r="D5" s="589" t="s">
        <v>2510</v>
      </c>
      <c r="E5" s="589"/>
      <c r="F5" s="589"/>
      <c r="G5" s="590"/>
      <c r="H5" s="586" t="s">
        <v>2820</v>
      </c>
      <c r="I5" s="587"/>
      <c r="J5" s="587"/>
      <c r="K5" s="588"/>
      <c r="L5" s="44"/>
      <c r="M5" s="159"/>
    </row>
    <row r="6" spans="1:14" s="40" customFormat="1" ht="4.5" customHeight="1" thickTop="1" thickBot="1">
      <c r="B6" s="163"/>
      <c r="C6" s="41"/>
      <c r="D6" s="41"/>
      <c r="E6" s="41"/>
      <c r="F6" s="41"/>
      <c r="G6" s="41"/>
      <c r="H6" s="41"/>
      <c r="I6" s="41"/>
      <c r="J6" s="41"/>
      <c r="K6" s="41"/>
      <c r="L6" s="41"/>
      <c r="M6" s="158"/>
    </row>
    <row r="7" spans="1:14" s="161" customFormat="1" ht="25.5" customHeight="1" thickBot="1">
      <c r="B7" s="575" t="s">
        <v>2515</v>
      </c>
      <c r="C7" s="576"/>
      <c r="D7" s="576"/>
      <c r="E7" s="576"/>
      <c r="F7" s="576"/>
      <c r="G7" s="576"/>
      <c r="H7" s="576"/>
      <c r="I7" s="576"/>
      <c r="J7" s="576"/>
      <c r="K7" s="576"/>
      <c r="L7" s="576"/>
      <c r="M7" s="577"/>
      <c r="N7" s="160"/>
    </row>
    <row r="8" spans="1:14" s="40" customFormat="1" ht="4.5" customHeight="1" thickBot="1">
      <c r="B8" s="558"/>
      <c r="C8" s="559"/>
      <c r="D8" s="559"/>
      <c r="E8" s="559"/>
      <c r="F8" s="559"/>
      <c r="G8" s="559"/>
      <c r="H8" s="559"/>
      <c r="I8" s="559"/>
      <c r="J8" s="559"/>
      <c r="K8" s="559"/>
      <c r="L8" s="559"/>
      <c r="M8" s="560"/>
    </row>
    <row r="9" spans="1:14" ht="15" customHeight="1" thickBot="1">
      <c r="B9" s="575" t="s">
        <v>2514</v>
      </c>
      <c r="C9" s="576"/>
      <c r="D9" s="576"/>
      <c r="E9" s="576"/>
      <c r="F9" s="576"/>
      <c r="G9" s="576"/>
      <c r="H9" s="576"/>
      <c r="I9" s="576"/>
      <c r="J9" s="576"/>
      <c r="K9" s="576"/>
      <c r="L9" s="576"/>
      <c r="M9" s="577"/>
    </row>
    <row r="10" spans="1:14" s="40" customFormat="1" ht="4.5" customHeight="1" thickBot="1">
      <c r="B10" s="558"/>
      <c r="C10" s="559"/>
      <c r="D10" s="559"/>
      <c r="E10" s="559"/>
      <c r="F10" s="559"/>
      <c r="G10" s="559"/>
      <c r="H10" s="559"/>
      <c r="I10" s="559"/>
      <c r="J10" s="559"/>
      <c r="K10" s="559"/>
      <c r="L10" s="559"/>
      <c r="M10" s="560"/>
    </row>
    <row r="11" spans="1:14" ht="14.25" thickTop="1" thickBot="1">
      <c r="B11" s="43"/>
      <c r="C11" s="172" t="s">
        <v>27</v>
      </c>
      <c r="D11" s="562"/>
      <c r="E11" s="563"/>
      <c r="F11" s="564"/>
      <c r="G11" s="173" t="s">
        <v>252</v>
      </c>
      <c r="H11" s="166" t="s">
        <v>253</v>
      </c>
      <c r="I11" s="44"/>
      <c r="J11" s="174" t="s">
        <v>2522</v>
      </c>
      <c r="K11" s="170">
        <v>1032468634</v>
      </c>
      <c r="L11" s="44"/>
      <c r="M11" s="46"/>
    </row>
    <row r="12" spans="1:14" s="40" customFormat="1" ht="4.5" customHeight="1" thickTop="1" thickBot="1">
      <c r="B12" s="558"/>
      <c r="C12" s="559"/>
      <c r="D12" s="559"/>
      <c r="E12" s="559"/>
      <c r="F12" s="559"/>
      <c r="G12" s="559"/>
      <c r="H12" s="559"/>
      <c r="I12" s="559"/>
      <c r="J12" s="559"/>
      <c r="K12" s="559"/>
      <c r="L12" s="559"/>
      <c r="M12" s="560"/>
    </row>
    <row r="13" spans="1:14" ht="14.25" thickTop="1" thickBot="1">
      <c r="B13" s="43"/>
      <c r="C13" s="167" t="s">
        <v>21</v>
      </c>
      <c r="D13" s="184" t="s">
        <v>190</v>
      </c>
      <c r="E13" s="542"/>
      <c r="F13" s="542"/>
      <c r="G13" s="176" t="s">
        <v>2544</v>
      </c>
      <c r="H13" s="184" t="s">
        <v>282</v>
      </c>
      <c r="I13" s="585"/>
      <c r="J13" s="585"/>
      <c r="K13" s="542"/>
      <c r="L13" s="171"/>
      <c r="M13" s="46"/>
    </row>
    <row r="14" spans="1:14" s="40" customFormat="1" ht="4.5" customHeight="1" thickTop="1" thickBot="1">
      <c r="B14" s="558"/>
      <c r="C14" s="559"/>
      <c r="D14" s="559"/>
      <c r="E14" s="559"/>
      <c r="F14" s="559"/>
      <c r="G14" s="559"/>
      <c r="H14" s="559"/>
      <c r="I14" s="559"/>
      <c r="J14" s="559"/>
      <c r="K14" s="559"/>
      <c r="L14" s="559"/>
      <c r="M14" s="560"/>
    </row>
    <row r="15" spans="1:14" ht="14.25" thickTop="1" thickBot="1">
      <c r="B15" s="43"/>
      <c r="C15" s="175" t="s">
        <v>2524</v>
      </c>
      <c r="D15" s="565">
        <v>34703</v>
      </c>
      <c r="E15" s="564"/>
      <c r="F15" s="183" t="s">
        <v>2521</v>
      </c>
      <c r="G15" s="174" t="s">
        <v>2525</v>
      </c>
      <c r="H15" s="248" t="s">
        <v>2807</v>
      </c>
      <c r="I15" s="569" t="s">
        <v>2530</v>
      </c>
      <c r="J15" s="570"/>
      <c r="K15" s="571" t="s">
        <v>1476</v>
      </c>
      <c r="L15" s="572"/>
      <c r="M15" s="46"/>
    </row>
    <row r="16" spans="1:14" s="40" customFormat="1" ht="4.5" customHeight="1" thickTop="1" thickBot="1">
      <c r="B16" s="558"/>
      <c r="C16" s="559"/>
      <c r="D16" s="559"/>
      <c r="E16" s="559"/>
      <c r="F16" s="559"/>
      <c r="G16" s="559"/>
      <c r="H16" s="559"/>
      <c r="I16" s="559"/>
      <c r="J16" s="559"/>
      <c r="K16" s="559"/>
      <c r="L16" s="559"/>
      <c r="M16" s="560"/>
    </row>
    <row r="17" spans="2:13" ht="14.25" thickTop="1" thickBot="1">
      <c r="B17" s="43"/>
      <c r="C17" s="182" t="s">
        <v>2532</v>
      </c>
      <c r="D17" s="566" t="s">
        <v>2811</v>
      </c>
      <c r="E17" s="567"/>
      <c r="F17" s="568"/>
      <c r="G17" s="174" t="s">
        <v>2533</v>
      </c>
      <c r="H17" s="248" t="s">
        <v>2807</v>
      </c>
      <c r="I17" s="569" t="s">
        <v>2530</v>
      </c>
      <c r="J17" s="570"/>
      <c r="K17" s="571" t="s">
        <v>1476</v>
      </c>
      <c r="L17" s="572"/>
      <c r="M17" s="46"/>
    </row>
    <row r="18" spans="2:13" s="40" customFormat="1" ht="4.5" customHeight="1" thickTop="1" thickBot="1">
      <c r="B18" s="558"/>
      <c r="C18" s="559"/>
      <c r="D18" s="559"/>
      <c r="E18" s="559"/>
      <c r="F18" s="559"/>
      <c r="G18" s="559"/>
      <c r="H18" s="559"/>
      <c r="I18" s="559"/>
      <c r="J18" s="559"/>
      <c r="K18" s="559"/>
      <c r="L18" s="559"/>
      <c r="M18" s="560"/>
    </row>
    <row r="19" spans="2:13" ht="14.25" thickTop="1" thickBot="1">
      <c r="B19" s="43"/>
      <c r="C19" s="172" t="s">
        <v>2545</v>
      </c>
      <c r="D19" s="562" t="s">
        <v>2812</v>
      </c>
      <c r="E19" s="563"/>
      <c r="F19" s="564"/>
      <c r="G19" s="173" t="s">
        <v>22</v>
      </c>
      <c r="H19" s="166">
        <v>4030061</v>
      </c>
      <c r="I19" s="44"/>
      <c r="J19" s="174" t="s">
        <v>2511</v>
      </c>
      <c r="K19" s="166">
        <v>3014855200</v>
      </c>
      <c r="L19" s="44"/>
      <c r="M19" s="46"/>
    </row>
    <row r="20" spans="2:13" s="40" customFormat="1" ht="4.5" customHeight="1" thickTop="1" thickBot="1">
      <c r="B20" s="558"/>
      <c r="C20" s="559"/>
      <c r="D20" s="559"/>
      <c r="E20" s="559"/>
      <c r="F20" s="559"/>
      <c r="G20" s="559"/>
      <c r="H20" s="559"/>
      <c r="I20" s="559"/>
      <c r="J20" s="559"/>
      <c r="K20" s="559"/>
      <c r="L20" s="559"/>
      <c r="M20" s="560"/>
    </row>
    <row r="21" spans="2:13" ht="14.25" thickTop="1" thickBot="1">
      <c r="B21" s="43"/>
      <c r="C21" s="175" t="s">
        <v>2548</v>
      </c>
      <c r="D21" s="578" t="s">
        <v>2813</v>
      </c>
      <c r="E21" s="579"/>
      <c r="F21" s="580"/>
      <c r="G21" s="173" t="s">
        <v>251</v>
      </c>
      <c r="H21" s="166" t="s">
        <v>260</v>
      </c>
      <c r="I21" s="561" t="s">
        <v>2520</v>
      </c>
      <c r="J21" s="561"/>
      <c r="K21" s="249"/>
      <c r="L21" s="44"/>
      <c r="M21" s="46"/>
    </row>
    <row r="22" spans="2:13" s="40" customFormat="1" ht="4.5" customHeight="1" thickTop="1">
      <c r="B22" s="558"/>
      <c r="C22" s="559"/>
      <c r="D22" s="559"/>
      <c r="E22" s="559"/>
      <c r="F22" s="559"/>
      <c r="G22" s="559"/>
      <c r="H22" s="559"/>
      <c r="I22" s="559"/>
      <c r="J22" s="559"/>
      <c r="K22" s="559"/>
      <c r="L22" s="559"/>
      <c r="M22" s="560"/>
    </row>
    <row r="23" spans="2:13" s="40" customFormat="1" ht="4.5" customHeight="1" thickBot="1">
      <c r="B23" s="558"/>
      <c r="C23" s="559"/>
      <c r="D23" s="559"/>
      <c r="E23" s="559"/>
      <c r="F23" s="559"/>
      <c r="G23" s="559"/>
      <c r="H23" s="559"/>
      <c r="I23" s="559"/>
      <c r="J23" s="559"/>
      <c r="K23" s="559"/>
      <c r="L23" s="559"/>
      <c r="M23" s="560"/>
    </row>
    <row r="24" spans="2:13" ht="15" customHeight="1" thickBot="1">
      <c r="B24" s="575" t="s">
        <v>26</v>
      </c>
      <c r="C24" s="576"/>
      <c r="D24" s="576"/>
      <c r="E24" s="576"/>
      <c r="F24" s="576"/>
      <c r="G24" s="576"/>
      <c r="H24" s="576"/>
      <c r="I24" s="576"/>
      <c r="J24" s="576"/>
      <c r="K24" s="576"/>
      <c r="L24" s="576"/>
      <c r="M24" s="577"/>
    </row>
    <row r="25" spans="2:13" s="40" customFormat="1" ht="4.5" customHeight="1" thickBot="1">
      <c r="B25" s="558"/>
      <c r="C25" s="559"/>
      <c r="D25" s="559"/>
      <c r="E25" s="559"/>
      <c r="F25" s="559"/>
      <c r="G25" s="559"/>
      <c r="H25" s="559"/>
      <c r="I25" s="559"/>
      <c r="J25" s="559"/>
      <c r="K25" s="559"/>
      <c r="L25" s="559"/>
      <c r="M25" s="560"/>
    </row>
    <row r="26" spans="2:13" ht="14.25" thickTop="1" thickBot="1">
      <c r="B26" s="43"/>
      <c r="C26" s="132" t="s">
        <v>2537</v>
      </c>
      <c r="D26" s="562" t="s">
        <v>2540</v>
      </c>
      <c r="E26" s="563"/>
      <c r="F26" s="564"/>
      <c r="G26" s="132" t="s">
        <v>2536</v>
      </c>
      <c r="H26" s="562" t="s">
        <v>2808</v>
      </c>
      <c r="I26" s="563"/>
      <c r="J26" s="564"/>
      <c r="K26" s="542"/>
      <c r="L26" s="171"/>
      <c r="M26" s="46"/>
    </row>
    <row r="27" spans="2:13" s="40" customFormat="1" ht="4.5" customHeight="1" thickTop="1" thickBot="1">
      <c r="B27" s="558"/>
      <c r="C27" s="559"/>
      <c r="D27" s="559"/>
      <c r="E27" s="559"/>
      <c r="F27" s="559"/>
      <c r="G27" s="559"/>
      <c r="H27" s="559"/>
      <c r="I27" s="559"/>
      <c r="J27" s="559"/>
      <c r="K27" s="559"/>
      <c r="L27" s="559"/>
      <c r="M27" s="560"/>
    </row>
    <row r="28" spans="2:13" s="162" customFormat="1" ht="25.5" customHeight="1" thickBot="1">
      <c r="B28" s="575" t="s">
        <v>2791</v>
      </c>
      <c r="C28" s="576"/>
      <c r="D28" s="576"/>
      <c r="E28" s="576"/>
      <c r="F28" s="576"/>
      <c r="G28" s="576"/>
      <c r="H28" s="576"/>
      <c r="I28" s="576"/>
      <c r="J28" s="576"/>
      <c r="K28" s="576"/>
      <c r="L28" s="576"/>
      <c r="M28" s="577"/>
    </row>
    <row r="29" spans="2:13" s="40" customFormat="1" ht="4.5" customHeight="1" thickBot="1">
      <c r="B29" s="558"/>
      <c r="C29" s="559"/>
      <c r="D29" s="559"/>
      <c r="E29" s="559"/>
      <c r="F29" s="559"/>
      <c r="G29" s="559"/>
      <c r="H29" s="559"/>
      <c r="I29" s="559"/>
      <c r="J29" s="559"/>
      <c r="K29" s="559"/>
      <c r="L29" s="559"/>
      <c r="M29" s="560"/>
    </row>
    <row r="30" spans="2:13" ht="14.25" thickTop="1" thickBot="1">
      <c r="B30" s="43"/>
      <c r="C30" s="132" t="s">
        <v>25</v>
      </c>
      <c r="D30" s="601" t="str">
        <f>+H5</f>
        <v>SEGI</v>
      </c>
      <c r="E30" s="602"/>
      <c r="F30" s="602"/>
      <c r="G30" s="602"/>
      <c r="H30" s="603"/>
      <c r="I30" s="45"/>
      <c r="J30" s="132" t="s">
        <v>280</v>
      </c>
      <c r="K30" s="599" t="s">
        <v>211</v>
      </c>
      <c r="L30" s="600"/>
      <c r="M30" s="46"/>
    </row>
    <row r="31" spans="2:13" s="40" customFormat="1" ht="4.5" customHeight="1" thickTop="1" thickBot="1">
      <c r="B31" s="558"/>
      <c r="C31" s="559"/>
      <c r="D31" s="559"/>
      <c r="E31" s="559"/>
      <c r="F31" s="559"/>
      <c r="G31" s="559"/>
      <c r="H31" s="559"/>
      <c r="I31" s="559"/>
      <c r="J31" s="559"/>
      <c r="K31" s="559"/>
      <c r="L31" s="559"/>
      <c r="M31" s="560"/>
    </row>
    <row r="32" spans="2:13" ht="14.25" thickTop="1" thickBot="1">
      <c r="B32" s="43"/>
      <c r="C32" s="182" t="s">
        <v>2564</v>
      </c>
      <c r="D32" s="566" t="s">
        <v>2811</v>
      </c>
      <c r="E32" s="567"/>
      <c r="F32" s="568"/>
      <c r="G32" s="174" t="s">
        <v>2563</v>
      </c>
      <c r="H32" s="248" t="s">
        <v>2807</v>
      </c>
      <c r="I32" s="569" t="s">
        <v>2530</v>
      </c>
      <c r="J32" s="570"/>
      <c r="K32" s="571" t="s">
        <v>1476</v>
      </c>
      <c r="L32" s="572"/>
      <c r="M32" s="46"/>
    </row>
    <row r="33" spans="2:13" s="40" customFormat="1" ht="4.5" customHeight="1" thickTop="1" thickBot="1">
      <c r="B33" s="558"/>
      <c r="C33" s="559"/>
      <c r="D33" s="559"/>
      <c r="E33" s="559"/>
      <c r="F33" s="559"/>
      <c r="G33" s="559"/>
      <c r="H33" s="559"/>
      <c r="I33" s="559"/>
      <c r="J33" s="559"/>
      <c r="K33" s="559"/>
      <c r="L33" s="559"/>
      <c r="M33" s="560"/>
    </row>
    <row r="34" spans="2:13" ht="28.5" customHeight="1" thickTop="1" thickBot="1">
      <c r="B34" s="43"/>
      <c r="C34" s="175" t="s">
        <v>2565</v>
      </c>
      <c r="D34" s="184" t="s">
        <v>2812</v>
      </c>
      <c r="E34" s="174" t="s">
        <v>1286</v>
      </c>
      <c r="F34" s="604" t="s">
        <v>974</v>
      </c>
      <c r="G34" s="605"/>
      <c r="H34" s="605"/>
      <c r="I34" s="605"/>
      <c r="J34" s="605"/>
      <c r="K34" s="605"/>
      <c r="L34" s="606"/>
      <c r="M34" s="46"/>
    </row>
    <row r="35" spans="2:13" s="40" customFormat="1" ht="4.5" customHeight="1" thickTop="1" thickBot="1">
      <c r="B35" s="558"/>
      <c r="C35" s="559"/>
      <c r="D35" s="559"/>
      <c r="E35" s="559"/>
      <c r="F35" s="559"/>
      <c r="G35" s="559"/>
      <c r="H35" s="559"/>
      <c r="I35" s="559"/>
      <c r="J35" s="559"/>
      <c r="K35" s="559"/>
      <c r="L35" s="559"/>
      <c r="M35" s="560"/>
    </row>
    <row r="36" spans="2:13" ht="14.25" thickTop="1" thickBot="1">
      <c r="B36" s="43"/>
      <c r="C36" s="132" t="s">
        <v>2566</v>
      </c>
      <c r="D36" s="597" t="str">
        <f>+LEFT(F34,4)</f>
        <v>6201</v>
      </c>
      <c r="E36" s="598"/>
      <c r="F36" s="171"/>
      <c r="G36" s="174" t="s">
        <v>2567</v>
      </c>
      <c r="H36" s="181">
        <v>43128</v>
      </c>
      <c r="I36" s="182" t="s">
        <v>2521</v>
      </c>
      <c r="J36" s="187" t="s">
        <v>22</v>
      </c>
      <c r="K36" s="166">
        <f>+K19</f>
        <v>3014855200</v>
      </c>
      <c r="L36" s="44"/>
      <c r="M36" s="46"/>
    </row>
    <row r="37" spans="2:13" s="40" customFormat="1" ht="4.5" customHeight="1" thickTop="1" thickBot="1">
      <c r="B37" s="558"/>
      <c r="C37" s="559"/>
      <c r="D37" s="559"/>
      <c r="E37" s="559"/>
      <c r="F37" s="559"/>
      <c r="G37" s="559"/>
      <c r="H37" s="559"/>
      <c r="I37" s="559"/>
      <c r="J37" s="559"/>
      <c r="K37" s="559"/>
      <c r="L37" s="559"/>
      <c r="M37" s="560"/>
    </row>
    <row r="38" spans="2:13" s="162" customFormat="1" ht="25.5" customHeight="1" thickBot="1">
      <c r="B38" s="575" t="s">
        <v>2792</v>
      </c>
      <c r="C38" s="576"/>
      <c r="D38" s="576"/>
      <c r="E38" s="576"/>
      <c r="F38" s="576"/>
      <c r="G38" s="576"/>
      <c r="H38" s="576"/>
      <c r="I38" s="576"/>
      <c r="J38" s="576"/>
      <c r="K38" s="576"/>
      <c r="L38" s="576"/>
      <c r="M38" s="577"/>
    </row>
    <row r="39" spans="2:13" s="40" customFormat="1" ht="4.5" customHeight="1" thickBot="1">
      <c r="B39" s="558"/>
      <c r="C39" s="559"/>
      <c r="D39" s="559"/>
      <c r="E39" s="559"/>
      <c r="F39" s="559"/>
      <c r="G39" s="559"/>
      <c r="H39" s="559"/>
      <c r="I39" s="559"/>
      <c r="J39" s="559"/>
      <c r="K39" s="559"/>
      <c r="L39" s="559"/>
      <c r="M39" s="560"/>
    </row>
    <row r="40" spans="2:13" ht="14.25" thickTop="1" thickBot="1">
      <c r="B40" s="43"/>
      <c r="C40" s="132" t="s">
        <v>2568</v>
      </c>
      <c r="D40" s="595" t="s">
        <v>1301</v>
      </c>
      <c r="E40" s="596"/>
      <c r="F40" s="174" t="s">
        <v>2569</v>
      </c>
      <c r="G40" s="571" t="s">
        <v>1374</v>
      </c>
      <c r="H40" s="594"/>
      <c r="I40" s="594"/>
      <c r="J40" s="594"/>
      <c r="K40" s="572"/>
      <c r="L40" s="44"/>
      <c r="M40" s="46"/>
    </row>
    <row r="41" spans="2:13" s="40" customFormat="1" ht="4.5" customHeight="1" thickTop="1" thickBot="1">
      <c r="B41" s="558"/>
      <c r="C41" s="559"/>
      <c r="D41" s="559"/>
      <c r="E41" s="559"/>
      <c r="F41" s="559"/>
      <c r="G41" s="559"/>
      <c r="H41" s="559"/>
      <c r="I41" s="559"/>
      <c r="J41" s="559"/>
      <c r="K41" s="559"/>
      <c r="L41" s="559"/>
      <c r="M41" s="560"/>
    </row>
    <row r="42" spans="2:13" ht="14.25" thickTop="1" thickBot="1">
      <c r="B42" s="43"/>
      <c r="C42" s="132" t="s">
        <v>2570</v>
      </c>
      <c r="D42" s="562"/>
      <c r="E42" s="563"/>
      <c r="F42" s="564"/>
      <c r="G42" s="174" t="s">
        <v>2571</v>
      </c>
      <c r="H42" s="166" t="s">
        <v>2810</v>
      </c>
      <c r="I42" s="584" t="s">
        <v>2574</v>
      </c>
      <c r="J42" s="585"/>
      <c r="K42" s="166"/>
      <c r="L42" s="45"/>
      <c r="M42" s="46"/>
    </row>
    <row r="43" spans="2:13" s="40" customFormat="1" ht="4.5" customHeight="1" thickTop="1" thickBot="1">
      <c r="B43" s="558"/>
      <c r="C43" s="559"/>
      <c r="D43" s="559"/>
      <c r="E43" s="559"/>
      <c r="F43" s="559"/>
      <c r="G43" s="559"/>
      <c r="H43" s="559"/>
      <c r="I43" s="559"/>
      <c r="J43" s="559"/>
      <c r="K43" s="559"/>
      <c r="L43" s="559"/>
      <c r="M43" s="560"/>
    </row>
    <row r="44" spans="2:13" ht="14.25" thickTop="1" thickBot="1">
      <c r="B44" s="43"/>
      <c r="C44" s="132" t="s">
        <v>2572</v>
      </c>
      <c r="D44" s="562" t="s">
        <v>2809</v>
      </c>
      <c r="E44" s="563"/>
      <c r="F44" s="564"/>
      <c r="G44" s="174" t="s">
        <v>2573</v>
      </c>
      <c r="H44" s="166">
        <v>3212204062</v>
      </c>
      <c r="I44" s="44"/>
      <c r="J44" s="44"/>
      <c r="K44" s="44"/>
      <c r="L44" s="44"/>
      <c r="M44" s="46"/>
    </row>
    <row r="45" spans="2:13" s="40" customFormat="1" ht="4.5" customHeight="1" thickTop="1">
      <c r="B45" s="558"/>
      <c r="C45" s="559"/>
      <c r="D45" s="559"/>
      <c r="E45" s="559"/>
      <c r="F45" s="559"/>
      <c r="G45" s="559"/>
      <c r="H45" s="559"/>
      <c r="I45" s="559"/>
      <c r="J45" s="559"/>
      <c r="K45" s="559"/>
      <c r="L45" s="559"/>
      <c r="M45" s="560"/>
    </row>
    <row r="46" spans="2:13">
      <c r="B46" s="548"/>
      <c r="C46" s="549"/>
      <c r="D46" s="549"/>
      <c r="E46" s="549"/>
      <c r="F46" s="549"/>
      <c r="G46" s="549"/>
      <c r="H46" s="549"/>
      <c r="I46" s="549"/>
      <c r="J46" s="549"/>
      <c r="K46" s="549"/>
      <c r="L46" s="549"/>
      <c r="M46" s="550"/>
    </row>
    <row r="47" spans="2:13" s="162" customFormat="1" ht="25.5" customHeight="1" thickBot="1">
      <c r="B47" s="591" t="s">
        <v>2796</v>
      </c>
      <c r="C47" s="592"/>
      <c r="D47" s="592"/>
      <c r="E47" s="592"/>
      <c r="F47" s="592"/>
      <c r="G47" s="592"/>
      <c r="H47" s="592"/>
      <c r="I47" s="592"/>
      <c r="J47" s="592"/>
      <c r="K47" s="592"/>
      <c r="L47" s="592"/>
      <c r="M47" s="593"/>
    </row>
    <row r="48" spans="2:13" s="40" customFormat="1" ht="4.5" customHeight="1">
      <c r="B48" s="558"/>
      <c r="C48" s="559"/>
      <c r="D48" s="559"/>
      <c r="E48" s="559"/>
      <c r="F48" s="559"/>
      <c r="G48" s="559"/>
      <c r="H48" s="559"/>
      <c r="I48" s="559"/>
      <c r="J48" s="559"/>
      <c r="K48" s="559"/>
      <c r="L48" s="559"/>
      <c r="M48" s="560"/>
    </row>
    <row r="49" spans="2:13">
      <c r="B49" s="43"/>
      <c r="M49" s="46"/>
    </row>
    <row r="50" spans="2:13" s="40" customFormat="1" ht="4.5" customHeight="1">
      <c r="B50" s="163"/>
      <c r="C50" s="546"/>
      <c r="D50" s="546"/>
      <c r="E50" s="546"/>
      <c r="F50" s="546"/>
      <c r="G50" s="546"/>
      <c r="H50" s="546"/>
      <c r="I50" s="546"/>
      <c r="J50" s="546"/>
      <c r="K50" s="546"/>
      <c r="L50" s="546"/>
      <c r="M50" s="378"/>
    </row>
    <row r="51" spans="2:13" hidden="1">
      <c r="B51" s="375"/>
      <c r="C51" s="546"/>
      <c r="D51" s="546"/>
      <c r="E51" s="546"/>
      <c r="F51" s="546"/>
      <c r="G51" s="546"/>
      <c r="H51" s="546"/>
      <c r="I51" s="546"/>
      <c r="J51" s="546"/>
      <c r="K51" s="546"/>
      <c r="L51" s="546"/>
      <c r="M51" s="378"/>
    </row>
    <row r="52" spans="2:13" hidden="1">
      <c r="B52" s="375"/>
      <c r="C52" s="546"/>
      <c r="D52" s="546"/>
      <c r="E52" s="546"/>
      <c r="F52" s="546"/>
      <c r="G52" s="546"/>
      <c r="H52" s="546"/>
      <c r="I52" s="546"/>
      <c r="J52" s="546"/>
      <c r="K52" s="546"/>
      <c r="L52" s="546"/>
      <c r="M52" s="378"/>
    </row>
    <row r="53" spans="2:13" hidden="1">
      <c r="B53" s="375"/>
      <c r="C53" s="546"/>
      <c r="D53" s="546"/>
      <c r="E53" s="546"/>
      <c r="F53" s="546"/>
      <c r="G53" s="546"/>
      <c r="H53" s="546"/>
      <c r="I53" s="546"/>
      <c r="J53" s="546"/>
      <c r="K53" s="546"/>
      <c r="L53" s="546"/>
      <c r="M53" s="378"/>
    </row>
    <row r="54" spans="2:13" hidden="1">
      <c r="B54" s="375"/>
      <c r="C54" s="546"/>
      <c r="D54" s="546"/>
      <c r="E54" s="546"/>
      <c r="F54" s="546"/>
      <c r="G54" s="546"/>
      <c r="H54" s="546"/>
      <c r="I54" s="546"/>
      <c r="J54" s="546"/>
      <c r="K54" s="546"/>
      <c r="L54" s="546"/>
      <c r="M54" s="378"/>
    </row>
    <row r="55" spans="2:13" hidden="1">
      <c r="B55" s="375"/>
      <c r="C55" s="546"/>
      <c r="D55" s="546"/>
      <c r="E55" s="546"/>
      <c r="F55" s="546"/>
      <c r="G55" s="546"/>
      <c r="H55" s="546"/>
      <c r="I55" s="546"/>
      <c r="J55" s="546"/>
      <c r="K55" s="546"/>
      <c r="L55" s="546"/>
      <c r="M55" s="378"/>
    </row>
    <row r="56" spans="2:13" hidden="1">
      <c r="B56" s="375"/>
      <c r="C56" s="546"/>
      <c r="D56" s="546"/>
      <c r="E56" s="546"/>
      <c r="F56" s="546"/>
      <c r="G56" s="546"/>
      <c r="H56" s="546"/>
      <c r="I56" s="546"/>
      <c r="J56" s="546"/>
      <c r="K56" s="546"/>
      <c r="L56" s="546"/>
      <c r="M56" s="378"/>
    </row>
    <row r="57" spans="2:13" hidden="1">
      <c r="B57" s="375"/>
      <c r="C57" s="546"/>
      <c r="D57" s="546"/>
      <c r="E57" s="546"/>
      <c r="F57" s="546"/>
      <c r="G57" s="546"/>
      <c r="H57" s="546"/>
      <c r="I57" s="546"/>
      <c r="J57" s="546"/>
      <c r="K57" s="546"/>
      <c r="L57" s="546"/>
      <c r="M57" s="378"/>
    </row>
    <row r="58" spans="2:13" hidden="1">
      <c r="B58" s="375"/>
      <c r="C58" s="546"/>
      <c r="D58" s="546"/>
      <c r="E58" s="546"/>
      <c r="F58" s="546"/>
      <c r="G58" s="546"/>
      <c r="H58" s="546"/>
      <c r="I58" s="546"/>
      <c r="J58" s="546"/>
      <c r="K58" s="546"/>
      <c r="L58" s="546"/>
      <c r="M58" s="378"/>
    </row>
    <row r="59" spans="2:13" hidden="1">
      <c r="B59" s="375"/>
      <c r="C59" s="546"/>
      <c r="D59" s="546"/>
      <c r="E59" s="546"/>
      <c r="F59" s="546"/>
      <c r="G59" s="546"/>
      <c r="H59" s="546"/>
      <c r="I59" s="546"/>
      <c r="J59" s="546"/>
      <c r="K59" s="546"/>
      <c r="L59" s="546"/>
      <c r="M59" s="378"/>
    </row>
    <row r="60" spans="2:13" hidden="1">
      <c r="B60" s="375"/>
      <c r="C60" s="546"/>
      <c r="D60" s="546"/>
      <c r="E60" s="546"/>
      <c r="F60" s="546"/>
      <c r="G60" s="546"/>
      <c r="H60" s="546"/>
      <c r="I60" s="546"/>
      <c r="J60" s="546"/>
      <c r="K60" s="546"/>
      <c r="L60" s="546"/>
      <c r="M60" s="378"/>
    </row>
    <row r="61" spans="2:13" hidden="1">
      <c r="B61" s="375"/>
      <c r="C61" s="546"/>
      <c r="D61" s="546"/>
      <c r="E61" s="546"/>
      <c r="F61" s="546"/>
      <c r="G61" s="546"/>
      <c r="H61" s="546"/>
      <c r="I61" s="546"/>
      <c r="J61" s="546"/>
      <c r="K61" s="546"/>
      <c r="L61" s="546"/>
      <c r="M61" s="378"/>
    </row>
    <row r="62" spans="2:13" hidden="1">
      <c r="B62" s="375"/>
      <c r="C62" s="546"/>
      <c r="D62" s="546"/>
      <c r="E62" s="546"/>
      <c r="F62" s="546"/>
      <c r="G62" s="546"/>
      <c r="H62" s="546"/>
      <c r="I62" s="546"/>
      <c r="J62" s="546"/>
      <c r="K62" s="546"/>
      <c r="L62" s="546"/>
      <c r="M62" s="378"/>
    </row>
    <row r="63" spans="2:13" hidden="1">
      <c r="B63" s="375"/>
      <c r="C63" s="171"/>
      <c r="D63" s="171"/>
      <c r="E63" s="171"/>
      <c r="F63" s="171"/>
      <c r="G63" s="171"/>
      <c r="H63" s="171"/>
      <c r="I63" s="171"/>
      <c r="J63" s="171"/>
      <c r="K63" s="171"/>
      <c r="L63" s="546"/>
      <c r="M63" s="378"/>
    </row>
    <row r="64" spans="2:13" hidden="1">
      <c r="B64" s="375"/>
      <c r="C64" s="171"/>
      <c r="D64" s="171"/>
      <c r="E64" s="171"/>
      <c r="F64" s="171"/>
      <c r="G64" s="171"/>
      <c r="H64" s="171"/>
      <c r="I64" s="171"/>
      <c r="J64" s="171"/>
      <c r="K64" s="171"/>
      <c r="L64" s="546"/>
      <c r="M64" s="378"/>
    </row>
    <row r="65" spans="2:13" hidden="1">
      <c r="B65" s="375"/>
      <c r="C65" s="171"/>
      <c r="D65" s="171"/>
      <c r="E65" s="171"/>
      <c r="F65" s="171"/>
      <c r="G65" s="171"/>
      <c r="H65" s="547"/>
      <c r="I65" s="171"/>
      <c r="J65" s="171"/>
      <c r="K65" s="171"/>
      <c r="L65" s="546"/>
      <c r="M65" s="378"/>
    </row>
    <row r="66" spans="2:13" hidden="1">
      <c r="B66" s="375"/>
      <c r="C66" s="546"/>
      <c r="D66" s="546"/>
      <c r="E66" s="546"/>
      <c r="F66" s="546"/>
      <c r="G66" s="546"/>
      <c r="H66" s="546"/>
      <c r="I66" s="546"/>
      <c r="J66" s="546"/>
      <c r="K66" s="546"/>
      <c r="L66" s="546"/>
      <c r="M66" s="378"/>
    </row>
    <row r="67" spans="2:13" hidden="1">
      <c r="B67" s="375"/>
      <c r="C67" s="546"/>
      <c r="D67" s="546"/>
      <c r="E67" s="546"/>
      <c r="F67" s="546"/>
      <c r="G67" s="546"/>
      <c r="H67" s="546"/>
      <c r="I67" s="546"/>
      <c r="J67" s="546"/>
      <c r="K67" s="546"/>
      <c r="L67" s="546"/>
      <c r="M67" s="378"/>
    </row>
    <row r="68" spans="2:13" hidden="1">
      <c r="B68" s="375"/>
      <c r="C68" s="546"/>
      <c r="D68" s="546"/>
      <c r="E68" s="546"/>
      <c r="F68" s="546"/>
      <c r="G68" s="546"/>
      <c r="H68" s="546"/>
      <c r="I68" s="546"/>
      <c r="J68" s="546"/>
      <c r="K68" s="546"/>
      <c r="L68" s="546"/>
      <c r="M68" s="378"/>
    </row>
    <row r="69" spans="2:13" hidden="1">
      <c r="B69" s="375"/>
      <c r="C69" s="546"/>
      <c r="D69" s="546"/>
      <c r="E69" s="546"/>
      <c r="F69" s="546"/>
      <c r="G69" s="546"/>
      <c r="H69" s="546"/>
      <c r="I69" s="546"/>
      <c r="J69" s="546"/>
      <c r="K69" s="546"/>
      <c r="L69" s="546"/>
      <c r="M69" s="378"/>
    </row>
    <row r="70" spans="2:13" hidden="1">
      <c r="B70" s="375"/>
      <c r="C70" s="546"/>
      <c r="D70" s="546"/>
      <c r="E70" s="546"/>
      <c r="F70" s="546"/>
      <c r="G70" s="546"/>
      <c r="H70" s="546"/>
      <c r="I70" s="546"/>
      <c r="J70" s="546"/>
      <c r="K70" s="546"/>
      <c r="L70" s="546"/>
      <c r="M70" s="378"/>
    </row>
    <row r="71" spans="2:13" hidden="1">
      <c r="B71" s="375"/>
      <c r="C71" s="546"/>
      <c r="D71" s="546"/>
      <c r="E71" s="546"/>
      <c r="F71" s="546"/>
      <c r="G71" s="546"/>
      <c r="H71" s="546"/>
      <c r="I71" s="546"/>
      <c r="J71" s="546"/>
      <c r="K71" s="546"/>
      <c r="L71" s="546"/>
      <c r="M71" s="378"/>
    </row>
    <row r="72" spans="2:13" hidden="1">
      <c r="B72" s="375"/>
      <c r="C72" s="546"/>
      <c r="D72" s="546"/>
      <c r="E72" s="546"/>
      <c r="F72" s="546"/>
      <c r="G72" s="546"/>
      <c r="H72" s="546"/>
      <c r="I72" s="546"/>
      <c r="J72" s="546"/>
      <c r="K72" s="546"/>
      <c r="L72" s="546"/>
      <c r="M72" s="378"/>
    </row>
    <row r="73" spans="2:13" hidden="1">
      <c r="B73" s="375"/>
      <c r="C73" s="546"/>
      <c r="D73" s="546"/>
      <c r="E73" s="546"/>
      <c r="F73" s="546"/>
      <c r="G73" s="546"/>
      <c r="H73" s="546"/>
      <c r="I73" s="546"/>
      <c r="J73" s="546"/>
      <c r="K73" s="546"/>
      <c r="L73" s="546"/>
      <c r="M73" s="378"/>
    </row>
    <row r="74" spans="2:13" hidden="1">
      <c r="B74" s="375"/>
      <c r="C74" s="546"/>
      <c r="D74" s="546"/>
      <c r="E74" s="546"/>
      <c r="F74" s="546"/>
      <c r="G74" s="546"/>
      <c r="H74" s="546"/>
      <c r="I74" s="546"/>
      <c r="J74" s="546"/>
      <c r="K74" s="546"/>
      <c r="L74" s="546"/>
      <c r="M74" s="378"/>
    </row>
    <row r="75" spans="2:13" hidden="1">
      <c r="B75" s="375"/>
      <c r="C75" s="546"/>
      <c r="D75" s="546"/>
      <c r="E75" s="546"/>
      <c r="F75" s="546"/>
      <c r="G75" s="546"/>
      <c r="H75" s="546"/>
      <c r="I75" s="546"/>
      <c r="J75" s="546"/>
      <c r="K75" s="546"/>
      <c r="L75" s="546"/>
      <c r="M75" s="378"/>
    </row>
    <row r="76" spans="2:13" hidden="1">
      <c r="B76" s="375"/>
      <c r="C76" s="546"/>
      <c r="D76" s="546"/>
      <c r="E76" s="546"/>
      <c r="F76" s="546"/>
      <c r="G76" s="546"/>
      <c r="H76" s="546"/>
      <c r="I76" s="546"/>
      <c r="J76" s="546"/>
      <c r="K76" s="546"/>
      <c r="L76" s="546"/>
      <c r="M76" s="378"/>
    </row>
    <row r="77" spans="2:13" hidden="1">
      <c r="B77" s="375"/>
      <c r="C77" s="546"/>
      <c r="D77" s="546"/>
      <c r="E77" s="546"/>
      <c r="F77" s="546"/>
      <c r="G77" s="546"/>
      <c r="H77" s="546"/>
      <c r="I77" s="546"/>
      <c r="J77" s="546"/>
      <c r="K77" s="546"/>
      <c r="L77" s="546"/>
      <c r="M77" s="378"/>
    </row>
    <row r="78" spans="2:13" hidden="1">
      <c r="B78" s="375"/>
      <c r="C78" s="546"/>
      <c r="D78" s="546"/>
      <c r="E78" s="546"/>
      <c r="F78" s="546"/>
      <c r="G78" s="546"/>
      <c r="H78" s="546"/>
      <c r="I78" s="546"/>
      <c r="J78" s="546"/>
      <c r="K78" s="546"/>
      <c r="L78" s="546"/>
      <c r="M78" s="378"/>
    </row>
    <row r="79" spans="2:13" hidden="1">
      <c r="B79" s="375"/>
      <c r="C79" s="546"/>
      <c r="D79" s="546"/>
      <c r="E79" s="546"/>
      <c r="F79" s="546"/>
      <c r="G79" s="546"/>
      <c r="H79" s="546"/>
      <c r="I79" s="546"/>
      <c r="J79" s="546"/>
      <c r="K79" s="546"/>
      <c r="L79" s="546"/>
      <c r="M79" s="378"/>
    </row>
    <row r="80" spans="2:13" hidden="1">
      <c r="B80" s="375"/>
      <c r="C80" s="546"/>
      <c r="D80" s="546"/>
      <c r="E80" s="546"/>
      <c r="F80" s="546"/>
      <c r="G80" s="546"/>
      <c r="H80" s="546"/>
      <c r="I80" s="546"/>
      <c r="J80" s="546"/>
      <c r="K80" s="546"/>
      <c r="L80" s="546"/>
      <c r="M80" s="378"/>
    </row>
    <row r="81" spans="2:13" hidden="1">
      <c r="B81" s="375"/>
      <c r="C81" s="546"/>
      <c r="D81" s="546"/>
      <c r="E81" s="546"/>
      <c r="F81" s="546"/>
      <c r="G81" s="546"/>
      <c r="H81" s="546"/>
      <c r="I81" s="546"/>
      <c r="J81" s="546"/>
      <c r="K81" s="546"/>
      <c r="L81" s="546"/>
      <c r="M81" s="378"/>
    </row>
    <row r="82" spans="2:13" hidden="1">
      <c r="B82" s="375"/>
      <c r="C82" s="546"/>
      <c r="D82" s="546"/>
      <c r="E82" s="546"/>
      <c r="F82" s="546"/>
      <c r="G82" s="546"/>
      <c r="H82" s="546"/>
      <c r="I82" s="546"/>
      <c r="J82" s="546"/>
      <c r="K82" s="546"/>
      <c r="L82" s="546"/>
      <c r="M82" s="378"/>
    </row>
    <row r="83" spans="2:13" hidden="1">
      <c r="B83" s="375"/>
      <c r="C83" s="546"/>
      <c r="D83" s="546"/>
      <c r="E83" s="546"/>
      <c r="F83" s="546"/>
      <c r="G83" s="546"/>
      <c r="H83" s="546"/>
      <c r="I83" s="546"/>
      <c r="J83" s="546"/>
      <c r="K83" s="546"/>
      <c r="L83" s="546"/>
      <c r="M83" s="378"/>
    </row>
    <row r="84" spans="2:13" hidden="1">
      <c r="B84" s="375"/>
      <c r="C84" s="546"/>
      <c r="D84" s="546"/>
      <c r="E84" s="546"/>
      <c r="F84" s="546"/>
      <c r="G84" s="546"/>
      <c r="H84" s="546"/>
      <c r="I84" s="546"/>
      <c r="J84" s="546"/>
      <c r="K84" s="546"/>
      <c r="L84" s="546"/>
      <c r="M84" s="378"/>
    </row>
    <row r="85" spans="2:13" hidden="1">
      <c r="B85" s="375"/>
      <c r="C85" s="546"/>
      <c r="D85" s="546"/>
      <c r="E85" s="546"/>
      <c r="F85" s="546"/>
      <c r="G85" s="546"/>
      <c r="H85" s="546"/>
      <c r="I85" s="546"/>
      <c r="J85" s="546"/>
      <c r="K85" s="546"/>
      <c r="L85" s="546"/>
      <c r="M85" s="378"/>
    </row>
    <row r="86" spans="2:13" hidden="1">
      <c r="B86" s="375"/>
      <c r="C86" s="546"/>
      <c r="D86" s="546"/>
      <c r="E86" s="546"/>
      <c r="F86" s="546"/>
      <c r="G86" s="546"/>
      <c r="H86" s="546"/>
      <c r="I86" s="546"/>
      <c r="J86" s="546"/>
      <c r="K86" s="546"/>
      <c r="L86" s="546"/>
      <c r="M86" s="378"/>
    </row>
    <row r="87" spans="2:13" hidden="1">
      <c r="B87" s="375"/>
      <c r="C87" s="546"/>
      <c r="D87" s="546"/>
      <c r="E87" s="546"/>
      <c r="F87" s="546"/>
      <c r="G87" s="546"/>
      <c r="H87" s="546"/>
      <c r="I87" s="546"/>
      <c r="J87" s="546"/>
      <c r="K87" s="546"/>
      <c r="L87" s="546"/>
      <c r="M87" s="378"/>
    </row>
    <row r="88" spans="2:13" hidden="1">
      <c r="B88" s="375"/>
      <c r="C88" s="546"/>
      <c r="D88" s="546"/>
      <c r="E88" s="546"/>
      <c r="F88" s="546"/>
      <c r="G88" s="546"/>
      <c r="H88" s="546"/>
      <c r="I88" s="546"/>
      <c r="J88" s="546"/>
      <c r="K88" s="546"/>
      <c r="L88" s="546"/>
      <c r="M88" s="378"/>
    </row>
    <row r="89" spans="2:13" hidden="1">
      <c r="B89" s="375"/>
      <c r="C89" s="546"/>
      <c r="D89" s="546"/>
      <c r="E89" s="546"/>
      <c r="F89" s="546"/>
      <c r="G89" s="546"/>
      <c r="H89" s="546"/>
      <c r="I89" s="546"/>
      <c r="J89" s="546"/>
      <c r="K89" s="546"/>
      <c r="L89" s="546"/>
      <c r="M89" s="378"/>
    </row>
    <row r="90" spans="2:13" hidden="1">
      <c r="B90" s="375"/>
      <c r="C90" s="546"/>
      <c r="D90" s="546"/>
      <c r="E90" s="546"/>
      <c r="F90" s="546"/>
      <c r="G90" s="546"/>
      <c r="H90" s="546"/>
      <c r="I90" s="546"/>
      <c r="J90" s="546"/>
      <c r="K90" s="546"/>
      <c r="L90" s="546"/>
      <c r="M90" s="378"/>
    </row>
    <row r="91" spans="2:13" hidden="1">
      <c r="B91" s="375"/>
      <c r="C91" s="546"/>
      <c r="D91" s="546"/>
      <c r="E91" s="546"/>
      <c r="F91" s="546"/>
      <c r="G91" s="546"/>
      <c r="H91" s="546"/>
      <c r="I91" s="546"/>
      <c r="J91" s="546"/>
      <c r="K91" s="546"/>
      <c r="L91" s="546"/>
      <c r="M91" s="378"/>
    </row>
    <row r="92" spans="2:13" hidden="1">
      <c r="B92" s="375"/>
      <c r="C92" s="546"/>
      <c r="D92" s="546"/>
      <c r="E92" s="546"/>
      <c r="F92" s="546"/>
      <c r="G92" s="546"/>
      <c r="H92" s="546"/>
      <c r="I92" s="546"/>
      <c r="J92" s="546"/>
      <c r="K92" s="546"/>
      <c r="L92" s="546"/>
      <c r="M92" s="378"/>
    </row>
    <row r="93" spans="2:13" hidden="1">
      <c r="B93" s="375"/>
      <c r="C93" s="546"/>
      <c r="D93" s="546"/>
      <c r="E93" s="546"/>
      <c r="F93" s="546"/>
      <c r="G93" s="546"/>
      <c r="H93" s="546"/>
      <c r="I93" s="546"/>
      <c r="J93" s="546"/>
      <c r="K93" s="546"/>
      <c r="L93" s="546"/>
      <c r="M93" s="378"/>
    </row>
    <row r="94" spans="2:13" hidden="1">
      <c r="B94" s="375"/>
      <c r="C94" s="546"/>
      <c r="D94" s="546"/>
      <c r="E94" s="546"/>
      <c r="F94" s="546"/>
      <c r="G94" s="546"/>
      <c r="H94" s="546"/>
      <c r="I94" s="546"/>
      <c r="J94" s="546"/>
      <c r="K94" s="546"/>
      <c r="L94" s="546"/>
      <c r="M94" s="378"/>
    </row>
    <row r="95" spans="2:13" hidden="1">
      <c r="B95" s="375"/>
      <c r="C95" s="546"/>
      <c r="D95" s="546"/>
      <c r="E95" s="546"/>
      <c r="F95" s="546"/>
      <c r="G95" s="546"/>
      <c r="H95" s="546"/>
      <c r="I95" s="546"/>
      <c r="J95" s="546"/>
      <c r="K95" s="546"/>
      <c r="L95" s="546"/>
      <c r="M95" s="378"/>
    </row>
    <row r="96" spans="2:13" hidden="1">
      <c r="B96" s="375"/>
      <c r="C96" s="546"/>
      <c r="D96" s="546"/>
      <c r="E96" s="546"/>
      <c r="F96" s="546"/>
      <c r="G96" s="546"/>
      <c r="H96" s="546"/>
      <c r="I96" s="546"/>
      <c r="J96" s="546"/>
      <c r="K96" s="546"/>
      <c r="L96" s="546"/>
      <c r="M96" s="378"/>
    </row>
    <row r="97" spans="2:13" hidden="1">
      <c r="B97" s="375"/>
      <c r="C97" s="546"/>
      <c r="D97" s="546"/>
      <c r="E97" s="546"/>
      <c r="F97" s="546"/>
      <c r="G97" s="546"/>
      <c r="H97" s="546"/>
      <c r="I97" s="546"/>
      <c r="J97" s="546"/>
      <c r="K97" s="546"/>
      <c r="L97" s="546"/>
      <c r="M97" s="378"/>
    </row>
    <row r="98" spans="2:13" hidden="1">
      <c r="B98" s="375"/>
      <c r="C98" s="546"/>
      <c r="D98" s="546"/>
      <c r="E98" s="546"/>
      <c r="F98" s="546"/>
      <c r="G98" s="546"/>
      <c r="H98" s="546"/>
      <c r="I98" s="546"/>
      <c r="J98" s="546"/>
      <c r="K98" s="546"/>
      <c r="L98" s="546"/>
      <c r="M98" s="378"/>
    </row>
    <row r="99" spans="2:13" hidden="1">
      <c r="B99" s="375"/>
      <c r="C99" s="546"/>
      <c r="D99" s="546"/>
      <c r="E99" s="546"/>
      <c r="F99" s="546"/>
      <c r="G99" s="546"/>
      <c r="H99" s="546"/>
      <c r="I99" s="546"/>
      <c r="J99" s="546"/>
      <c r="K99" s="546"/>
      <c r="L99" s="546"/>
      <c r="M99" s="378"/>
    </row>
    <row r="100" spans="2:13" hidden="1">
      <c r="B100" s="375"/>
      <c r="C100" s="546"/>
      <c r="D100" s="546"/>
      <c r="E100" s="546"/>
      <c r="F100" s="546"/>
      <c r="G100" s="546"/>
      <c r="H100" s="546"/>
      <c r="I100" s="546"/>
      <c r="J100" s="546"/>
      <c r="K100" s="546"/>
      <c r="L100" s="546"/>
      <c r="M100" s="378"/>
    </row>
    <row r="101" spans="2:13" hidden="1">
      <c r="B101" s="375"/>
      <c r="C101" s="546"/>
      <c r="D101" s="546"/>
      <c r="E101" s="546"/>
      <c r="F101" s="546"/>
      <c r="G101" s="546"/>
      <c r="H101" s="546"/>
      <c r="I101" s="546"/>
      <c r="J101" s="546"/>
      <c r="K101" s="546"/>
      <c r="L101" s="546"/>
      <c r="M101" s="378"/>
    </row>
    <row r="102" spans="2:13" hidden="1">
      <c r="B102" s="375"/>
      <c r="C102" s="546"/>
      <c r="D102" s="546"/>
      <c r="E102" s="546"/>
      <c r="F102" s="546"/>
      <c r="G102" s="546"/>
      <c r="H102" s="546"/>
      <c r="I102" s="546"/>
      <c r="J102" s="546"/>
      <c r="K102" s="546"/>
      <c r="L102" s="546"/>
      <c r="M102" s="378"/>
    </row>
    <row r="103" spans="2:13" hidden="1">
      <c r="B103" s="375"/>
      <c r="C103" s="546"/>
      <c r="D103" s="546"/>
      <c r="E103" s="546"/>
      <c r="F103" s="546"/>
      <c r="G103" s="546"/>
      <c r="H103" s="546"/>
      <c r="I103" s="546"/>
      <c r="J103" s="546"/>
      <c r="K103" s="546"/>
      <c r="L103" s="546"/>
      <c r="M103" s="378"/>
    </row>
    <row r="104" spans="2:13" hidden="1">
      <c r="B104" s="375"/>
      <c r="C104" s="546"/>
      <c r="D104" s="546"/>
      <c r="E104" s="546"/>
      <c r="F104" s="546"/>
      <c r="G104" s="546"/>
      <c r="H104" s="546"/>
      <c r="I104" s="546"/>
      <c r="J104" s="546"/>
      <c r="K104" s="546"/>
      <c r="L104" s="546"/>
      <c r="M104" s="378"/>
    </row>
    <row r="105" spans="2:13" hidden="1">
      <c r="B105" s="375"/>
      <c r="C105" s="546"/>
      <c r="D105" s="546"/>
      <c r="E105" s="546"/>
      <c r="F105" s="546"/>
      <c r="G105" s="546"/>
      <c r="H105" s="546"/>
      <c r="I105" s="546"/>
      <c r="J105" s="546"/>
      <c r="K105" s="546"/>
      <c r="L105" s="546"/>
      <c r="M105" s="378"/>
    </row>
    <row r="106" spans="2:13" hidden="1">
      <c r="B106" s="375"/>
      <c r="C106" s="546"/>
      <c r="D106" s="546"/>
      <c r="E106" s="546"/>
      <c r="F106" s="546"/>
      <c r="G106" s="546"/>
      <c r="H106" s="546"/>
      <c r="I106" s="546"/>
      <c r="J106" s="546"/>
      <c r="K106" s="546"/>
      <c r="L106" s="546"/>
      <c r="M106" s="378"/>
    </row>
    <row r="107" spans="2:13" hidden="1">
      <c r="B107" s="375"/>
      <c r="C107" s="546"/>
      <c r="D107" s="546"/>
      <c r="E107" s="546"/>
      <c r="F107" s="546"/>
      <c r="G107" s="546"/>
      <c r="H107" s="546"/>
      <c r="I107" s="546"/>
      <c r="J107" s="546"/>
      <c r="K107" s="546"/>
      <c r="L107" s="546"/>
      <c r="M107" s="378"/>
    </row>
    <row r="108" spans="2:13" hidden="1">
      <c r="B108" s="375"/>
      <c r="C108" s="546"/>
      <c r="D108" s="546"/>
      <c r="E108" s="546"/>
      <c r="F108" s="546"/>
      <c r="G108" s="546"/>
      <c r="H108" s="546"/>
      <c r="I108" s="546"/>
      <c r="J108" s="546"/>
      <c r="K108" s="546"/>
      <c r="L108" s="546"/>
      <c r="M108" s="378"/>
    </row>
    <row r="109" spans="2:13" hidden="1">
      <c r="B109" s="375"/>
      <c r="C109" s="546"/>
      <c r="D109" s="546"/>
      <c r="E109" s="546"/>
      <c r="F109" s="546"/>
      <c r="G109" s="546"/>
      <c r="H109" s="546"/>
      <c r="I109" s="546"/>
      <c r="J109" s="546"/>
      <c r="K109" s="546"/>
      <c r="L109" s="546"/>
      <c r="M109" s="378"/>
    </row>
    <row r="110" spans="2:13" hidden="1">
      <c r="B110" s="375"/>
      <c r="C110" s="546"/>
      <c r="D110" s="546"/>
      <c r="E110" s="546"/>
      <c r="F110" s="546"/>
      <c r="G110" s="546"/>
      <c r="H110" s="546"/>
      <c r="I110" s="546"/>
      <c r="J110" s="546"/>
      <c r="K110" s="546"/>
      <c r="L110" s="546"/>
      <c r="M110" s="378"/>
    </row>
    <row r="111" spans="2:13" hidden="1">
      <c r="B111" s="375"/>
      <c r="C111" s="546"/>
      <c r="D111" s="546"/>
      <c r="E111" s="546"/>
      <c r="F111" s="546"/>
      <c r="G111" s="546"/>
      <c r="H111" s="546"/>
      <c r="I111" s="546"/>
      <c r="J111" s="546"/>
      <c r="K111" s="546"/>
      <c r="L111" s="546"/>
      <c r="M111" s="378"/>
    </row>
    <row r="112" spans="2:13" hidden="1">
      <c r="B112" s="375"/>
      <c r="C112" s="546"/>
      <c r="D112" s="546"/>
      <c r="E112" s="546"/>
      <c r="F112" s="546"/>
      <c r="G112" s="546"/>
      <c r="H112" s="546"/>
      <c r="I112" s="546"/>
      <c r="J112" s="546"/>
      <c r="K112" s="546"/>
      <c r="L112" s="546"/>
      <c r="M112" s="378"/>
    </row>
    <row r="113" spans="2:13" hidden="1">
      <c r="B113" s="375"/>
      <c r="C113" s="546"/>
      <c r="D113" s="546"/>
      <c r="E113" s="546"/>
      <c r="F113" s="546"/>
      <c r="G113" s="546"/>
      <c r="H113" s="546"/>
      <c r="I113" s="546"/>
      <c r="J113" s="546"/>
      <c r="K113" s="546"/>
      <c r="L113" s="546"/>
      <c r="M113" s="378"/>
    </row>
    <row r="114" spans="2:13" hidden="1">
      <c r="B114" s="375"/>
      <c r="C114" s="546"/>
      <c r="D114" s="546"/>
      <c r="E114" s="546"/>
      <c r="F114" s="546"/>
      <c r="G114" s="546"/>
      <c r="H114" s="546"/>
      <c r="I114" s="546"/>
      <c r="J114" s="546"/>
      <c r="K114" s="546"/>
      <c r="L114" s="546"/>
      <c r="M114" s="378"/>
    </row>
    <row r="115" spans="2:13" hidden="1">
      <c r="B115" s="375"/>
      <c r="C115" s="546"/>
      <c r="D115" s="546"/>
      <c r="E115" s="546"/>
      <c r="F115" s="546"/>
      <c r="G115" s="546"/>
      <c r="H115" s="546"/>
      <c r="I115" s="546"/>
      <c r="J115" s="546"/>
      <c r="K115" s="546"/>
      <c r="L115" s="546"/>
      <c r="M115" s="378"/>
    </row>
    <row r="116" spans="2:13" hidden="1">
      <c r="B116" s="375"/>
      <c r="C116" s="546"/>
      <c r="D116" s="546"/>
      <c r="E116" s="546"/>
      <c r="F116" s="546"/>
      <c r="G116" s="546"/>
      <c r="H116" s="546"/>
      <c r="I116" s="546"/>
      <c r="J116" s="546"/>
      <c r="K116" s="546"/>
      <c r="L116" s="546"/>
      <c r="M116" s="378"/>
    </row>
    <row r="117" spans="2:13" hidden="1">
      <c r="B117" s="375"/>
      <c r="C117" s="546"/>
      <c r="D117" s="546"/>
      <c r="E117" s="546"/>
      <c r="F117" s="546"/>
      <c r="G117" s="546"/>
      <c r="H117" s="546"/>
      <c r="I117" s="546"/>
      <c r="J117" s="546"/>
      <c r="K117" s="546"/>
      <c r="L117" s="546"/>
      <c r="M117" s="378"/>
    </row>
    <row r="118" spans="2:13" hidden="1">
      <c r="B118" s="375"/>
      <c r="C118" s="546"/>
      <c r="D118" s="546"/>
      <c r="E118" s="546"/>
      <c r="F118" s="546"/>
      <c r="G118" s="546"/>
      <c r="H118" s="546"/>
      <c r="I118" s="546"/>
      <c r="J118" s="546"/>
      <c r="K118" s="546"/>
      <c r="L118" s="546"/>
      <c r="M118" s="378"/>
    </row>
    <row r="119" spans="2:13" hidden="1">
      <c r="B119" s="375"/>
      <c r="C119" s="546"/>
      <c r="D119" s="546"/>
      <c r="E119" s="546"/>
      <c r="F119" s="546"/>
      <c r="G119" s="546"/>
      <c r="H119" s="546"/>
      <c r="I119" s="546"/>
      <c r="J119" s="546"/>
      <c r="K119" s="546"/>
      <c r="L119" s="546"/>
      <c r="M119" s="378"/>
    </row>
    <row r="120" spans="2:13" hidden="1">
      <c r="B120" s="375"/>
      <c r="C120" s="546"/>
      <c r="D120" s="546"/>
      <c r="E120" s="546"/>
      <c r="F120" s="546"/>
      <c r="G120" s="546"/>
      <c r="H120" s="546"/>
      <c r="I120" s="546"/>
      <c r="J120" s="546"/>
      <c r="K120" s="546"/>
      <c r="L120" s="546"/>
      <c r="M120" s="378"/>
    </row>
    <row r="121" spans="2:13" hidden="1">
      <c r="B121" s="375"/>
      <c r="C121" s="546"/>
      <c r="D121" s="546"/>
      <c r="E121" s="546"/>
      <c r="F121" s="546"/>
      <c r="G121" s="546"/>
      <c r="H121" s="546"/>
      <c r="I121" s="546"/>
      <c r="J121" s="546"/>
      <c r="K121" s="546"/>
      <c r="L121" s="546"/>
      <c r="M121" s="378"/>
    </row>
    <row r="122" spans="2:13" hidden="1">
      <c r="B122" s="375"/>
      <c r="C122" s="546"/>
      <c r="D122" s="546"/>
      <c r="E122" s="546"/>
      <c r="F122" s="546"/>
      <c r="G122" s="546"/>
      <c r="H122" s="546"/>
      <c r="I122" s="546"/>
      <c r="J122" s="546"/>
      <c r="K122" s="546"/>
      <c r="L122" s="546"/>
      <c r="M122" s="378"/>
    </row>
    <row r="123" spans="2:13" hidden="1">
      <c r="B123" s="375"/>
      <c r="C123" s="546"/>
      <c r="D123" s="546"/>
      <c r="E123" s="546"/>
      <c r="F123" s="546"/>
      <c r="G123" s="546"/>
      <c r="H123" s="546"/>
      <c r="I123" s="546"/>
      <c r="J123" s="546"/>
      <c r="K123" s="546"/>
      <c r="L123" s="546"/>
      <c r="M123" s="378"/>
    </row>
    <row r="124" spans="2:13" hidden="1">
      <c r="B124" s="375"/>
      <c r="C124" s="546"/>
      <c r="D124" s="546"/>
      <c r="E124" s="546"/>
      <c r="F124" s="546"/>
      <c r="G124" s="546"/>
      <c r="H124" s="546"/>
      <c r="I124" s="546"/>
      <c r="J124" s="546"/>
      <c r="K124" s="546"/>
      <c r="L124" s="546"/>
      <c r="M124" s="378"/>
    </row>
    <row r="125" spans="2:13" hidden="1">
      <c r="B125" s="375"/>
      <c r="C125" s="546"/>
      <c r="D125" s="546"/>
      <c r="E125" s="546"/>
      <c r="F125" s="546"/>
      <c r="G125" s="546"/>
      <c r="H125" s="546"/>
      <c r="I125" s="546"/>
      <c r="J125" s="546"/>
      <c r="K125" s="546"/>
      <c r="L125" s="546"/>
      <c r="M125" s="378"/>
    </row>
    <row r="126" spans="2:13" hidden="1">
      <c r="B126" s="375"/>
      <c r="C126" s="546"/>
      <c r="D126" s="546"/>
      <c r="E126" s="546"/>
      <c r="F126" s="546"/>
      <c r="G126" s="546"/>
      <c r="H126" s="546"/>
      <c r="I126" s="546"/>
      <c r="J126" s="546"/>
      <c r="K126" s="546"/>
      <c r="L126" s="546"/>
      <c r="M126" s="378"/>
    </row>
    <row r="127" spans="2:13" hidden="1">
      <c r="B127" s="375"/>
      <c r="C127" s="546"/>
      <c r="D127" s="546"/>
      <c r="E127" s="546"/>
      <c r="F127" s="546"/>
      <c r="G127" s="546"/>
      <c r="H127" s="546"/>
      <c r="I127" s="546"/>
      <c r="J127" s="546"/>
      <c r="K127" s="546"/>
      <c r="L127" s="546"/>
      <c r="M127" s="378"/>
    </row>
    <row r="128" spans="2:13" hidden="1">
      <c r="B128" s="375"/>
      <c r="C128" s="546"/>
      <c r="D128" s="546"/>
      <c r="E128" s="546"/>
      <c r="F128" s="546"/>
      <c r="G128" s="546"/>
      <c r="H128" s="546"/>
      <c r="I128" s="546"/>
      <c r="J128" s="546"/>
      <c r="K128" s="546"/>
      <c r="L128" s="546"/>
      <c r="M128" s="378"/>
    </row>
    <row r="129" spans="2:13" hidden="1">
      <c r="B129" s="375"/>
      <c r="C129" s="546"/>
      <c r="D129" s="546"/>
      <c r="E129" s="546"/>
      <c r="F129" s="546"/>
      <c r="G129" s="546"/>
      <c r="H129" s="546"/>
      <c r="I129" s="546"/>
      <c r="J129" s="546"/>
      <c r="K129" s="546"/>
      <c r="L129" s="546"/>
      <c r="M129" s="378"/>
    </row>
    <row r="130" spans="2:13" hidden="1">
      <c r="B130" s="375"/>
      <c r="C130" s="546"/>
      <c r="D130" s="546"/>
      <c r="E130" s="546"/>
      <c r="F130" s="546"/>
      <c r="G130" s="546"/>
      <c r="H130" s="546"/>
      <c r="I130" s="546"/>
      <c r="J130" s="546"/>
      <c r="K130" s="546"/>
      <c r="L130" s="546"/>
      <c r="M130" s="378"/>
    </row>
    <row r="131" spans="2:13" hidden="1">
      <c r="B131" s="375"/>
      <c r="C131" s="546"/>
      <c r="D131" s="546"/>
      <c r="E131" s="546"/>
      <c r="F131" s="546"/>
      <c r="G131" s="546"/>
      <c r="H131" s="546"/>
      <c r="I131" s="546"/>
      <c r="J131" s="546"/>
      <c r="K131" s="546"/>
      <c r="L131" s="546"/>
      <c r="M131" s="378"/>
    </row>
    <row r="132" spans="2:13" hidden="1">
      <c r="B132" s="375"/>
      <c r="C132" s="546"/>
      <c r="D132" s="546"/>
      <c r="E132" s="546"/>
      <c r="F132" s="546"/>
      <c r="G132" s="546"/>
      <c r="H132" s="546"/>
      <c r="I132" s="546"/>
      <c r="J132" s="546"/>
      <c r="K132" s="546"/>
      <c r="L132" s="546"/>
      <c r="M132" s="378"/>
    </row>
    <row r="133" spans="2:13" hidden="1">
      <c r="B133" s="375"/>
      <c r="C133" s="546"/>
      <c r="D133" s="546"/>
      <c r="E133" s="546"/>
      <c r="F133" s="546"/>
      <c r="G133" s="546"/>
      <c r="H133" s="546"/>
      <c r="I133" s="546"/>
      <c r="J133" s="546"/>
      <c r="K133" s="546"/>
      <c r="L133" s="546"/>
      <c r="M133" s="378"/>
    </row>
    <row r="134" spans="2:13" hidden="1">
      <c r="B134" s="375"/>
      <c r="C134" s="546"/>
      <c r="D134" s="546"/>
      <c r="E134" s="546"/>
      <c r="F134" s="546"/>
      <c r="G134" s="546"/>
      <c r="H134" s="546"/>
      <c r="I134" s="546"/>
      <c r="J134" s="546"/>
      <c r="K134" s="546"/>
      <c r="L134" s="546"/>
      <c r="M134" s="378"/>
    </row>
    <row r="135" spans="2:13" hidden="1">
      <c r="B135" s="375"/>
      <c r="C135" s="546"/>
      <c r="D135" s="546"/>
      <c r="E135" s="546"/>
      <c r="F135" s="546"/>
      <c r="G135" s="546"/>
      <c r="H135" s="546"/>
      <c r="I135" s="546"/>
      <c r="J135" s="546"/>
      <c r="K135" s="546"/>
      <c r="L135" s="546"/>
      <c r="M135" s="378"/>
    </row>
    <row r="136" spans="2:13" hidden="1">
      <c r="B136" s="375"/>
      <c r="C136" s="546"/>
      <c r="D136" s="546"/>
      <c r="E136" s="546"/>
      <c r="F136" s="546"/>
      <c r="G136" s="546"/>
      <c r="H136" s="546"/>
      <c r="I136" s="546"/>
      <c r="J136" s="546"/>
      <c r="K136" s="546"/>
      <c r="L136" s="546"/>
      <c r="M136" s="378"/>
    </row>
    <row r="137" spans="2:13" hidden="1">
      <c r="B137" s="375"/>
      <c r="C137" s="546"/>
      <c r="D137" s="546"/>
      <c r="E137" s="546"/>
      <c r="F137" s="546"/>
      <c r="G137" s="546"/>
      <c r="H137" s="546"/>
      <c r="I137" s="546"/>
      <c r="J137" s="546"/>
      <c r="K137" s="546"/>
      <c r="L137" s="546"/>
      <c r="M137" s="378"/>
    </row>
    <row r="138" spans="2:13" hidden="1">
      <c r="B138" s="375"/>
      <c r="C138" s="546"/>
      <c r="D138" s="546"/>
      <c r="E138" s="546"/>
      <c r="F138" s="546"/>
      <c r="G138" s="546"/>
      <c r="H138" s="546"/>
      <c r="I138" s="546"/>
      <c r="J138" s="546"/>
      <c r="K138" s="546"/>
      <c r="L138" s="546"/>
      <c r="M138" s="378"/>
    </row>
    <row r="139" spans="2:13" hidden="1">
      <c r="B139" s="375"/>
      <c r="C139" s="546"/>
      <c r="D139" s="546"/>
      <c r="E139" s="546"/>
      <c r="F139" s="546"/>
      <c r="G139" s="546"/>
      <c r="H139" s="546"/>
      <c r="I139" s="546"/>
      <c r="J139" s="546"/>
      <c r="K139" s="546"/>
      <c r="L139" s="546"/>
      <c r="M139" s="378"/>
    </row>
    <row r="140" spans="2:13" hidden="1">
      <c r="B140" s="375"/>
      <c r="C140" s="546"/>
      <c r="D140" s="546"/>
      <c r="E140" s="546"/>
      <c r="F140" s="546"/>
      <c r="G140" s="546"/>
      <c r="H140" s="546"/>
      <c r="I140" s="546"/>
      <c r="J140" s="546"/>
      <c r="K140" s="546"/>
      <c r="L140" s="546"/>
      <c r="M140" s="378"/>
    </row>
    <row r="141" spans="2:13" hidden="1">
      <c r="B141" s="375"/>
      <c r="C141" s="546"/>
      <c r="D141" s="546"/>
      <c r="E141" s="546"/>
      <c r="F141" s="546"/>
      <c r="G141" s="546"/>
      <c r="H141" s="546"/>
      <c r="I141" s="546"/>
      <c r="J141" s="546"/>
      <c r="K141" s="546"/>
      <c r="L141" s="546"/>
      <c r="M141" s="378"/>
    </row>
    <row r="142" spans="2:13" hidden="1">
      <c r="B142" s="375"/>
      <c r="C142" s="546"/>
      <c r="D142" s="546"/>
      <c r="E142" s="546"/>
      <c r="F142" s="546"/>
      <c r="G142" s="546"/>
      <c r="H142" s="546"/>
      <c r="I142" s="546"/>
      <c r="J142" s="546"/>
      <c r="K142" s="546"/>
      <c r="L142" s="546"/>
      <c r="M142" s="378"/>
    </row>
    <row r="143" spans="2:13" hidden="1">
      <c r="B143" s="375"/>
      <c r="C143" s="546"/>
      <c r="D143" s="546"/>
      <c r="E143" s="546"/>
      <c r="F143" s="546"/>
      <c r="G143" s="546"/>
      <c r="H143" s="546"/>
      <c r="I143" s="546"/>
      <c r="J143" s="546"/>
      <c r="K143" s="546"/>
      <c r="L143" s="546"/>
      <c r="M143" s="378"/>
    </row>
    <row r="144" spans="2:13" hidden="1">
      <c r="B144" s="375"/>
      <c r="C144" s="546"/>
      <c r="D144" s="546"/>
      <c r="E144" s="546"/>
      <c r="F144" s="546"/>
      <c r="G144" s="546"/>
      <c r="H144" s="546"/>
      <c r="I144" s="546"/>
      <c r="J144" s="546"/>
      <c r="K144" s="546"/>
      <c r="L144" s="546"/>
      <c r="M144" s="378"/>
    </row>
    <row r="145" spans="2:13" hidden="1">
      <c r="B145" s="375"/>
      <c r="C145" s="546"/>
      <c r="D145" s="546"/>
      <c r="E145" s="546"/>
      <c r="F145" s="546"/>
      <c r="G145" s="546"/>
      <c r="H145" s="546"/>
      <c r="I145" s="546"/>
      <c r="J145" s="546"/>
      <c r="K145" s="546"/>
      <c r="L145" s="546"/>
      <c r="M145" s="378"/>
    </row>
    <row r="146" spans="2:13" hidden="1">
      <c r="B146" s="375"/>
      <c r="C146" s="546"/>
      <c r="D146" s="546"/>
      <c r="E146" s="546"/>
      <c r="F146" s="546"/>
      <c r="G146" s="546"/>
      <c r="H146" s="546"/>
      <c r="I146" s="546"/>
      <c r="J146" s="546"/>
      <c r="K146" s="546"/>
      <c r="L146" s="546"/>
      <c r="M146" s="378"/>
    </row>
    <row r="147" spans="2:13" hidden="1">
      <c r="B147" s="375"/>
      <c r="C147" s="546"/>
      <c r="D147" s="546"/>
      <c r="E147" s="546"/>
      <c r="F147" s="546"/>
      <c r="G147" s="546"/>
      <c r="H147" s="546"/>
      <c r="I147" s="546"/>
      <c r="J147" s="546"/>
      <c r="K147" s="546"/>
      <c r="L147" s="546"/>
      <c r="M147" s="378"/>
    </row>
    <row r="148" spans="2:13" hidden="1">
      <c r="B148" s="375"/>
      <c r="C148" s="546"/>
      <c r="D148" s="546"/>
      <c r="E148" s="546"/>
      <c r="F148" s="546"/>
      <c r="G148" s="546"/>
      <c r="H148" s="546"/>
      <c r="I148" s="546"/>
      <c r="J148" s="546"/>
      <c r="K148" s="546"/>
      <c r="L148" s="546"/>
      <c r="M148" s="378"/>
    </row>
    <row r="149" spans="2:13" hidden="1">
      <c r="B149" s="375"/>
      <c r="C149" s="546"/>
      <c r="D149" s="546"/>
      <c r="E149" s="546"/>
      <c r="F149" s="546"/>
      <c r="G149" s="546"/>
      <c r="H149" s="546"/>
      <c r="I149" s="546"/>
      <c r="J149" s="546"/>
      <c r="K149" s="546"/>
      <c r="L149" s="546"/>
      <c r="M149" s="378"/>
    </row>
    <row r="150" spans="2:13" hidden="1">
      <c r="B150" s="375"/>
      <c r="C150" s="546"/>
      <c r="D150" s="546"/>
      <c r="E150" s="546"/>
      <c r="F150" s="546"/>
      <c r="G150" s="546"/>
      <c r="H150" s="546"/>
      <c r="I150" s="546"/>
      <c r="J150" s="546"/>
      <c r="K150" s="546"/>
      <c r="L150" s="546"/>
      <c r="M150" s="378"/>
    </row>
    <row r="151" spans="2:13" hidden="1">
      <c r="B151" s="375"/>
      <c r="C151" s="546"/>
      <c r="D151" s="546"/>
      <c r="E151" s="546"/>
      <c r="F151" s="546"/>
      <c r="G151" s="546"/>
      <c r="H151" s="546"/>
      <c r="I151" s="546"/>
      <c r="J151" s="546"/>
      <c r="K151" s="546"/>
      <c r="L151" s="546"/>
      <c r="M151" s="378"/>
    </row>
    <row r="152" spans="2:13" hidden="1">
      <c r="B152" s="375"/>
      <c r="C152" s="546"/>
      <c r="D152" s="546"/>
      <c r="E152" s="546"/>
      <c r="F152" s="546"/>
      <c r="G152" s="546"/>
      <c r="H152" s="546"/>
      <c r="I152" s="546"/>
      <c r="J152" s="546"/>
      <c r="K152" s="546"/>
      <c r="L152" s="546"/>
      <c r="M152" s="378"/>
    </row>
    <row r="153" spans="2:13" hidden="1">
      <c r="B153" s="375"/>
      <c r="C153" s="546"/>
      <c r="D153" s="546"/>
      <c r="E153" s="546"/>
      <c r="F153" s="546"/>
      <c r="G153" s="546"/>
      <c r="H153" s="546"/>
      <c r="I153" s="546"/>
      <c r="J153" s="546"/>
      <c r="K153" s="546"/>
      <c r="L153" s="546"/>
      <c r="M153" s="378"/>
    </row>
    <row r="154" spans="2:13" hidden="1">
      <c r="B154" s="375"/>
      <c r="C154" s="546"/>
      <c r="D154" s="546"/>
      <c r="E154" s="546"/>
      <c r="F154" s="546"/>
      <c r="G154" s="546"/>
      <c r="H154" s="546"/>
      <c r="I154" s="546"/>
      <c r="J154" s="546"/>
      <c r="K154" s="546"/>
      <c r="L154" s="546"/>
      <c r="M154" s="378"/>
    </row>
    <row r="155" spans="2:13" hidden="1">
      <c r="B155" s="375"/>
      <c r="C155" s="546"/>
      <c r="D155" s="546"/>
      <c r="E155" s="546"/>
      <c r="F155" s="546"/>
      <c r="G155" s="546"/>
      <c r="H155" s="546"/>
      <c r="I155" s="546"/>
      <c r="J155" s="546"/>
      <c r="K155" s="546"/>
      <c r="L155" s="546"/>
      <c r="M155" s="378"/>
    </row>
    <row r="156" spans="2:13" hidden="1">
      <c r="B156" s="375"/>
      <c r="C156" s="546"/>
      <c r="D156" s="546"/>
      <c r="E156" s="546"/>
      <c r="F156" s="546"/>
      <c r="G156" s="546"/>
      <c r="H156" s="546"/>
      <c r="I156" s="546"/>
      <c r="J156" s="546"/>
      <c r="K156" s="546"/>
      <c r="L156" s="546"/>
      <c r="M156" s="378"/>
    </row>
    <row r="157" spans="2:13" hidden="1">
      <c r="B157" s="375"/>
      <c r="C157" s="546"/>
      <c r="D157" s="546"/>
      <c r="E157" s="546"/>
      <c r="F157" s="546"/>
      <c r="G157" s="546"/>
      <c r="H157" s="546"/>
      <c r="I157" s="546"/>
      <c r="J157" s="546"/>
      <c r="K157" s="546"/>
      <c r="L157" s="546"/>
      <c r="M157" s="378"/>
    </row>
    <row r="158" spans="2:13" hidden="1">
      <c r="B158" s="375"/>
      <c r="C158" s="546"/>
      <c r="D158" s="546"/>
      <c r="E158" s="546"/>
      <c r="F158" s="546"/>
      <c r="G158" s="546"/>
      <c r="H158" s="546"/>
      <c r="I158" s="546"/>
      <c r="J158" s="546"/>
      <c r="K158" s="546"/>
      <c r="L158" s="546"/>
      <c r="M158" s="378"/>
    </row>
    <row r="159" spans="2:13" hidden="1">
      <c r="B159" s="375"/>
      <c r="C159" s="546"/>
      <c r="D159" s="546"/>
      <c r="E159" s="546"/>
      <c r="F159" s="546"/>
      <c r="G159" s="546"/>
      <c r="H159" s="546"/>
      <c r="I159" s="546"/>
      <c r="J159" s="546"/>
      <c r="K159" s="546"/>
      <c r="L159" s="546"/>
      <c r="M159" s="378"/>
    </row>
    <row r="160" spans="2:13" hidden="1">
      <c r="B160" s="375"/>
      <c r="C160" s="546"/>
      <c r="D160" s="546"/>
      <c r="E160" s="546"/>
      <c r="F160" s="546"/>
      <c r="G160" s="546"/>
      <c r="H160" s="546"/>
      <c r="I160" s="546"/>
      <c r="J160" s="546"/>
      <c r="K160" s="546"/>
      <c r="L160" s="546"/>
      <c r="M160" s="378"/>
    </row>
    <row r="161" spans="2:13" hidden="1">
      <c r="B161" s="375"/>
      <c r="C161" s="546"/>
      <c r="D161" s="546"/>
      <c r="E161" s="546"/>
      <c r="F161" s="546"/>
      <c r="G161" s="546"/>
      <c r="H161" s="546"/>
      <c r="I161" s="546"/>
      <c r="J161" s="546"/>
      <c r="K161" s="546"/>
      <c r="L161" s="546"/>
      <c r="M161" s="378"/>
    </row>
    <row r="162" spans="2:13" hidden="1">
      <c r="B162" s="375"/>
      <c r="C162" s="546"/>
      <c r="D162" s="546"/>
      <c r="E162" s="546"/>
      <c r="F162" s="546"/>
      <c r="G162" s="546"/>
      <c r="H162" s="546"/>
      <c r="I162" s="546"/>
      <c r="J162" s="546"/>
      <c r="K162" s="546"/>
      <c r="L162" s="546"/>
      <c r="M162" s="378"/>
    </row>
    <row r="163" spans="2:13" hidden="1">
      <c r="B163" s="375"/>
      <c r="C163" s="546"/>
      <c r="D163" s="546"/>
      <c r="E163" s="546"/>
      <c r="F163" s="546"/>
      <c r="G163" s="546"/>
      <c r="H163" s="546"/>
      <c r="I163" s="546"/>
      <c r="J163" s="546"/>
      <c r="K163" s="546"/>
      <c r="L163" s="546"/>
      <c r="M163" s="378"/>
    </row>
    <row r="164" spans="2:13" hidden="1">
      <c r="B164" s="375"/>
      <c r="C164" s="546"/>
      <c r="D164" s="546"/>
      <c r="E164" s="546"/>
      <c r="F164" s="546"/>
      <c r="G164" s="546"/>
      <c r="H164" s="546"/>
      <c r="I164" s="546"/>
      <c r="J164" s="546"/>
      <c r="K164" s="546"/>
      <c r="L164" s="546"/>
      <c r="M164" s="378"/>
    </row>
    <row r="165" spans="2:13" hidden="1">
      <c r="B165" s="375"/>
      <c r="C165" s="546"/>
      <c r="D165" s="546"/>
      <c r="E165" s="546"/>
      <c r="F165" s="546"/>
      <c r="G165" s="546"/>
      <c r="H165" s="546"/>
      <c r="I165" s="546"/>
      <c r="J165" s="546"/>
      <c r="K165" s="546"/>
      <c r="L165" s="546"/>
      <c r="M165" s="378"/>
    </row>
    <row r="166" spans="2:13" hidden="1">
      <c r="B166" s="375"/>
      <c r="C166" s="546"/>
      <c r="D166" s="546"/>
      <c r="E166" s="546"/>
      <c r="F166" s="546"/>
      <c r="G166" s="546"/>
      <c r="H166" s="546"/>
      <c r="I166" s="546"/>
      <c r="J166" s="546"/>
      <c r="K166" s="546"/>
      <c r="L166" s="546"/>
      <c r="M166" s="378"/>
    </row>
    <row r="167" spans="2:13" hidden="1">
      <c r="B167" s="375"/>
      <c r="C167" s="546"/>
      <c r="D167" s="546"/>
      <c r="E167" s="546"/>
      <c r="F167" s="546"/>
      <c r="G167" s="546"/>
      <c r="H167" s="546"/>
      <c r="I167" s="546"/>
      <c r="J167" s="546"/>
      <c r="K167" s="546"/>
      <c r="L167" s="546"/>
      <c r="M167" s="378"/>
    </row>
    <row r="168" spans="2:13" hidden="1">
      <c r="B168" s="375"/>
      <c r="C168" s="546"/>
      <c r="D168" s="546"/>
      <c r="E168" s="546"/>
      <c r="F168" s="546"/>
      <c r="G168" s="546"/>
      <c r="H168" s="546"/>
      <c r="I168" s="546"/>
      <c r="J168" s="546"/>
      <c r="K168" s="546"/>
      <c r="L168" s="546"/>
      <c r="M168" s="378"/>
    </row>
    <row r="169" spans="2:13" hidden="1">
      <c r="B169" s="375"/>
      <c r="C169" s="546"/>
      <c r="D169" s="546"/>
      <c r="E169" s="546"/>
      <c r="F169" s="546"/>
      <c r="G169" s="546"/>
      <c r="H169" s="546"/>
      <c r="I169" s="546"/>
      <c r="J169" s="546"/>
      <c r="K169" s="546"/>
      <c r="L169" s="546"/>
      <c r="M169" s="378"/>
    </row>
    <row r="170" spans="2:13" hidden="1">
      <c r="B170" s="375"/>
      <c r="C170" s="546"/>
      <c r="D170" s="546"/>
      <c r="E170" s="546"/>
      <c r="F170" s="546"/>
      <c r="G170" s="546"/>
      <c r="H170" s="546"/>
      <c r="I170" s="546"/>
      <c r="J170" s="546"/>
      <c r="K170" s="546"/>
      <c r="L170" s="546"/>
      <c r="M170" s="378"/>
    </row>
    <row r="171" spans="2:13" hidden="1">
      <c r="B171" s="375"/>
      <c r="C171" s="546"/>
      <c r="D171" s="546"/>
      <c r="E171" s="546"/>
      <c r="F171" s="546"/>
      <c r="G171" s="546"/>
      <c r="H171" s="546"/>
      <c r="I171" s="546"/>
      <c r="J171" s="546"/>
      <c r="K171" s="546"/>
      <c r="L171" s="546"/>
      <c r="M171" s="378"/>
    </row>
    <row r="172" spans="2:13" hidden="1">
      <c r="B172" s="375"/>
      <c r="C172" s="546"/>
      <c r="D172" s="546"/>
      <c r="E172" s="546"/>
      <c r="F172" s="546"/>
      <c r="G172" s="546"/>
      <c r="H172" s="546"/>
      <c r="I172" s="546"/>
      <c r="J172" s="546"/>
      <c r="K172" s="546"/>
      <c r="L172" s="546"/>
      <c r="M172" s="378"/>
    </row>
    <row r="173" spans="2:13" hidden="1">
      <c r="B173" s="375"/>
      <c r="C173" s="546"/>
      <c r="D173" s="546"/>
      <c r="E173" s="546"/>
      <c r="F173" s="546"/>
      <c r="G173" s="546"/>
      <c r="H173" s="546"/>
      <c r="I173" s="546"/>
      <c r="J173" s="546"/>
      <c r="K173" s="546"/>
      <c r="L173" s="546"/>
      <c r="M173" s="378"/>
    </row>
    <row r="174" spans="2:13" hidden="1">
      <c r="B174" s="375"/>
      <c r="C174" s="546"/>
      <c r="D174" s="546"/>
      <c r="E174" s="546"/>
      <c r="F174" s="546"/>
      <c r="G174" s="546"/>
      <c r="H174" s="546"/>
      <c r="I174" s="546"/>
      <c r="J174" s="546"/>
      <c r="K174" s="546"/>
      <c r="L174" s="546"/>
      <c r="M174" s="378"/>
    </row>
    <row r="175" spans="2:13" hidden="1">
      <c r="B175" s="375"/>
      <c r="C175" s="546"/>
      <c r="D175" s="546"/>
      <c r="E175" s="546"/>
      <c r="F175" s="546"/>
      <c r="G175" s="546"/>
      <c r="H175" s="546"/>
      <c r="I175" s="546"/>
      <c r="J175" s="546"/>
      <c r="K175" s="546"/>
      <c r="L175" s="546"/>
      <c r="M175" s="378"/>
    </row>
    <row r="176" spans="2:13" hidden="1">
      <c r="B176" s="375"/>
      <c r="C176" s="546"/>
      <c r="D176" s="546"/>
      <c r="E176" s="546"/>
      <c r="F176" s="546"/>
      <c r="G176" s="546"/>
      <c r="H176" s="546"/>
      <c r="I176" s="546"/>
      <c r="J176" s="546"/>
      <c r="K176" s="546"/>
      <c r="L176" s="546"/>
      <c r="M176" s="378"/>
    </row>
    <row r="177" spans="2:13" hidden="1">
      <c r="B177" s="375"/>
      <c r="C177" s="546"/>
      <c r="D177" s="546"/>
      <c r="E177" s="546"/>
      <c r="F177" s="546"/>
      <c r="G177" s="546"/>
      <c r="H177" s="546"/>
      <c r="I177" s="546"/>
      <c r="J177" s="546"/>
      <c r="K177" s="546"/>
      <c r="L177" s="546"/>
      <c r="M177" s="378"/>
    </row>
    <row r="178" spans="2:13" hidden="1">
      <c r="B178" s="375"/>
      <c r="C178" s="546"/>
      <c r="D178" s="546"/>
      <c r="E178" s="546"/>
      <c r="F178" s="546"/>
      <c r="G178" s="546"/>
      <c r="H178" s="546"/>
      <c r="I178" s="546"/>
      <c r="J178" s="546"/>
      <c r="K178" s="546"/>
      <c r="L178" s="546"/>
      <c r="M178" s="378"/>
    </row>
    <row r="179" spans="2:13" hidden="1">
      <c r="B179" s="375"/>
      <c r="C179" s="546"/>
      <c r="D179" s="546"/>
      <c r="E179" s="546"/>
      <c r="F179" s="546"/>
      <c r="G179" s="546"/>
      <c r="H179" s="546"/>
      <c r="I179" s="546"/>
      <c r="J179" s="546"/>
      <c r="K179" s="546"/>
      <c r="L179" s="546"/>
      <c r="M179" s="378"/>
    </row>
    <row r="180" spans="2:13" hidden="1">
      <c r="B180" s="375"/>
      <c r="C180" s="546"/>
      <c r="D180" s="546"/>
      <c r="E180" s="546"/>
      <c r="F180" s="546"/>
      <c r="G180" s="546"/>
      <c r="H180" s="546"/>
      <c r="I180" s="546"/>
      <c r="J180" s="546"/>
      <c r="K180" s="546"/>
      <c r="L180" s="546"/>
      <c r="M180" s="378"/>
    </row>
    <row r="181" spans="2:13" hidden="1">
      <c r="B181" s="375"/>
      <c r="C181" s="546"/>
      <c r="D181" s="546"/>
      <c r="E181" s="546"/>
      <c r="F181" s="546"/>
      <c r="G181" s="546"/>
      <c r="H181" s="546"/>
      <c r="I181" s="546"/>
      <c r="J181" s="546"/>
      <c r="K181" s="546"/>
      <c r="L181" s="546"/>
      <c r="M181" s="378"/>
    </row>
    <row r="182" spans="2:13" hidden="1">
      <c r="B182" s="375"/>
      <c r="C182" s="546"/>
      <c r="D182" s="546"/>
      <c r="E182" s="546"/>
      <c r="F182" s="546"/>
      <c r="G182" s="546"/>
      <c r="H182" s="546"/>
      <c r="I182" s="546"/>
      <c r="J182" s="546"/>
      <c r="K182" s="546"/>
      <c r="L182" s="546"/>
      <c r="M182" s="378"/>
    </row>
    <row r="183" spans="2:13" hidden="1">
      <c r="B183" s="375"/>
      <c r="C183" s="546"/>
      <c r="D183" s="546"/>
      <c r="E183" s="546"/>
      <c r="F183" s="546"/>
      <c r="G183" s="546"/>
      <c r="H183" s="546"/>
      <c r="I183" s="546"/>
      <c r="J183" s="546"/>
      <c r="K183" s="546"/>
      <c r="L183" s="546"/>
      <c r="M183" s="378"/>
    </row>
    <row r="184" spans="2:13" hidden="1">
      <c r="B184" s="375"/>
      <c r="C184" s="546"/>
      <c r="D184" s="546"/>
      <c r="E184" s="546"/>
      <c r="F184" s="546"/>
      <c r="G184" s="546"/>
      <c r="H184" s="546"/>
      <c r="I184" s="546"/>
      <c r="J184" s="546"/>
      <c r="K184" s="546"/>
      <c r="L184" s="546"/>
      <c r="M184" s="378"/>
    </row>
    <row r="185" spans="2:13" hidden="1">
      <c r="B185" s="375"/>
      <c r="C185" s="546"/>
      <c r="D185" s="546"/>
      <c r="E185" s="546"/>
      <c r="F185" s="546"/>
      <c r="G185" s="546"/>
      <c r="H185" s="546"/>
      <c r="I185" s="546"/>
      <c r="J185" s="546"/>
      <c r="K185" s="546"/>
      <c r="L185" s="546"/>
      <c r="M185" s="378"/>
    </row>
    <row r="186" spans="2:13" hidden="1">
      <c r="B186" s="375"/>
      <c r="C186" s="546"/>
      <c r="D186" s="546"/>
      <c r="E186" s="546"/>
      <c r="F186" s="546"/>
      <c r="G186" s="546"/>
      <c r="H186" s="546"/>
      <c r="I186" s="546"/>
      <c r="J186" s="546"/>
      <c r="K186" s="546"/>
      <c r="L186" s="546"/>
      <c r="M186" s="378"/>
    </row>
    <row r="187" spans="2:13" hidden="1">
      <c r="B187" s="375"/>
      <c r="C187" s="546"/>
      <c r="D187" s="546"/>
      <c r="E187" s="546"/>
      <c r="F187" s="546"/>
      <c r="G187" s="546"/>
      <c r="H187" s="546"/>
      <c r="I187" s="546"/>
      <c r="J187" s="546"/>
      <c r="K187" s="546"/>
      <c r="L187" s="546"/>
      <c r="M187" s="378"/>
    </row>
    <row r="188" spans="2:13" hidden="1">
      <c r="B188" s="375"/>
      <c r="C188" s="546"/>
      <c r="D188" s="546"/>
      <c r="E188" s="546"/>
      <c r="F188" s="546"/>
      <c r="G188" s="546"/>
      <c r="H188" s="546"/>
      <c r="I188" s="546"/>
      <c r="J188" s="546"/>
      <c r="K188" s="546"/>
      <c r="L188" s="546"/>
      <c r="M188" s="378"/>
    </row>
    <row r="189" spans="2:13" hidden="1">
      <c r="B189" s="375"/>
      <c r="C189" s="546"/>
      <c r="D189" s="546"/>
      <c r="E189" s="546"/>
      <c r="F189" s="546"/>
      <c r="G189" s="546"/>
      <c r="H189" s="546"/>
      <c r="I189" s="546"/>
      <c r="J189" s="546"/>
      <c r="K189" s="546"/>
      <c r="L189" s="546"/>
      <c r="M189" s="378"/>
    </row>
    <row r="190" spans="2:13" hidden="1">
      <c r="B190" s="375"/>
      <c r="C190" s="546"/>
      <c r="D190" s="546"/>
      <c r="E190" s="546"/>
      <c r="F190" s="546"/>
      <c r="G190" s="546"/>
      <c r="H190" s="546"/>
      <c r="I190" s="546"/>
      <c r="J190" s="546"/>
      <c r="K190" s="546"/>
      <c r="L190" s="546"/>
      <c r="M190" s="378"/>
    </row>
    <row r="191" spans="2:13" hidden="1">
      <c r="B191" s="375"/>
      <c r="C191" s="546"/>
      <c r="D191" s="546"/>
      <c r="E191" s="546"/>
      <c r="F191" s="546"/>
      <c r="G191" s="546"/>
      <c r="H191" s="546"/>
      <c r="I191" s="546"/>
      <c r="J191" s="546"/>
      <c r="K191" s="546"/>
      <c r="L191" s="546"/>
      <c r="M191" s="378"/>
    </row>
    <row r="192" spans="2:13" hidden="1">
      <c r="B192" s="375"/>
      <c r="C192" s="546"/>
      <c r="D192" s="546"/>
      <c r="E192" s="546"/>
      <c r="F192" s="546"/>
      <c r="G192" s="546"/>
      <c r="H192" s="546"/>
      <c r="I192" s="546"/>
      <c r="J192" s="546"/>
      <c r="K192" s="546"/>
      <c r="L192" s="546"/>
      <c r="M192" s="378"/>
    </row>
    <row r="193" spans="2:13" hidden="1">
      <c r="B193" s="375"/>
      <c r="C193" s="546"/>
      <c r="D193" s="546"/>
      <c r="E193" s="546"/>
      <c r="F193" s="546"/>
      <c r="G193" s="546"/>
      <c r="H193" s="546"/>
      <c r="I193" s="546"/>
      <c r="J193" s="546"/>
      <c r="K193" s="546"/>
      <c r="L193" s="546"/>
      <c r="M193" s="378"/>
    </row>
    <row r="194" spans="2:13" hidden="1">
      <c r="B194" s="375"/>
      <c r="C194" s="546"/>
      <c r="D194" s="546"/>
      <c r="E194" s="546"/>
      <c r="F194" s="546"/>
      <c r="G194" s="546"/>
      <c r="H194" s="546"/>
      <c r="I194" s="546"/>
      <c r="J194" s="546"/>
      <c r="K194" s="546"/>
      <c r="L194" s="546"/>
      <c r="M194" s="378"/>
    </row>
    <row r="195" spans="2:13" hidden="1">
      <c r="B195" s="375"/>
      <c r="C195" s="546"/>
      <c r="D195" s="546"/>
      <c r="E195" s="546"/>
      <c r="F195" s="546"/>
      <c r="G195" s="546"/>
      <c r="H195" s="546"/>
      <c r="I195" s="546"/>
      <c r="J195" s="546"/>
      <c r="K195" s="546"/>
      <c r="L195" s="546"/>
      <c r="M195" s="378"/>
    </row>
    <row r="196" spans="2:13" hidden="1">
      <c r="B196" s="375"/>
      <c r="C196" s="546"/>
      <c r="D196" s="546"/>
      <c r="E196" s="546"/>
      <c r="F196" s="546"/>
      <c r="G196" s="546"/>
      <c r="H196" s="546"/>
      <c r="I196" s="546"/>
      <c r="J196" s="546"/>
      <c r="K196" s="546"/>
      <c r="L196" s="546"/>
      <c r="M196" s="378"/>
    </row>
    <row r="197" spans="2:13" hidden="1">
      <c r="B197" s="375"/>
      <c r="C197" s="546"/>
      <c r="D197" s="546"/>
      <c r="E197" s="546"/>
      <c r="F197" s="546"/>
      <c r="G197" s="546"/>
      <c r="H197" s="546"/>
      <c r="I197" s="546"/>
      <c r="J197" s="546"/>
      <c r="K197" s="546"/>
      <c r="L197" s="546"/>
      <c r="M197" s="378"/>
    </row>
    <row r="198" spans="2:13" hidden="1">
      <c r="B198" s="375"/>
      <c r="C198" s="546"/>
      <c r="D198" s="546"/>
      <c r="E198" s="546"/>
      <c r="F198" s="546"/>
      <c r="G198" s="546"/>
      <c r="H198" s="546"/>
      <c r="I198" s="546"/>
      <c r="J198" s="546"/>
      <c r="K198" s="546"/>
      <c r="L198" s="546"/>
      <c r="M198" s="378"/>
    </row>
    <row r="199" spans="2:13" hidden="1">
      <c r="B199" s="375"/>
      <c r="C199" s="546"/>
      <c r="D199" s="546"/>
      <c r="E199" s="546"/>
      <c r="F199" s="546"/>
      <c r="G199" s="546"/>
      <c r="H199" s="546"/>
      <c r="I199" s="546"/>
      <c r="J199" s="546"/>
      <c r="K199" s="546"/>
      <c r="L199" s="546"/>
      <c r="M199" s="378"/>
    </row>
    <row r="200" spans="2:13" hidden="1">
      <c r="B200" s="375"/>
      <c r="C200" s="546"/>
      <c r="D200" s="546"/>
      <c r="E200" s="546"/>
      <c r="F200" s="546"/>
      <c r="G200" s="546"/>
      <c r="H200" s="546"/>
      <c r="I200" s="546"/>
      <c r="J200" s="546"/>
      <c r="K200" s="546"/>
      <c r="L200" s="546"/>
      <c r="M200" s="378"/>
    </row>
    <row r="201" spans="2:13" hidden="1">
      <c r="B201" s="375"/>
      <c r="C201" s="546"/>
      <c r="D201" s="546"/>
      <c r="E201" s="546"/>
      <c r="F201" s="546"/>
      <c r="G201" s="546"/>
      <c r="H201" s="546"/>
      <c r="I201" s="546"/>
      <c r="J201" s="546"/>
      <c r="K201" s="546"/>
      <c r="L201" s="546"/>
      <c r="M201" s="378"/>
    </row>
    <row r="202" spans="2:13" hidden="1">
      <c r="B202" s="375"/>
      <c r="C202" s="546"/>
      <c r="D202" s="546"/>
      <c r="E202" s="546"/>
      <c r="F202" s="546"/>
      <c r="G202" s="546"/>
      <c r="H202" s="546"/>
      <c r="I202" s="546"/>
      <c r="J202" s="546"/>
      <c r="K202" s="546"/>
      <c r="L202" s="546"/>
      <c r="M202" s="378"/>
    </row>
    <row r="203" spans="2:13" hidden="1">
      <c r="B203" s="375"/>
      <c r="C203" s="546"/>
      <c r="D203" s="546"/>
      <c r="E203" s="546"/>
      <c r="F203" s="546"/>
      <c r="G203" s="546"/>
      <c r="H203" s="546"/>
      <c r="I203" s="546"/>
      <c r="J203" s="546"/>
      <c r="K203" s="546"/>
      <c r="L203" s="546"/>
      <c r="M203" s="378"/>
    </row>
    <row r="204" spans="2:13" hidden="1">
      <c r="B204" s="375"/>
      <c r="C204" s="546"/>
      <c r="D204" s="546"/>
      <c r="E204" s="546"/>
      <c r="F204" s="546"/>
      <c r="G204" s="546"/>
      <c r="H204" s="546"/>
      <c r="I204" s="546"/>
      <c r="J204" s="546"/>
      <c r="K204" s="546"/>
      <c r="L204" s="546"/>
      <c r="M204" s="378"/>
    </row>
    <row r="205" spans="2:13" hidden="1">
      <c r="B205" s="375"/>
      <c r="C205" s="546"/>
      <c r="D205" s="546"/>
      <c r="E205" s="546"/>
      <c r="F205" s="546"/>
      <c r="G205" s="546"/>
      <c r="H205" s="546"/>
      <c r="I205" s="546"/>
      <c r="J205" s="546"/>
      <c r="K205" s="546"/>
      <c r="L205" s="546"/>
      <c r="M205" s="378"/>
    </row>
    <row r="206" spans="2:13" hidden="1">
      <c r="B206" s="375"/>
      <c r="C206" s="546"/>
      <c r="D206" s="546"/>
      <c r="E206" s="546"/>
      <c r="F206" s="546"/>
      <c r="G206" s="546"/>
      <c r="H206" s="546"/>
      <c r="I206" s="546"/>
      <c r="J206" s="546"/>
      <c r="K206" s="546"/>
      <c r="L206" s="546"/>
      <c r="M206" s="378"/>
    </row>
    <row r="207" spans="2:13" hidden="1">
      <c r="B207" s="375"/>
      <c r="C207" s="546"/>
      <c r="D207" s="546"/>
      <c r="E207" s="546"/>
      <c r="F207" s="546"/>
      <c r="G207" s="546"/>
      <c r="H207" s="546"/>
      <c r="I207" s="546"/>
      <c r="J207" s="546"/>
      <c r="K207" s="546"/>
      <c r="L207" s="546"/>
      <c r="M207" s="378"/>
    </row>
    <row r="208" spans="2:13" hidden="1">
      <c r="B208" s="375"/>
      <c r="C208" s="546"/>
      <c r="D208" s="546"/>
      <c r="E208" s="546"/>
      <c r="F208" s="546"/>
      <c r="G208" s="546"/>
      <c r="H208" s="546"/>
      <c r="I208" s="546"/>
      <c r="J208" s="546"/>
      <c r="K208" s="546"/>
      <c r="L208" s="546"/>
      <c r="M208" s="378"/>
    </row>
    <row r="209" spans="2:13" hidden="1">
      <c r="B209" s="375"/>
      <c r="C209" s="546"/>
      <c r="D209" s="546"/>
      <c r="E209" s="546"/>
      <c r="F209" s="546"/>
      <c r="G209" s="546"/>
      <c r="H209" s="546"/>
      <c r="I209" s="546"/>
      <c r="J209" s="546"/>
      <c r="K209" s="546"/>
      <c r="L209" s="546"/>
      <c r="M209" s="378"/>
    </row>
    <row r="210" spans="2:13" hidden="1">
      <c r="B210" s="375"/>
      <c r="C210" s="546"/>
      <c r="D210" s="546"/>
      <c r="E210" s="546"/>
      <c r="F210" s="546"/>
      <c r="G210" s="546"/>
      <c r="H210" s="546"/>
      <c r="I210" s="546"/>
      <c r="J210" s="546"/>
      <c r="K210" s="546"/>
      <c r="L210" s="546"/>
      <c r="M210" s="378"/>
    </row>
    <row r="211" spans="2:13" hidden="1">
      <c r="B211" s="375"/>
      <c r="C211" s="546"/>
      <c r="D211" s="546"/>
      <c r="E211" s="546"/>
      <c r="F211" s="546"/>
      <c r="G211" s="546"/>
      <c r="H211" s="546"/>
      <c r="I211" s="546"/>
      <c r="J211" s="546"/>
      <c r="K211" s="546"/>
      <c r="L211" s="546"/>
      <c r="M211" s="378"/>
    </row>
    <row r="212" spans="2:13" hidden="1">
      <c r="B212" s="375"/>
      <c r="C212" s="546"/>
      <c r="D212" s="546"/>
      <c r="E212" s="546"/>
      <c r="F212" s="546"/>
      <c r="G212" s="546"/>
      <c r="H212" s="546"/>
      <c r="I212" s="546"/>
      <c r="J212" s="546"/>
      <c r="K212" s="546"/>
      <c r="L212" s="546"/>
      <c r="M212" s="378"/>
    </row>
    <row r="213" spans="2:13" hidden="1">
      <c r="B213" s="375"/>
      <c r="C213" s="546"/>
      <c r="D213" s="546"/>
      <c r="E213" s="546"/>
      <c r="F213" s="546"/>
      <c r="G213" s="546"/>
      <c r="H213" s="546"/>
      <c r="I213" s="546"/>
      <c r="J213" s="546"/>
      <c r="K213" s="546"/>
      <c r="L213" s="546"/>
      <c r="M213" s="378"/>
    </row>
    <row r="214" spans="2:13" hidden="1">
      <c r="B214" s="375"/>
      <c r="C214" s="546"/>
      <c r="D214" s="546"/>
      <c r="E214" s="546"/>
      <c r="F214" s="546"/>
      <c r="G214" s="546"/>
      <c r="H214" s="546"/>
      <c r="I214" s="546"/>
      <c r="J214" s="546"/>
      <c r="K214" s="546"/>
      <c r="L214" s="546"/>
      <c r="M214" s="378"/>
    </row>
    <row r="215" spans="2:13" hidden="1">
      <c r="B215" s="375"/>
      <c r="C215" s="546"/>
      <c r="D215" s="546"/>
      <c r="E215" s="546"/>
      <c r="F215" s="546"/>
      <c r="G215" s="546"/>
      <c r="H215" s="546"/>
      <c r="I215" s="546"/>
      <c r="J215" s="546"/>
      <c r="K215" s="546"/>
      <c r="L215" s="546"/>
      <c r="M215" s="378"/>
    </row>
    <row r="216" spans="2:13" hidden="1">
      <c r="B216" s="375"/>
      <c r="C216" s="546"/>
      <c r="D216" s="546"/>
      <c r="E216" s="546"/>
      <c r="F216" s="546"/>
      <c r="G216" s="546"/>
      <c r="H216" s="546"/>
      <c r="I216" s="546"/>
      <c r="J216" s="546"/>
      <c r="K216" s="546"/>
      <c r="L216" s="546"/>
      <c r="M216" s="378"/>
    </row>
    <row r="217" spans="2:13" hidden="1">
      <c r="B217" s="375"/>
      <c r="C217" s="546"/>
      <c r="D217" s="546"/>
      <c r="E217" s="546"/>
      <c r="F217" s="546"/>
      <c r="G217" s="546"/>
      <c r="H217" s="546"/>
      <c r="I217" s="546"/>
      <c r="J217" s="546"/>
      <c r="K217" s="546"/>
      <c r="L217" s="546"/>
      <c r="M217" s="378"/>
    </row>
    <row r="218" spans="2:13" hidden="1">
      <c r="B218" s="375"/>
      <c r="C218" s="546"/>
      <c r="D218" s="546"/>
      <c r="E218" s="546"/>
      <c r="F218" s="546"/>
      <c r="G218" s="546"/>
      <c r="H218" s="546"/>
      <c r="I218" s="546"/>
      <c r="J218" s="546"/>
      <c r="K218" s="546"/>
      <c r="L218" s="546"/>
      <c r="M218" s="378"/>
    </row>
    <row r="219" spans="2:13" hidden="1">
      <c r="B219" s="375"/>
      <c r="C219" s="546"/>
      <c r="D219" s="546"/>
      <c r="E219" s="546"/>
      <c r="F219" s="546"/>
      <c r="G219" s="546"/>
      <c r="H219" s="546"/>
      <c r="I219" s="546"/>
      <c r="J219" s="546"/>
      <c r="K219" s="546"/>
      <c r="L219" s="546"/>
      <c r="M219" s="378"/>
    </row>
    <row r="220" spans="2:13" hidden="1">
      <c r="B220" s="375"/>
      <c r="C220" s="546"/>
      <c r="D220" s="546"/>
      <c r="E220" s="546"/>
      <c r="F220" s="546"/>
      <c r="G220" s="546"/>
      <c r="H220" s="546"/>
      <c r="I220" s="546"/>
      <c r="J220" s="546"/>
      <c r="K220" s="546"/>
      <c r="L220" s="546"/>
      <c r="M220" s="378"/>
    </row>
    <row r="221" spans="2:13" hidden="1">
      <c r="B221" s="375"/>
      <c r="C221" s="546"/>
      <c r="D221" s="546"/>
      <c r="E221" s="546"/>
      <c r="F221" s="546"/>
      <c r="G221" s="546"/>
      <c r="H221" s="546"/>
      <c r="I221" s="546"/>
      <c r="J221" s="546"/>
      <c r="K221" s="546"/>
      <c r="L221" s="546"/>
      <c r="M221" s="378"/>
    </row>
    <row r="222" spans="2:13" hidden="1">
      <c r="B222" s="375"/>
      <c r="C222" s="546"/>
      <c r="D222" s="546"/>
      <c r="E222" s="546"/>
      <c r="F222" s="546"/>
      <c r="G222" s="546"/>
      <c r="H222" s="546"/>
      <c r="I222" s="546"/>
      <c r="J222" s="546"/>
      <c r="K222" s="546"/>
      <c r="L222" s="546"/>
      <c r="M222" s="378"/>
    </row>
    <row r="223" spans="2:13" hidden="1">
      <c r="B223" s="375"/>
      <c r="C223" s="546"/>
      <c r="D223" s="546"/>
      <c r="E223" s="546"/>
      <c r="F223" s="546"/>
      <c r="G223" s="546"/>
      <c r="H223" s="546"/>
      <c r="I223" s="546"/>
      <c r="J223" s="546"/>
      <c r="K223" s="546"/>
      <c r="L223" s="546"/>
      <c r="M223" s="378"/>
    </row>
    <row r="224" spans="2:13" hidden="1">
      <c r="B224" s="375"/>
      <c r="C224" s="546"/>
      <c r="D224" s="546"/>
      <c r="E224" s="546"/>
      <c r="F224" s="546"/>
      <c r="G224" s="546"/>
      <c r="H224" s="546"/>
      <c r="I224" s="546"/>
      <c r="J224" s="546"/>
      <c r="K224" s="546"/>
      <c r="L224" s="546"/>
      <c r="M224" s="378"/>
    </row>
    <row r="225" spans="2:13" hidden="1">
      <c r="B225" s="375"/>
      <c r="C225" s="546"/>
      <c r="D225" s="546"/>
      <c r="E225" s="546"/>
      <c r="F225" s="546"/>
      <c r="G225" s="546"/>
      <c r="H225" s="546"/>
      <c r="I225" s="546"/>
      <c r="J225" s="546"/>
      <c r="K225" s="546"/>
      <c r="L225" s="546"/>
      <c r="M225" s="378"/>
    </row>
    <row r="226" spans="2:13" hidden="1">
      <c r="B226" s="375"/>
      <c r="C226" s="546"/>
      <c r="D226" s="546"/>
      <c r="E226" s="546"/>
      <c r="F226" s="546"/>
      <c r="G226" s="546"/>
      <c r="H226" s="546"/>
      <c r="I226" s="546"/>
      <c r="J226" s="546"/>
      <c r="K226" s="546"/>
      <c r="L226" s="546"/>
      <c r="M226" s="378"/>
    </row>
    <row r="227" spans="2:13" hidden="1">
      <c r="B227" s="375"/>
      <c r="C227" s="546"/>
      <c r="D227" s="546"/>
      <c r="E227" s="546"/>
      <c r="F227" s="546"/>
      <c r="G227" s="546"/>
      <c r="H227" s="546"/>
      <c r="I227" s="546"/>
      <c r="J227" s="546"/>
      <c r="K227" s="546"/>
      <c r="L227" s="546"/>
      <c r="M227" s="378"/>
    </row>
    <row r="228" spans="2:13" hidden="1">
      <c r="B228" s="375"/>
      <c r="C228" s="546"/>
      <c r="D228" s="546"/>
      <c r="E228" s="546"/>
      <c r="F228" s="546"/>
      <c r="G228" s="546"/>
      <c r="H228" s="546"/>
      <c r="I228" s="546"/>
      <c r="J228" s="546"/>
      <c r="K228" s="546"/>
      <c r="L228" s="546"/>
      <c r="M228" s="378"/>
    </row>
    <row r="229" spans="2:13" hidden="1">
      <c r="B229" s="375"/>
      <c r="C229" s="546"/>
      <c r="D229" s="546"/>
      <c r="E229" s="546"/>
      <c r="F229" s="546"/>
      <c r="G229" s="546"/>
      <c r="H229" s="546"/>
      <c r="I229" s="546"/>
      <c r="J229" s="546"/>
      <c r="K229" s="546"/>
      <c r="L229" s="546"/>
      <c r="M229" s="378"/>
    </row>
    <row r="230" spans="2:13" hidden="1">
      <c r="B230" s="375"/>
      <c r="C230" s="546"/>
      <c r="D230" s="546"/>
      <c r="E230" s="546"/>
      <c r="F230" s="546"/>
      <c r="G230" s="546"/>
      <c r="H230" s="546"/>
      <c r="I230" s="546"/>
      <c r="J230" s="546"/>
      <c r="K230" s="546"/>
      <c r="L230" s="546"/>
      <c r="M230" s="378"/>
    </row>
    <row r="231" spans="2:13" hidden="1">
      <c r="B231" s="375"/>
      <c r="C231" s="546"/>
      <c r="D231" s="546"/>
      <c r="E231" s="546"/>
      <c r="F231" s="546"/>
      <c r="G231" s="546"/>
      <c r="H231" s="546"/>
      <c r="I231" s="546"/>
      <c r="J231" s="546"/>
      <c r="K231" s="546"/>
      <c r="L231" s="546"/>
      <c r="M231" s="378"/>
    </row>
    <row r="232" spans="2:13" hidden="1">
      <c r="B232" s="375"/>
      <c r="C232" s="546"/>
      <c r="D232" s="546"/>
      <c r="E232" s="546"/>
      <c r="F232" s="546"/>
      <c r="G232" s="546"/>
      <c r="H232" s="546"/>
      <c r="I232" s="546"/>
      <c r="J232" s="546"/>
      <c r="K232" s="546"/>
      <c r="L232" s="546"/>
      <c r="M232" s="378"/>
    </row>
    <row r="233" spans="2:13" hidden="1">
      <c r="B233" s="375"/>
      <c r="C233" s="546"/>
      <c r="D233" s="546"/>
      <c r="E233" s="546"/>
      <c r="F233" s="546"/>
      <c r="G233" s="546"/>
      <c r="H233" s="546"/>
      <c r="I233" s="546"/>
      <c r="J233" s="546"/>
      <c r="K233" s="546"/>
      <c r="L233" s="546"/>
      <c r="M233" s="378"/>
    </row>
    <row r="234" spans="2:13" hidden="1">
      <c r="B234" s="375"/>
      <c r="C234" s="546"/>
      <c r="D234" s="546"/>
      <c r="E234" s="546"/>
      <c r="F234" s="546"/>
      <c r="G234" s="546"/>
      <c r="H234" s="546"/>
      <c r="I234" s="546"/>
      <c r="J234" s="546"/>
      <c r="K234" s="546"/>
      <c r="L234" s="546"/>
      <c r="M234" s="378"/>
    </row>
    <row r="235" spans="2:13" hidden="1">
      <c r="B235" s="375"/>
      <c r="C235" s="546"/>
      <c r="D235" s="546"/>
      <c r="E235" s="546"/>
      <c r="F235" s="546"/>
      <c r="G235" s="546"/>
      <c r="H235" s="546"/>
      <c r="I235" s="546"/>
      <c r="J235" s="546"/>
      <c r="K235" s="546"/>
      <c r="L235" s="546"/>
      <c r="M235" s="378"/>
    </row>
    <row r="236" spans="2:13" hidden="1">
      <c r="B236" s="375"/>
      <c r="C236" s="546"/>
      <c r="D236" s="546"/>
      <c r="E236" s="546"/>
      <c r="F236" s="546"/>
      <c r="G236" s="546"/>
      <c r="H236" s="546"/>
      <c r="I236" s="546"/>
      <c r="J236" s="546"/>
      <c r="K236" s="546"/>
      <c r="L236" s="546"/>
      <c r="M236" s="378"/>
    </row>
    <row r="237" spans="2:13" hidden="1">
      <c r="B237" s="375"/>
      <c r="C237" s="546"/>
      <c r="D237" s="546"/>
      <c r="E237" s="546"/>
      <c r="F237" s="546"/>
      <c r="G237" s="546"/>
      <c r="H237" s="546"/>
      <c r="I237" s="546"/>
      <c r="J237" s="546"/>
      <c r="K237" s="546"/>
      <c r="L237" s="546"/>
      <c r="M237" s="378"/>
    </row>
    <row r="238" spans="2:13" hidden="1">
      <c r="B238" s="375"/>
      <c r="C238" s="546"/>
      <c r="D238" s="546"/>
      <c r="E238" s="546"/>
      <c r="F238" s="546"/>
      <c r="G238" s="546"/>
      <c r="H238" s="546"/>
      <c r="I238" s="546"/>
      <c r="J238" s="546"/>
      <c r="K238" s="546"/>
      <c r="L238" s="546"/>
      <c r="M238" s="378"/>
    </row>
    <row r="239" spans="2:13" hidden="1">
      <c r="B239" s="375"/>
      <c r="C239" s="546"/>
      <c r="D239" s="546"/>
      <c r="E239" s="546"/>
      <c r="F239" s="546"/>
      <c r="G239" s="546"/>
      <c r="H239" s="546"/>
      <c r="I239" s="546"/>
      <c r="J239" s="546"/>
      <c r="K239" s="546"/>
      <c r="L239" s="546"/>
      <c r="M239" s="378"/>
    </row>
    <row r="240" spans="2:13" hidden="1">
      <c r="B240" s="375"/>
      <c r="C240" s="546"/>
      <c r="D240" s="546"/>
      <c r="E240" s="546"/>
      <c r="F240" s="546"/>
      <c r="G240" s="546"/>
      <c r="H240" s="546"/>
      <c r="I240" s="546"/>
      <c r="J240" s="546"/>
      <c r="K240" s="546"/>
      <c r="L240" s="546"/>
      <c r="M240" s="378"/>
    </row>
    <row r="241" spans="2:13" hidden="1">
      <c r="B241" s="375"/>
      <c r="C241" s="546"/>
      <c r="D241" s="546"/>
      <c r="E241" s="546"/>
      <c r="F241" s="546"/>
      <c r="G241" s="546"/>
      <c r="H241" s="546"/>
      <c r="I241" s="546"/>
      <c r="J241" s="546"/>
      <c r="K241" s="546"/>
      <c r="L241" s="546"/>
      <c r="M241" s="378"/>
    </row>
    <row r="242" spans="2:13" hidden="1">
      <c r="B242" s="375"/>
      <c r="C242" s="546"/>
      <c r="D242" s="546"/>
      <c r="E242" s="546"/>
      <c r="F242" s="546"/>
      <c r="G242" s="546"/>
      <c r="H242" s="546"/>
      <c r="I242" s="546"/>
      <c r="J242" s="546"/>
      <c r="K242" s="546"/>
      <c r="L242" s="546"/>
      <c r="M242" s="378"/>
    </row>
    <row r="243" spans="2:13" hidden="1">
      <c r="B243" s="375"/>
      <c r="C243" s="546"/>
      <c r="D243" s="546"/>
      <c r="E243" s="546"/>
      <c r="F243" s="546"/>
      <c r="G243" s="546"/>
      <c r="H243" s="546"/>
      <c r="I243" s="546"/>
      <c r="J243" s="546"/>
      <c r="K243" s="546"/>
      <c r="L243" s="546"/>
      <c r="M243" s="378"/>
    </row>
    <row r="244" spans="2:13" hidden="1">
      <c r="B244" s="375"/>
      <c r="C244" s="546"/>
      <c r="D244" s="546"/>
      <c r="E244" s="546"/>
      <c r="F244" s="546"/>
      <c r="G244" s="546"/>
      <c r="H244" s="546"/>
      <c r="I244" s="546"/>
      <c r="J244" s="546"/>
      <c r="K244" s="546"/>
      <c r="L244" s="546"/>
      <c r="M244" s="378"/>
    </row>
    <row r="245" spans="2:13" hidden="1">
      <c r="B245" s="375"/>
      <c r="C245" s="546"/>
      <c r="D245" s="546"/>
      <c r="E245" s="546"/>
      <c r="F245" s="546"/>
      <c r="G245" s="546"/>
      <c r="H245" s="546"/>
      <c r="I245" s="546"/>
      <c r="J245" s="546"/>
      <c r="K245" s="546"/>
      <c r="L245" s="546"/>
      <c r="M245" s="378"/>
    </row>
    <row r="246" spans="2:13" hidden="1">
      <c r="B246" s="375"/>
      <c r="C246" s="546"/>
      <c r="D246" s="546"/>
      <c r="E246" s="546"/>
      <c r="F246" s="546"/>
      <c r="G246" s="546"/>
      <c r="H246" s="546"/>
      <c r="I246" s="546"/>
      <c r="J246" s="546"/>
      <c r="K246" s="546"/>
      <c r="L246" s="546"/>
      <c r="M246" s="378"/>
    </row>
    <row r="247" spans="2:13" hidden="1">
      <c r="B247" s="375"/>
      <c r="C247" s="546"/>
      <c r="D247" s="546"/>
      <c r="E247" s="546"/>
      <c r="F247" s="546"/>
      <c r="G247" s="546"/>
      <c r="H247" s="546"/>
      <c r="I247" s="546"/>
      <c r="J247" s="546"/>
      <c r="K247" s="546"/>
      <c r="L247" s="546"/>
      <c r="M247" s="378"/>
    </row>
    <row r="248" spans="2:13" hidden="1">
      <c r="B248" s="375"/>
      <c r="C248" s="546"/>
      <c r="D248" s="546"/>
      <c r="E248" s="546"/>
      <c r="F248" s="546"/>
      <c r="G248" s="546"/>
      <c r="H248" s="546"/>
      <c r="I248" s="546"/>
      <c r="J248" s="546"/>
      <c r="K248" s="546"/>
      <c r="L248" s="546"/>
      <c r="M248" s="378"/>
    </row>
    <row r="249" spans="2:13" hidden="1">
      <c r="B249" s="375"/>
      <c r="C249" s="546"/>
      <c r="D249" s="546"/>
      <c r="E249" s="546"/>
      <c r="F249" s="546"/>
      <c r="G249" s="546"/>
      <c r="H249" s="546"/>
      <c r="I249" s="546"/>
      <c r="J249" s="546"/>
      <c r="K249" s="546"/>
      <c r="L249" s="546"/>
      <c r="M249" s="378"/>
    </row>
    <row r="250" spans="2:13" hidden="1">
      <c r="B250" s="375"/>
      <c r="C250" s="546"/>
      <c r="D250" s="546"/>
      <c r="E250" s="546"/>
      <c r="F250" s="546"/>
      <c r="G250" s="546"/>
      <c r="H250" s="546"/>
      <c r="I250" s="546"/>
      <c r="J250" s="546"/>
      <c r="K250" s="546"/>
      <c r="L250" s="546"/>
      <c r="M250" s="378"/>
    </row>
    <row r="251" spans="2:13" hidden="1">
      <c r="B251" s="375"/>
      <c r="C251" s="546"/>
      <c r="D251" s="546"/>
      <c r="E251" s="546"/>
      <c r="F251" s="546"/>
      <c r="G251" s="546"/>
      <c r="H251" s="546"/>
      <c r="I251" s="546"/>
      <c r="J251" s="546"/>
      <c r="K251" s="546"/>
      <c r="L251" s="546"/>
      <c r="M251" s="378"/>
    </row>
    <row r="252" spans="2:13" hidden="1">
      <c r="B252" s="375"/>
      <c r="C252" s="546"/>
      <c r="D252" s="546"/>
      <c r="E252" s="546"/>
      <c r="F252" s="546"/>
      <c r="G252" s="546"/>
      <c r="H252" s="546"/>
      <c r="I252" s="546"/>
      <c r="J252" s="546"/>
      <c r="K252" s="546"/>
      <c r="L252" s="546"/>
      <c r="M252" s="378"/>
    </row>
    <row r="253" spans="2:13" hidden="1">
      <c r="B253" s="375"/>
      <c r="C253" s="546"/>
      <c r="D253" s="546"/>
      <c r="E253" s="546"/>
      <c r="F253" s="546"/>
      <c r="G253" s="546"/>
      <c r="H253" s="546"/>
      <c r="I253" s="546"/>
      <c r="J253" s="546"/>
      <c r="K253" s="546"/>
      <c r="L253" s="546"/>
      <c r="M253" s="378"/>
    </row>
    <row r="254" spans="2:13" hidden="1">
      <c r="B254" s="375"/>
      <c r="C254" s="546"/>
      <c r="D254" s="546"/>
      <c r="E254" s="546"/>
      <c r="F254" s="546"/>
      <c r="G254" s="546"/>
      <c r="H254" s="546"/>
      <c r="I254" s="546"/>
      <c r="J254" s="546"/>
      <c r="K254" s="546"/>
      <c r="L254" s="546"/>
      <c r="M254" s="378"/>
    </row>
    <row r="255" spans="2:13" hidden="1">
      <c r="B255" s="375"/>
      <c r="C255" s="546"/>
      <c r="D255" s="546"/>
      <c r="E255" s="546"/>
      <c r="F255" s="546"/>
      <c r="G255" s="546"/>
      <c r="H255" s="546"/>
      <c r="I255" s="546"/>
      <c r="J255" s="546"/>
      <c r="K255" s="546"/>
      <c r="L255" s="546"/>
      <c r="M255" s="378"/>
    </row>
    <row r="256" spans="2:13" hidden="1">
      <c r="B256" s="375"/>
      <c r="C256" s="546"/>
      <c r="D256" s="546"/>
      <c r="E256" s="546"/>
      <c r="F256" s="546"/>
      <c r="G256" s="546"/>
      <c r="H256" s="546"/>
      <c r="I256" s="546"/>
      <c r="J256" s="546"/>
      <c r="K256" s="546"/>
      <c r="L256" s="546"/>
      <c r="M256" s="378"/>
    </row>
    <row r="257" spans="2:13" hidden="1">
      <c r="B257" s="375"/>
      <c r="C257" s="546"/>
      <c r="D257" s="546"/>
      <c r="E257" s="546"/>
      <c r="F257" s="546"/>
      <c r="G257" s="546"/>
      <c r="H257" s="546"/>
      <c r="I257" s="546"/>
      <c r="J257" s="546"/>
      <c r="K257" s="546"/>
      <c r="L257" s="546"/>
      <c r="M257" s="378"/>
    </row>
    <row r="258" spans="2:13" hidden="1">
      <c r="B258" s="375"/>
      <c r="C258" s="546"/>
      <c r="D258" s="546"/>
      <c r="E258" s="546"/>
      <c r="F258" s="546"/>
      <c r="G258" s="546"/>
      <c r="H258" s="546"/>
      <c r="I258" s="546"/>
      <c r="J258" s="546"/>
      <c r="K258" s="546"/>
      <c r="L258" s="546"/>
      <c r="M258" s="378"/>
    </row>
    <row r="259" spans="2:13" hidden="1">
      <c r="B259" s="375"/>
      <c r="C259" s="546"/>
      <c r="D259" s="546"/>
      <c r="E259" s="546"/>
      <c r="F259" s="546"/>
      <c r="G259" s="546"/>
      <c r="H259" s="546"/>
      <c r="I259" s="546"/>
      <c r="J259" s="546"/>
      <c r="K259" s="546"/>
      <c r="L259" s="546"/>
      <c r="M259" s="378"/>
    </row>
    <row r="260" spans="2:13" hidden="1">
      <c r="B260" s="375"/>
      <c r="C260" s="546"/>
      <c r="D260" s="546"/>
      <c r="E260" s="546"/>
      <c r="F260" s="546"/>
      <c r="G260" s="546"/>
      <c r="H260" s="546"/>
      <c r="I260" s="546"/>
      <c r="J260" s="546"/>
      <c r="K260" s="546"/>
      <c r="L260" s="546"/>
      <c r="M260" s="378"/>
    </row>
    <row r="261" spans="2:13" hidden="1">
      <c r="B261" s="375"/>
      <c r="C261" s="546"/>
      <c r="D261" s="546"/>
      <c r="E261" s="546"/>
      <c r="F261" s="546"/>
      <c r="G261" s="546"/>
      <c r="H261" s="546"/>
      <c r="I261" s="546"/>
      <c r="J261" s="546"/>
      <c r="K261" s="546"/>
      <c r="L261" s="546"/>
      <c r="M261" s="378"/>
    </row>
    <row r="262" spans="2:13" hidden="1">
      <c r="B262" s="375"/>
      <c r="C262" s="546"/>
      <c r="D262" s="546"/>
      <c r="E262" s="546"/>
      <c r="F262" s="546"/>
      <c r="G262" s="546"/>
      <c r="H262" s="546"/>
      <c r="I262" s="546"/>
      <c r="J262" s="546"/>
      <c r="K262" s="546"/>
      <c r="L262" s="546"/>
      <c r="M262" s="378"/>
    </row>
    <row r="263" spans="2:13" hidden="1">
      <c r="B263" s="375"/>
      <c r="C263" s="546"/>
      <c r="D263" s="546"/>
      <c r="E263" s="546"/>
      <c r="F263" s="546"/>
      <c r="G263" s="546"/>
      <c r="H263" s="546"/>
      <c r="I263" s="546"/>
      <c r="J263" s="546"/>
      <c r="K263" s="546"/>
      <c r="L263" s="546"/>
      <c r="M263" s="378"/>
    </row>
    <row r="264" spans="2:13" hidden="1">
      <c r="B264" s="375"/>
      <c r="C264" s="546"/>
      <c r="D264" s="546"/>
      <c r="E264" s="546"/>
      <c r="F264" s="546"/>
      <c r="G264" s="546"/>
      <c r="H264" s="546"/>
      <c r="I264" s="546"/>
      <c r="J264" s="546"/>
      <c r="K264" s="546"/>
      <c r="L264" s="546"/>
      <c r="M264" s="378"/>
    </row>
    <row r="265" spans="2:13" hidden="1">
      <c r="B265" s="375"/>
      <c r="C265" s="546"/>
      <c r="D265" s="546"/>
      <c r="E265" s="546"/>
      <c r="F265" s="546"/>
      <c r="G265" s="546"/>
      <c r="H265" s="546"/>
      <c r="I265" s="546"/>
      <c r="J265" s="546"/>
      <c r="K265" s="546"/>
      <c r="L265" s="546"/>
      <c r="M265" s="378"/>
    </row>
    <row r="266" spans="2:13" hidden="1">
      <c r="B266" s="375"/>
      <c r="C266" s="546"/>
      <c r="D266" s="546"/>
      <c r="E266" s="546"/>
      <c r="F266" s="546"/>
      <c r="G266" s="546"/>
      <c r="H266" s="546"/>
      <c r="I266" s="546"/>
      <c r="J266" s="546"/>
      <c r="K266" s="546"/>
      <c r="L266" s="546"/>
      <c r="M266" s="378"/>
    </row>
    <row r="267" spans="2:13" hidden="1">
      <c r="B267" s="375"/>
      <c r="C267" s="546"/>
      <c r="D267" s="546"/>
      <c r="E267" s="546"/>
      <c r="F267" s="546"/>
      <c r="G267" s="546"/>
      <c r="H267" s="546"/>
      <c r="I267" s="546"/>
      <c r="J267" s="546"/>
      <c r="K267" s="546"/>
      <c r="L267" s="546"/>
      <c r="M267" s="378"/>
    </row>
    <row r="268" spans="2:13" hidden="1">
      <c r="B268" s="375"/>
      <c r="C268" s="546"/>
      <c r="D268" s="546"/>
      <c r="E268" s="546"/>
      <c r="F268" s="546"/>
      <c r="G268" s="546"/>
      <c r="H268" s="546"/>
      <c r="I268" s="546"/>
      <c r="J268" s="546"/>
      <c r="K268" s="546"/>
      <c r="L268" s="546"/>
      <c r="M268" s="378"/>
    </row>
    <row r="269" spans="2:13" hidden="1">
      <c r="B269" s="375"/>
      <c r="C269" s="546"/>
      <c r="D269" s="546"/>
      <c r="E269" s="546"/>
      <c r="F269" s="546"/>
      <c r="G269" s="546"/>
      <c r="H269" s="546"/>
      <c r="I269" s="546"/>
      <c r="J269" s="546"/>
      <c r="K269" s="546"/>
      <c r="L269" s="546"/>
      <c r="M269" s="378"/>
    </row>
    <row r="270" spans="2:13" hidden="1">
      <c r="B270" s="375"/>
      <c r="C270" s="546"/>
      <c r="D270" s="546"/>
      <c r="E270" s="546"/>
      <c r="F270" s="546"/>
      <c r="G270" s="546"/>
      <c r="H270" s="546"/>
      <c r="I270" s="546"/>
      <c r="J270" s="546"/>
      <c r="K270" s="546"/>
      <c r="L270" s="546"/>
      <c r="M270" s="378"/>
    </row>
    <row r="271" spans="2:13" hidden="1">
      <c r="B271" s="375"/>
      <c r="C271" s="546"/>
      <c r="D271" s="546"/>
      <c r="E271" s="546"/>
      <c r="F271" s="546"/>
      <c r="G271" s="546"/>
      <c r="H271" s="546"/>
      <c r="I271" s="546"/>
      <c r="J271" s="546"/>
      <c r="K271" s="546"/>
      <c r="L271" s="546"/>
      <c r="M271" s="378"/>
    </row>
    <row r="272" spans="2:13" hidden="1">
      <c r="B272" s="375"/>
      <c r="C272" s="546"/>
      <c r="D272" s="546"/>
      <c r="E272" s="546"/>
      <c r="F272" s="546"/>
      <c r="G272" s="546"/>
      <c r="H272" s="546"/>
      <c r="I272" s="546"/>
      <c r="J272" s="546"/>
      <c r="K272" s="546"/>
      <c r="L272" s="546"/>
      <c r="M272" s="378"/>
    </row>
    <row r="273" spans="2:13" hidden="1">
      <c r="B273" s="375"/>
      <c r="C273" s="546"/>
      <c r="D273" s="546"/>
      <c r="E273" s="546"/>
      <c r="F273" s="546"/>
      <c r="G273" s="546"/>
      <c r="H273" s="546"/>
      <c r="I273" s="546"/>
      <c r="J273" s="546"/>
      <c r="K273" s="546"/>
      <c r="L273" s="546"/>
      <c r="M273" s="378"/>
    </row>
    <row r="274" spans="2:13" hidden="1">
      <c r="B274" s="375"/>
      <c r="C274" s="546"/>
      <c r="D274" s="546"/>
      <c r="E274" s="546"/>
      <c r="F274" s="546"/>
      <c r="G274" s="546"/>
      <c r="H274" s="546"/>
      <c r="I274" s="546"/>
      <c r="J274" s="546"/>
      <c r="K274" s="546"/>
      <c r="L274" s="546"/>
      <c r="M274" s="378"/>
    </row>
    <row r="275" spans="2:13" hidden="1">
      <c r="B275" s="375"/>
      <c r="C275" s="546"/>
      <c r="D275" s="546"/>
      <c r="E275" s="546"/>
      <c r="F275" s="546"/>
      <c r="G275" s="546"/>
      <c r="H275" s="546"/>
      <c r="I275" s="546"/>
      <c r="J275" s="546"/>
      <c r="K275" s="546"/>
      <c r="L275" s="546"/>
      <c r="M275" s="378"/>
    </row>
    <row r="276" spans="2:13" hidden="1">
      <c r="B276" s="375"/>
      <c r="C276" s="546"/>
      <c r="D276" s="546"/>
      <c r="E276" s="546"/>
      <c r="F276" s="546"/>
      <c r="G276" s="546"/>
      <c r="H276" s="546"/>
      <c r="I276" s="546"/>
      <c r="J276" s="546"/>
      <c r="K276" s="546"/>
      <c r="L276" s="546"/>
      <c r="M276" s="378"/>
    </row>
    <row r="277" spans="2:13" hidden="1">
      <c r="B277" s="375"/>
      <c r="C277" s="546"/>
      <c r="D277" s="546"/>
      <c r="E277" s="546"/>
      <c r="F277" s="546"/>
      <c r="G277" s="546"/>
      <c r="H277" s="546"/>
      <c r="I277" s="546"/>
      <c r="J277" s="546"/>
      <c r="K277" s="546"/>
      <c r="L277" s="546"/>
      <c r="M277" s="378"/>
    </row>
    <row r="278" spans="2:13" hidden="1">
      <c r="B278" s="375"/>
      <c r="C278" s="546"/>
      <c r="D278" s="546"/>
      <c r="E278" s="546"/>
      <c r="F278" s="546"/>
      <c r="G278" s="546"/>
      <c r="H278" s="546"/>
      <c r="I278" s="546"/>
      <c r="J278" s="546"/>
      <c r="K278" s="546"/>
      <c r="L278" s="546"/>
      <c r="M278" s="378"/>
    </row>
    <row r="279" spans="2:13" hidden="1">
      <c r="B279" s="375"/>
      <c r="C279" s="546"/>
      <c r="D279" s="546"/>
      <c r="E279" s="546"/>
      <c r="F279" s="546"/>
      <c r="G279" s="546"/>
      <c r="H279" s="546"/>
      <c r="I279" s="546"/>
      <c r="J279" s="546"/>
      <c r="K279" s="546"/>
      <c r="L279" s="546"/>
      <c r="M279" s="378"/>
    </row>
    <row r="280" spans="2:13" hidden="1">
      <c r="B280" s="375"/>
      <c r="C280" s="546"/>
      <c r="D280" s="546"/>
      <c r="E280" s="546"/>
      <c r="F280" s="546"/>
      <c r="G280" s="546"/>
      <c r="H280" s="546"/>
      <c r="I280" s="546"/>
      <c r="J280" s="546"/>
      <c r="K280" s="546"/>
      <c r="L280" s="546"/>
      <c r="M280" s="378"/>
    </row>
    <row r="281" spans="2:13" hidden="1">
      <c r="B281" s="375"/>
      <c r="C281" s="546"/>
      <c r="D281" s="546"/>
      <c r="E281" s="546"/>
      <c r="F281" s="546"/>
      <c r="G281" s="546"/>
      <c r="H281" s="546"/>
      <c r="I281" s="546"/>
      <c r="J281" s="546"/>
      <c r="K281" s="546"/>
      <c r="L281" s="546"/>
      <c r="M281" s="378"/>
    </row>
    <row r="282" spans="2:13" hidden="1">
      <c r="B282" s="375"/>
      <c r="C282" s="546"/>
      <c r="D282" s="546"/>
      <c r="E282" s="546"/>
      <c r="F282" s="546"/>
      <c r="G282" s="546"/>
      <c r="H282" s="546"/>
      <c r="I282" s="546"/>
      <c r="J282" s="546"/>
      <c r="K282" s="546"/>
      <c r="L282" s="546"/>
      <c r="M282" s="378"/>
    </row>
    <row r="283" spans="2:13" hidden="1">
      <c r="B283" s="375"/>
      <c r="C283" s="546"/>
      <c r="D283" s="546"/>
      <c r="E283" s="546"/>
      <c r="F283" s="546"/>
      <c r="G283" s="546"/>
      <c r="H283" s="546"/>
      <c r="I283" s="546"/>
      <c r="J283" s="546"/>
      <c r="K283" s="546"/>
      <c r="L283" s="546"/>
      <c r="M283" s="378"/>
    </row>
    <row r="284" spans="2:13" hidden="1">
      <c r="B284" s="375"/>
      <c r="C284" s="546"/>
      <c r="D284" s="546"/>
      <c r="E284" s="546"/>
      <c r="F284" s="546"/>
      <c r="G284" s="546"/>
      <c r="H284" s="546"/>
      <c r="I284" s="546"/>
      <c r="J284" s="546"/>
      <c r="K284" s="546"/>
      <c r="L284" s="546"/>
      <c r="M284" s="378"/>
    </row>
    <row r="285" spans="2:13" hidden="1">
      <c r="B285" s="375"/>
      <c r="C285" s="546"/>
      <c r="D285" s="546"/>
      <c r="E285" s="546"/>
      <c r="F285" s="546"/>
      <c r="G285" s="546"/>
      <c r="H285" s="546"/>
      <c r="I285" s="546"/>
      <c r="J285" s="546"/>
      <c r="K285" s="546"/>
      <c r="L285" s="546"/>
      <c r="M285" s="378"/>
    </row>
    <row r="286" spans="2:13" hidden="1">
      <c r="B286" s="375"/>
      <c r="C286" s="546"/>
      <c r="D286" s="546"/>
      <c r="E286" s="546"/>
      <c r="F286" s="546"/>
      <c r="G286" s="546"/>
      <c r="H286" s="546"/>
      <c r="I286" s="546"/>
      <c r="J286" s="546"/>
      <c r="K286" s="546"/>
      <c r="L286" s="546"/>
      <c r="M286" s="378"/>
    </row>
    <row r="287" spans="2:13" hidden="1">
      <c r="B287" s="375"/>
      <c r="C287" s="546"/>
      <c r="D287" s="546"/>
      <c r="E287" s="546"/>
      <c r="F287" s="546"/>
      <c r="G287" s="546"/>
      <c r="H287" s="546"/>
      <c r="I287" s="546"/>
      <c r="J287" s="546"/>
      <c r="K287" s="546"/>
      <c r="L287" s="546"/>
      <c r="M287" s="378"/>
    </row>
    <row r="288" spans="2:13" hidden="1">
      <c r="B288" s="375"/>
      <c r="C288" s="546"/>
      <c r="D288" s="546"/>
      <c r="E288" s="546"/>
      <c r="F288" s="546"/>
      <c r="G288" s="546"/>
      <c r="H288" s="546"/>
      <c r="I288" s="546"/>
      <c r="J288" s="546"/>
      <c r="K288" s="546"/>
      <c r="L288" s="546"/>
      <c r="M288" s="378"/>
    </row>
    <row r="289" spans="2:13" hidden="1">
      <c r="B289" s="375"/>
      <c r="C289" s="546"/>
      <c r="D289" s="546"/>
      <c r="E289" s="546"/>
      <c r="F289" s="546"/>
      <c r="G289" s="546"/>
      <c r="H289" s="546"/>
      <c r="I289" s="546"/>
      <c r="J289" s="546"/>
      <c r="K289" s="546"/>
      <c r="L289" s="546"/>
      <c r="M289" s="378"/>
    </row>
    <row r="290" spans="2:13" hidden="1">
      <c r="B290" s="375"/>
      <c r="C290" s="546"/>
      <c r="D290" s="546"/>
      <c r="E290" s="546"/>
      <c r="F290" s="546"/>
      <c r="G290" s="546"/>
      <c r="H290" s="546"/>
      <c r="I290" s="546"/>
      <c r="J290" s="546"/>
      <c r="K290" s="546"/>
      <c r="L290" s="546"/>
      <c r="M290" s="378"/>
    </row>
    <row r="291" spans="2:13" hidden="1">
      <c r="B291" s="375"/>
      <c r="C291" s="546"/>
      <c r="D291" s="546"/>
      <c r="E291" s="546"/>
      <c r="F291" s="546"/>
      <c r="G291" s="546"/>
      <c r="H291" s="546"/>
      <c r="I291" s="546"/>
      <c r="J291" s="546"/>
      <c r="K291" s="546"/>
      <c r="L291" s="546"/>
      <c r="M291" s="378"/>
    </row>
    <row r="292" spans="2:13" hidden="1">
      <c r="B292" s="375"/>
      <c r="C292" s="546"/>
      <c r="D292" s="546"/>
      <c r="E292" s="546"/>
      <c r="F292" s="546"/>
      <c r="G292" s="546"/>
      <c r="H292" s="546"/>
      <c r="I292" s="546"/>
      <c r="J292" s="546"/>
      <c r="K292" s="546"/>
      <c r="L292" s="546"/>
      <c r="M292" s="378"/>
    </row>
    <row r="293" spans="2:13" hidden="1">
      <c r="B293" s="375"/>
      <c r="C293" s="546"/>
      <c r="D293" s="546"/>
      <c r="E293" s="546"/>
      <c r="F293" s="546"/>
      <c r="G293" s="546"/>
      <c r="H293" s="546"/>
      <c r="I293" s="546"/>
      <c r="J293" s="546"/>
      <c r="K293" s="546"/>
      <c r="L293" s="546"/>
      <c r="M293" s="378"/>
    </row>
    <row r="294" spans="2:13" hidden="1">
      <c r="B294" s="375"/>
      <c r="C294" s="546"/>
      <c r="D294" s="546"/>
      <c r="E294" s="546"/>
      <c r="F294" s="546"/>
      <c r="G294" s="546"/>
      <c r="H294" s="546"/>
      <c r="I294" s="546"/>
      <c r="J294" s="546"/>
      <c r="K294" s="546"/>
      <c r="L294" s="546"/>
      <c r="M294" s="378"/>
    </row>
    <row r="295" spans="2:13" hidden="1">
      <c r="B295" s="375"/>
      <c r="C295" s="546"/>
      <c r="D295" s="546"/>
      <c r="E295" s="546"/>
      <c r="F295" s="546"/>
      <c r="G295" s="546"/>
      <c r="H295" s="546"/>
      <c r="I295" s="546"/>
      <c r="J295" s="546"/>
      <c r="K295" s="546"/>
      <c r="L295" s="546"/>
      <c r="M295" s="378"/>
    </row>
    <row r="296" spans="2:13" hidden="1">
      <c r="B296" s="375"/>
      <c r="C296" s="546"/>
      <c r="D296" s="546"/>
      <c r="E296" s="546"/>
      <c r="F296" s="546"/>
      <c r="G296" s="546"/>
      <c r="H296" s="546"/>
      <c r="I296" s="546"/>
      <c r="J296" s="546"/>
      <c r="K296" s="546"/>
      <c r="L296" s="546"/>
      <c r="M296" s="378"/>
    </row>
    <row r="297" spans="2:13" hidden="1">
      <c r="B297" s="375"/>
      <c r="C297" s="546"/>
      <c r="D297" s="546"/>
      <c r="E297" s="546"/>
      <c r="F297" s="546"/>
      <c r="G297" s="546"/>
      <c r="H297" s="546"/>
      <c r="I297" s="546"/>
      <c r="J297" s="546"/>
      <c r="K297" s="546"/>
      <c r="L297" s="546"/>
      <c r="M297" s="378"/>
    </row>
    <row r="298" spans="2:13" hidden="1">
      <c r="B298" s="375"/>
      <c r="C298" s="546"/>
      <c r="D298" s="546"/>
      <c r="E298" s="546"/>
      <c r="F298" s="546"/>
      <c r="G298" s="546"/>
      <c r="H298" s="546"/>
      <c r="I298" s="546"/>
      <c r="J298" s="546"/>
      <c r="K298" s="546"/>
      <c r="L298" s="546"/>
      <c r="M298" s="378"/>
    </row>
    <row r="299" spans="2:13" hidden="1">
      <c r="B299" s="375"/>
      <c r="C299" s="546"/>
      <c r="D299" s="546"/>
      <c r="E299" s="546"/>
      <c r="F299" s="546"/>
      <c r="G299" s="546"/>
      <c r="H299" s="546"/>
      <c r="I299" s="546"/>
      <c r="J299" s="546"/>
      <c r="K299" s="546"/>
      <c r="L299" s="546"/>
      <c r="M299" s="378"/>
    </row>
    <row r="300" spans="2:13" hidden="1">
      <c r="B300" s="375"/>
      <c r="C300" s="546"/>
      <c r="D300" s="546"/>
      <c r="E300" s="546"/>
      <c r="F300" s="546"/>
      <c r="G300" s="546"/>
      <c r="H300" s="546"/>
      <c r="I300" s="546"/>
      <c r="J300" s="546"/>
      <c r="K300" s="546"/>
      <c r="L300" s="546"/>
      <c r="M300" s="378"/>
    </row>
    <row r="301" spans="2:13" hidden="1">
      <c r="B301" s="375"/>
      <c r="C301" s="546"/>
      <c r="D301" s="546"/>
      <c r="E301" s="546"/>
      <c r="F301" s="546"/>
      <c r="G301" s="546"/>
      <c r="H301" s="546"/>
      <c r="I301" s="546"/>
      <c r="J301" s="546"/>
      <c r="K301" s="546"/>
      <c r="L301" s="546"/>
      <c r="M301" s="378"/>
    </row>
    <row r="302" spans="2:13" hidden="1">
      <c r="B302" s="375"/>
      <c r="C302" s="546"/>
      <c r="D302" s="546"/>
      <c r="E302" s="546"/>
      <c r="F302" s="546"/>
      <c r="G302" s="546"/>
      <c r="H302" s="546"/>
      <c r="I302" s="546"/>
      <c r="J302" s="546"/>
      <c r="K302" s="546"/>
      <c r="L302" s="546"/>
      <c r="M302" s="378"/>
    </row>
    <row r="303" spans="2:13" hidden="1">
      <c r="B303" s="375"/>
      <c r="C303" s="546"/>
      <c r="D303" s="546"/>
      <c r="E303" s="546"/>
      <c r="F303" s="546"/>
      <c r="G303" s="546"/>
      <c r="H303" s="546"/>
      <c r="I303" s="546"/>
      <c r="J303" s="546"/>
      <c r="K303" s="546"/>
      <c r="L303" s="546"/>
      <c r="M303" s="378"/>
    </row>
    <row r="304" spans="2:13" hidden="1">
      <c r="B304" s="375"/>
      <c r="C304" s="546"/>
      <c r="D304" s="546"/>
      <c r="E304" s="546"/>
      <c r="F304" s="546"/>
      <c r="G304" s="546"/>
      <c r="H304" s="546"/>
      <c r="I304" s="546"/>
      <c r="J304" s="546"/>
      <c r="K304" s="546"/>
      <c r="L304" s="546"/>
      <c r="M304" s="378"/>
    </row>
    <row r="305" spans="2:13" hidden="1">
      <c r="B305" s="375"/>
      <c r="C305" s="546"/>
      <c r="D305" s="546"/>
      <c r="E305" s="546"/>
      <c r="F305" s="546"/>
      <c r="G305" s="546"/>
      <c r="H305" s="546"/>
      <c r="I305" s="546"/>
      <c r="J305" s="546"/>
      <c r="K305" s="546"/>
      <c r="L305" s="546"/>
      <c r="M305" s="378"/>
    </row>
    <row r="306" spans="2:13" hidden="1">
      <c r="B306" s="375"/>
      <c r="C306" s="546"/>
      <c r="D306" s="546"/>
      <c r="E306" s="546"/>
      <c r="F306" s="546"/>
      <c r="G306" s="546"/>
      <c r="H306" s="546"/>
      <c r="I306" s="546"/>
      <c r="J306" s="546"/>
      <c r="K306" s="546"/>
      <c r="L306" s="546"/>
      <c r="M306" s="378"/>
    </row>
    <row r="307" spans="2:13" hidden="1">
      <c r="B307" s="375"/>
      <c r="C307" s="546"/>
      <c r="D307" s="546"/>
      <c r="E307" s="546"/>
      <c r="F307" s="546"/>
      <c r="G307" s="546"/>
      <c r="H307" s="546"/>
      <c r="I307" s="546"/>
      <c r="J307" s="546"/>
      <c r="K307" s="546"/>
      <c r="L307" s="546"/>
      <c r="M307" s="378"/>
    </row>
    <row r="308" spans="2:13" hidden="1">
      <c r="B308" s="375"/>
      <c r="C308" s="546"/>
      <c r="D308" s="546"/>
      <c r="E308" s="546"/>
      <c r="F308" s="546"/>
      <c r="G308" s="546"/>
      <c r="H308" s="546"/>
      <c r="I308" s="546"/>
      <c r="J308" s="546"/>
      <c r="K308" s="546"/>
      <c r="L308" s="546"/>
      <c r="M308" s="378"/>
    </row>
    <row r="309" spans="2:13" hidden="1">
      <c r="B309" s="375"/>
      <c r="C309" s="546"/>
      <c r="D309" s="546"/>
      <c r="E309" s="546"/>
      <c r="F309" s="546"/>
      <c r="G309" s="546"/>
      <c r="H309" s="546"/>
      <c r="I309" s="546"/>
      <c r="J309" s="546"/>
      <c r="K309" s="546"/>
      <c r="L309" s="546"/>
      <c r="M309" s="378"/>
    </row>
    <row r="310" spans="2:13" hidden="1">
      <c r="B310" s="375"/>
      <c r="C310" s="546"/>
      <c r="D310" s="546"/>
      <c r="E310" s="546"/>
      <c r="F310" s="546"/>
      <c r="G310" s="546"/>
      <c r="H310" s="546"/>
      <c r="I310" s="546"/>
      <c r="J310" s="546"/>
      <c r="K310" s="546"/>
      <c r="L310" s="546"/>
      <c r="M310" s="378"/>
    </row>
    <row r="311" spans="2:13" hidden="1">
      <c r="B311" s="375"/>
      <c r="C311" s="546"/>
      <c r="D311" s="546"/>
      <c r="E311" s="546"/>
      <c r="F311" s="546"/>
      <c r="G311" s="546"/>
      <c r="H311" s="546"/>
      <c r="I311" s="546"/>
      <c r="J311" s="546"/>
      <c r="K311" s="546"/>
      <c r="L311" s="546"/>
      <c r="M311" s="378"/>
    </row>
    <row r="312" spans="2:13" hidden="1">
      <c r="B312" s="375"/>
      <c r="C312" s="546"/>
      <c r="D312" s="546"/>
      <c r="E312" s="546"/>
      <c r="F312" s="546"/>
      <c r="G312" s="546"/>
      <c r="H312" s="546"/>
      <c r="I312" s="546"/>
      <c r="J312" s="546"/>
      <c r="K312" s="546"/>
      <c r="L312" s="546"/>
      <c r="M312" s="378"/>
    </row>
    <row r="313" spans="2:13" hidden="1">
      <c r="B313" s="375"/>
      <c r="C313" s="546"/>
      <c r="D313" s="546"/>
      <c r="E313" s="546"/>
      <c r="F313" s="546"/>
      <c r="G313" s="546"/>
      <c r="H313" s="546"/>
      <c r="I313" s="546"/>
      <c r="J313" s="546"/>
      <c r="K313" s="546"/>
      <c r="L313" s="546"/>
      <c r="M313" s="378"/>
    </row>
    <row r="314" spans="2:13" hidden="1">
      <c r="B314" s="375"/>
      <c r="C314" s="546"/>
      <c r="D314" s="546"/>
      <c r="E314" s="546"/>
      <c r="F314" s="546"/>
      <c r="G314" s="546"/>
      <c r="H314" s="546"/>
      <c r="I314" s="546"/>
      <c r="J314" s="546"/>
      <c r="K314" s="546"/>
      <c r="L314" s="546"/>
      <c r="M314" s="378"/>
    </row>
    <row r="315" spans="2:13" hidden="1">
      <c r="B315" s="375"/>
      <c r="C315" s="546"/>
      <c r="D315" s="546"/>
      <c r="E315" s="546"/>
      <c r="F315" s="546"/>
      <c r="G315" s="546"/>
      <c r="H315" s="546"/>
      <c r="I315" s="546"/>
      <c r="J315" s="546"/>
      <c r="K315" s="546"/>
      <c r="L315" s="546"/>
      <c r="M315" s="378"/>
    </row>
    <row r="316" spans="2:13" hidden="1">
      <c r="B316" s="375"/>
      <c r="C316" s="546"/>
      <c r="D316" s="546"/>
      <c r="E316" s="546"/>
      <c r="F316" s="546"/>
      <c r="G316" s="546"/>
      <c r="H316" s="546"/>
      <c r="I316" s="546"/>
      <c r="J316" s="546"/>
      <c r="K316" s="546"/>
      <c r="L316" s="546"/>
      <c r="M316" s="378"/>
    </row>
    <row r="317" spans="2:13" hidden="1">
      <c r="B317" s="375"/>
      <c r="C317" s="546"/>
      <c r="D317" s="546"/>
      <c r="E317" s="546"/>
      <c r="F317" s="546"/>
      <c r="G317" s="546"/>
      <c r="H317" s="546"/>
      <c r="I317" s="546"/>
      <c r="J317" s="546"/>
      <c r="K317" s="546"/>
      <c r="L317" s="546"/>
      <c r="M317" s="378"/>
    </row>
    <row r="318" spans="2:13" hidden="1">
      <c r="B318" s="375"/>
      <c r="C318" s="546"/>
      <c r="D318" s="546"/>
      <c r="E318" s="546"/>
      <c r="F318" s="546"/>
      <c r="G318" s="546"/>
      <c r="H318" s="546"/>
      <c r="I318" s="546"/>
      <c r="J318" s="546"/>
      <c r="K318" s="546"/>
      <c r="L318" s="546"/>
      <c r="M318" s="378"/>
    </row>
    <row r="319" spans="2:13" hidden="1">
      <c r="B319" s="375"/>
      <c r="C319" s="546"/>
      <c r="D319" s="546"/>
      <c r="E319" s="546"/>
      <c r="F319" s="546"/>
      <c r="G319" s="546"/>
      <c r="H319" s="546"/>
      <c r="I319" s="546"/>
      <c r="J319" s="546"/>
      <c r="K319" s="546"/>
      <c r="L319" s="546"/>
      <c r="M319" s="378"/>
    </row>
    <row r="320" spans="2:13" hidden="1">
      <c r="B320" s="375"/>
      <c r="C320" s="546"/>
      <c r="D320" s="546"/>
      <c r="E320" s="546"/>
      <c r="F320" s="546"/>
      <c r="G320" s="546"/>
      <c r="H320" s="546"/>
      <c r="I320" s="546"/>
      <c r="J320" s="546"/>
      <c r="K320" s="546"/>
      <c r="L320" s="546"/>
      <c r="M320" s="378"/>
    </row>
    <row r="321" spans="2:13" hidden="1">
      <c r="B321" s="375"/>
      <c r="C321" s="546"/>
      <c r="D321" s="546"/>
      <c r="E321" s="546"/>
      <c r="F321" s="546"/>
      <c r="G321" s="546"/>
      <c r="H321" s="546"/>
      <c r="I321" s="546"/>
      <c r="J321" s="546"/>
      <c r="K321" s="546"/>
      <c r="L321" s="546"/>
      <c r="M321" s="378"/>
    </row>
    <row r="322" spans="2:13" hidden="1">
      <c r="B322" s="375"/>
      <c r="C322" s="546"/>
      <c r="D322" s="546"/>
      <c r="E322" s="546"/>
      <c r="F322" s="546"/>
      <c r="G322" s="546"/>
      <c r="H322" s="546"/>
      <c r="I322" s="546"/>
      <c r="J322" s="546"/>
      <c r="K322" s="546"/>
      <c r="L322" s="546"/>
      <c r="M322" s="378"/>
    </row>
    <row r="323" spans="2:13" hidden="1">
      <c r="B323" s="375"/>
      <c r="C323" s="546"/>
      <c r="D323" s="546"/>
      <c r="E323" s="546"/>
      <c r="F323" s="546"/>
      <c r="G323" s="546"/>
      <c r="H323" s="546"/>
      <c r="I323" s="546"/>
      <c r="J323" s="546"/>
      <c r="K323" s="546"/>
      <c r="L323" s="546"/>
      <c r="M323" s="378"/>
    </row>
    <row r="324" spans="2:13" hidden="1">
      <c r="B324" s="375"/>
      <c r="C324" s="546"/>
      <c r="D324" s="546"/>
      <c r="E324" s="546"/>
      <c r="F324" s="546"/>
      <c r="G324" s="546"/>
      <c r="H324" s="546"/>
      <c r="I324" s="546"/>
      <c r="J324" s="546"/>
      <c r="K324" s="546"/>
      <c r="L324" s="546"/>
      <c r="M324" s="378"/>
    </row>
    <row r="325" spans="2:13" hidden="1">
      <c r="B325" s="375"/>
      <c r="C325" s="546"/>
      <c r="D325" s="546"/>
      <c r="E325" s="546"/>
      <c r="F325" s="546"/>
      <c r="G325" s="546"/>
      <c r="H325" s="546"/>
      <c r="I325" s="546"/>
      <c r="J325" s="546"/>
      <c r="K325" s="546"/>
      <c r="L325" s="546"/>
      <c r="M325" s="378"/>
    </row>
    <row r="326" spans="2:13" hidden="1">
      <c r="B326" s="375"/>
      <c r="C326" s="546"/>
      <c r="D326" s="546"/>
      <c r="E326" s="546"/>
      <c r="F326" s="546"/>
      <c r="G326" s="546"/>
      <c r="H326" s="546"/>
      <c r="I326" s="546"/>
      <c r="J326" s="546"/>
      <c r="K326" s="546"/>
      <c r="L326" s="546"/>
      <c r="M326" s="378"/>
    </row>
    <row r="327" spans="2:13" hidden="1">
      <c r="B327" s="375"/>
      <c r="C327" s="546"/>
      <c r="D327" s="546"/>
      <c r="E327" s="546"/>
      <c r="F327" s="546"/>
      <c r="G327" s="546"/>
      <c r="H327" s="546"/>
      <c r="I327" s="546"/>
      <c r="J327" s="546"/>
      <c r="K327" s="546"/>
      <c r="L327" s="546"/>
      <c r="M327" s="378"/>
    </row>
    <row r="328" spans="2:13" hidden="1">
      <c r="B328" s="375"/>
      <c r="C328" s="546"/>
      <c r="D328" s="546"/>
      <c r="E328" s="546"/>
      <c r="F328" s="546"/>
      <c r="G328" s="546"/>
      <c r="H328" s="546"/>
      <c r="I328" s="546"/>
      <c r="J328" s="546"/>
      <c r="K328" s="546"/>
      <c r="L328" s="546"/>
      <c r="M328" s="378"/>
    </row>
    <row r="329" spans="2:13" hidden="1">
      <c r="B329" s="375"/>
      <c r="C329" s="546"/>
      <c r="D329" s="546"/>
      <c r="E329" s="546"/>
      <c r="F329" s="546"/>
      <c r="G329" s="546"/>
      <c r="H329" s="546"/>
      <c r="I329" s="546"/>
      <c r="J329" s="546"/>
      <c r="K329" s="546"/>
      <c r="L329" s="546"/>
      <c r="M329" s="378"/>
    </row>
    <row r="330" spans="2:13" hidden="1">
      <c r="B330" s="375"/>
      <c r="C330" s="546"/>
      <c r="D330" s="546"/>
      <c r="E330" s="546"/>
      <c r="F330" s="546"/>
      <c r="G330" s="546"/>
      <c r="H330" s="546"/>
      <c r="I330" s="546"/>
      <c r="J330" s="546"/>
      <c r="K330" s="546"/>
      <c r="L330" s="546"/>
      <c r="M330" s="378"/>
    </row>
    <row r="331" spans="2:13" hidden="1">
      <c r="B331" s="375"/>
      <c r="C331" s="546"/>
      <c r="D331" s="546"/>
      <c r="E331" s="546"/>
      <c r="F331" s="546"/>
      <c r="G331" s="546"/>
      <c r="H331" s="546"/>
      <c r="I331" s="546"/>
      <c r="J331" s="546"/>
      <c r="K331" s="546"/>
      <c r="L331" s="546"/>
      <c r="M331" s="378"/>
    </row>
    <row r="332" spans="2:13" hidden="1">
      <c r="B332" s="375"/>
      <c r="C332" s="546"/>
      <c r="D332" s="546"/>
      <c r="E332" s="546"/>
      <c r="F332" s="546"/>
      <c r="G332" s="546"/>
      <c r="H332" s="546"/>
      <c r="I332" s="546"/>
      <c r="J332" s="546"/>
      <c r="K332" s="546"/>
      <c r="L332" s="546"/>
      <c r="M332" s="378"/>
    </row>
    <row r="333" spans="2:13" hidden="1">
      <c r="B333" s="375"/>
      <c r="C333" s="546"/>
      <c r="D333" s="546"/>
      <c r="E333" s="546"/>
      <c r="F333" s="546"/>
      <c r="G333" s="546"/>
      <c r="H333" s="546"/>
      <c r="I333" s="546"/>
      <c r="J333" s="546"/>
      <c r="K333" s="546"/>
      <c r="L333" s="546"/>
      <c r="M333" s="378"/>
    </row>
    <row r="334" spans="2:13" hidden="1">
      <c r="B334" s="375"/>
      <c r="C334" s="546"/>
      <c r="D334" s="546"/>
      <c r="E334" s="546"/>
      <c r="F334" s="546"/>
      <c r="G334" s="546"/>
      <c r="H334" s="546"/>
      <c r="I334" s="546"/>
      <c r="J334" s="546"/>
      <c r="K334" s="546"/>
      <c r="L334" s="546"/>
      <c r="M334" s="378"/>
    </row>
    <row r="335" spans="2:13" hidden="1">
      <c r="B335" s="375"/>
      <c r="C335" s="546"/>
      <c r="D335" s="546"/>
      <c r="E335" s="546"/>
      <c r="F335" s="546"/>
      <c r="G335" s="546"/>
      <c r="H335" s="546"/>
      <c r="I335" s="546"/>
      <c r="J335" s="546"/>
      <c r="K335" s="546"/>
      <c r="L335" s="546"/>
      <c r="M335" s="378"/>
    </row>
    <row r="336" spans="2:13" hidden="1">
      <c r="B336" s="375"/>
      <c r="C336" s="546"/>
      <c r="D336" s="546"/>
      <c r="E336" s="546"/>
      <c r="F336" s="546"/>
      <c r="G336" s="546"/>
      <c r="H336" s="546"/>
      <c r="I336" s="546"/>
      <c r="J336" s="546"/>
      <c r="K336" s="546"/>
      <c r="L336" s="546"/>
      <c r="M336" s="378"/>
    </row>
    <row r="337" spans="2:13" hidden="1">
      <c r="B337" s="375"/>
      <c r="C337" s="546"/>
      <c r="D337" s="546"/>
      <c r="E337" s="546"/>
      <c r="F337" s="546"/>
      <c r="G337" s="546"/>
      <c r="H337" s="546"/>
      <c r="I337" s="546"/>
      <c r="J337" s="546"/>
      <c r="K337" s="546"/>
      <c r="L337" s="546"/>
      <c r="M337" s="378"/>
    </row>
    <row r="338" spans="2:13" hidden="1">
      <c r="B338" s="375"/>
      <c r="C338" s="546"/>
      <c r="D338" s="546"/>
      <c r="E338" s="546"/>
      <c r="F338" s="546"/>
      <c r="G338" s="546"/>
      <c r="H338" s="546"/>
      <c r="I338" s="546"/>
      <c r="J338" s="546"/>
      <c r="K338" s="546"/>
      <c r="L338" s="546"/>
      <c r="M338" s="378"/>
    </row>
    <row r="339" spans="2:13" hidden="1">
      <c r="B339" s="375"/>
      <c r="C339" s="546"/>
      <c r="D339" s="546"/>
      <c r="E339" s="546"/>
      <c r="F339" s="546"/>
      <c r="G339" s="546"/>
      <c r="H339" s="546"/>
      <c r="I339" s="546"/>
      <c r="J339" s="546"/>
      <c r="K339" s="546"/>
      <c r="L339" s="546"/>
      <c r="M339" s="378"/>
    </row>
    <row r="340" spans="2:13" hidden="1">
      <c r="B340" s="375"/>
      <c r="C340" s="546"/>
      <c r="D340" s="546"/>
      <c r="E340" s="546"/>
      <c r="F340" s="546"/>
      <c r="G340" s="546"/>
      <c r="H340" s="546"/>
      <c r="I340" s="546"/>
      <c r="J340" s="546"/>
      <c r="K340" s="546"/>
      <c r="L340" s="546"/>
      <c r="M340" s="378"/>
    </row>
    <row r="341" spans="2:13" hidden="1">
      <c r="B341" s="375"/>
      <c r="C341" s="546"/>
      <c r="D341" s="546"/>
      <c r="E341" s="546"/>
      <c r="F341" s="546"/>
      <c r="G341" s="546"/>
      <c r="H341" s="546"/>
      <c r="I341" s="546"/>
      <c r="J341" s="546"/>
      <c r="K341" s="546"/>
      <c r="L341" s="546"/>
      <c r="M341" s="378"/>
    </row>
    <row r="342" spans="2:13" hidden="1">
      <c r="B342" s="375"/>
      <c r="C342" s="546"/>
      <c r="D342" s="546"/>
      <c r="E342" s="546"/>
      <c r="F342" s="546"/>
      <c r="G342" s="546"/>
      <c r="H342" s="546"/>
      <c r="I342" s="546"/>
      <c r="J342" s="546"/>
      <c r="K342" s="546"/>
      <c r="L342" s="546"/>
      <c r="M342" s="378"/>
    </row>
    <row r="343" spans="2:13" hidden="1">
      <c r="B343" s="375"/>
      <c r="C343" s="546"/>
      <c r="D343" s="546"/>
      <c r="E343" s="546"/>
      <c r="F343" s="546"/>
      <c r="G343" s="546"/>
      <c r="H343" s="546"/>
      <c r="I343" s="546"/>
      <c r="J343" s="546"/>
      <c r="K343" s="546"/>
      <c r="L343" s="546"/>
      <c r="M343" s="378"/>
    </row>
    <row r="344" spans="2:13" hidden="1">
      <c r="B344" s="375"/>
      <c r="C344" s="546"/>
      <c r="D344" s="546"/>
      <c r="E344" s="546"/>
      <c r="F344" s="546"/>
      <c r="G344" s="546"/>
      <c r="H344" s="546"/>
      <c r="I344" s="546"/>
      <c r="J344" s="546"/>
      <c r="K344" s="546"/>
      <c r="L344" s="546"/>
      <c r="M344" s="378"/>
    </row>
    <row r="345" spans="2:13" hidden="1">
      <c r="B345" s="375"/>
      <c r="C345" s="546"/>
      <c r="D345" s="546"/>
      <c r="E345" s="546"/>
      <c r="F345" s="546"/>
      <c r="G345" s="546"/>
      <c r="H345" s="546"/>
      <c r="I345" s="546"/>
      <c r="J345" s="546"/>
      <c r="K345" s="546"/>
      <c r="L345" s="546"/>
      <c r="M345" s="378"/>
    </row>
    <row r="346" spans="2:13" hidden="1">
      <c r="B346" s="375"/>
      <c r="C346" s="546"/>
      <c r="D346" s="546"/>
      <c r="E346" s="546"/>
      <c r="F346" s="546"/>
      <c r="G346" s="546"/>
      <c r="H346" s="546"/>
      <c r="I346" s="546"/>
      <c r="J346" s="546"/>
      <c r="K346" s="546"/>
      <c r="L346" s="546"/>
      <c r="M346" s="378"/>
    </row>
    <row r="347" spans="2:13" hidden="1">
      <c r="B347" s="375"/>
      <c r="C347" s="546"/>
      <c r="D347" s="546"/>
      <c r="E347" s="546"/>
      <c r="F347" s="546"/>
      <c r="G347" s="546"/>
      <c r="H347" s="546"/>
      <c r="I347" s="546"/>
      <c r="J347" s="546"/>
      <c r="K347" s="546"/>
      <c r="L347" s="546"/>
      <c r="M347" s="378"/>
    </row>
    <row r="348" spans="2:13" hidden="1">
      <c r="B348" s="375"/>
      <c r="C348" s="546"/>
      <c r="D348" s="546"/>
      <c r="E348" s="546"/>
      <c r="F348" s="546"/>
      <c r="G348" s="546"/>
      <c r="H348" s="546"/>
      <c r="I348" s="546"/>
      <c r="J348" s="546"/>
      <c r="K348" s="546"/>
      <c r="L348" s="546"/>
      <c r="M348" s="378"/>
    </row>
    <row r="349" spans="2:13" hidden="1">
      <c r="B349" s="375"/>
      <c r="C349" s="546"/>
      <c r="D349" s="546"/>
      <c r="E349" s="546"/>
      <c r="F349" s="546"/>
      <c r="G349" s="546"/>
      <c r="H349" s="546"/>
      <c r="I349" s="546"/>
      <c r="J349" s="546"/>
      <c r="K349" s="546"/>
      <c r="L349" s="546"/>
      <c r="M349" s="378"/>
    </row>
    <row r="350" spans="2:13" hidden="1">
      <c r="B350" s="375"/>
      <c r="C350" s="546"/>
      <c r="D350" s="546"/>
      <c r="E350" s="546"/>
      <c r="F350" s="546"/>
      <c r="G350" s="546"/>
      <c r="H350" s="546"/>
      <c r="I350" s="546"/>
      <c r="J350" s="546"/>
      <c r="K350" s="546"/>
      <c r="L350" s="546"/>
      <c r="M350" s="378"/>
    </row>
    <row r="351" spans="2:13" hidden="1">
      <c r="B351" s="375"/>
      <c r="C351" s="546"/>
      <c r="D351" s="546"/>
      <c r="E351" s="546"/>
      <c r="F351" s="546"/>
      <c r="G351" s="546"/>
      <c r="H351" s="546"/>
      <c r="I351" s="546"/>
      <c r="J351" s="546"/>
      <c r="K351" s="546"/>
      <c r="L351" s="546"/>
      <c r="M351" s="378"/>
    </row>
    <row r="352" spans="2:13" hidden="1">
      <c r="B352" s="375"/>
      <c r="C352" s="546"/>
      <c r="D352" s="546"/>
      <c r="E352" s="546"/>
      <c r="F352" s="546"/>
      <c r="G352" s="546"/>
      <c r="H352" s="546"/>
      <c r="I352" s="546"/>
      <c r="J352" s="546"/>
      <c r="K352" s="546"/>
      <c r="L352" s="546"/>
      <c r="M352" s="378"/>
    </row>
    <row r="353" spans="2:13" hidden="1">
      <c r="B353" s="375"/>
      <c r="C353" s="546"/>
      <c r="D353" s="546"/>
      <c r="E353" s="546"/>
      <c r="F353" s="546"/>
      <c r="G353" s="546"/>
      <c r="H353" s="546"/>
      <c r="I353" s="546"/>
      <c r="J353" s="546"/>
      <c r="K353" s="546"/>
      <c r="L353" s="546"/>
      <c r="M353" s="378"/>
    </row>
    <row r="354" spans="2:13" hidden="1">
      <c r="B354" s="375"/>
      <c r="C354" s="546"/>
      <c r="D354" s="546"/>
      <c r="E354" s="546"/>
      <c r="F354" s="546"/>
      <c r="G354" s="546"/>
      <c r="H354" s="546"/>
      <c r="I354" s="546"/>
      <c r="J354" s="546"/>
      <c r="K354" s="546"/>
      <c r="L354" s="546"/>
      <c r="M354" s="378"/>
    </row>
    <row r="355" spans="2:13" hidden="1">
      <c r="B355" s="375"/>
      <c r="C355" s="546"/>
      <c r="D355" s="546"/>
      <c r="E355" s="546"/>
      <c r="F355" s="546"/>
      <c r="G355" s="546"/>
      <c r="H355" s="546"/>
      <c r="I355" s="546"/>
      <c r="J355" s="546"/>
      <c r="K355" s="546"/>
      <c r="L355" s="546"/>
      <c r="M355" s="378"/>
    </row>
    <row r="356" spans="2:13" hidden="1">
      <c r="B356" s="375"/>
      <c r="C356" s="546"/>
      <c r="D356" s="546"/>
      <c r="E356" s="546"/>
      <c r="F356" s="546"/>
      <c r="G356" s="546"/>
      <c r="H356" s="546"/>
      <c r="I356" s="546"/>
      <c r="J356" s="546"/>
      <c r="K356" s="546"/>
      <c r="L356" s="546"/>
      <c r="M356" s="378"/>
    </row>
    <row r="357" spans="2:13" hidden="1">
      <c r="B357" s="375"/>
      <c r="C357" s="546"/>
      <c r="D357" s="546"/>
      <c r="E357" s="546"/>
      <c r="F357" s="546"/>
      <c r="G357" s="546"/>
      <c r="H357" s="546"/>
      <c r="I357" s="546"/>
      <c r="J357" s="546"/>
      <c r="K357" s="546"/>
      <c r="L357" s="546"/>
      <c r="M357" s="378"/>
    </row>
    <row r="358" spans="2:13" hidden="1">
      <c r="B358" s="375"/>
      <c r="C358" s="546"/>
      <c r="D358" s="546"/>
      <c r="E358" s="546"/>
      <c r="F358" s="546"/>
      <c r="G358" s="546"/>
      <c r="H358" s="546"/>
      <c r="I358" s="546"/>
      <c r="J358" s="546"/>
      <c r="K358" s="546"/>
      <c r="L358" s="546"/>
      <c r="M358" s="378"/>
    </row>
    <row r="359" spans="2:13" hidden="1">
      <c r="B359" s="375"/>
      <c r="C359" s="546"/>
      <c r="D359" s="546"/>
      <c r="E359" s="546"/>
      <c r="F359" s="546"/>
      <c r="G359" s="546"/>
      <c r="H359" s="546"/>
      <c r="I359" s="546"/>
      <c r="J359" s="546"/>
      <c r="K359" s="546"/>
      <c r="L359" s="546"/>
      <c r="M359" s="378"/>
    </row>
    <row r="360" spans="2:13" hidden="1">
      <c r="B360" s="375"/>
      <c r="C360" s="546"/>
      <c r="D360" s="546"/>
      <c r="E360" s="546"/>
      <c r="F360" s="546"/>
      <c r="G360" s="546"/>
      <c r="H360" s="546"/>
      <c r="I360" s="546"/>
      <c r="J360" s="546"/>
      <c r="K360" s="546"/>
      <c r="L360" s="546"/>
      <c r="M360" s="378"/>
    </row>
    <row r="361" spans="2:13" hidden="1">
      <c r="B361" s="375"/>
      <c r="C361" s="546"/>
      <c r="D361" s="546"/>
      <c r="E361" s="546"/>
      <c r="F361" s="546"/>
      <c r="G361" s="546"/>
      <c r="H361" s="546"/>
      <c r="I361" s="546"/>
      <c r="J361" s="546"/>
      <c r="K361" s="546"/>
      <c r="L361" s="546"/>
      <c r="M361" s="378"/>
    </row>
    <row r="362" spans="2:13" hidden="1">
      <c r="B362" s="375"/>
      <c r="C362" s="546"/>
      <c r="D362" s="546"/>
      <c r="E362" s="546"/>
      <c r="F362" s="546"/>
      <c r="G362" s="546"/>
      <c r="H362" s="546"/>
      <c r="I362" s="546"/>
      <c r="J362" s="546"/>
      <c r="K362" s="546"/>
      <c r="L362" s="546"/>
      <c r="M362" s="378"/>
    </row>
    <row r="363" spans="2:13" hidden="1">
      <c r="B363" s="375"/>
      <c r="C363" s="546"/>
      <c r="D363" s="546"/>
      <c r="E363" s="546"/>
      <c r="F363" s="546"/>
      <c r="G363" s="546"/>
      <c r="H363" s="546"/>
      <c r="I363" s="546"/>
      <c r="J363" s="546"/>
      <c r="K363" s="546"/>
      <c r="L363" s="546"/>
      <c r="M363" s="378"/>
    </row>
    <row r="364" spans="2:13" hidden="1">
      <c r="B364" s="375"/>
      <c r="C364" s="546"/>
      <c r="D364" s="546"/>
      <c r="E364" s="546"/>
      <c r="F364" s="546"/>
      <c r="G364" s="546"/>
      <c r="H364" s="546"/>
      <c r="I364" s="546"/>
      <c r="J364" s="546"/>
      <c r="K364" s="546"/>
      <c r="L364" s="546"/>
      <c r="M364" s="378"/>
    </row>
    <row r="365" spans="2:13" hidden="1">
      <c r="B365" s="375"/>
      <c r="C365" s="546"/>
      <c r="D365" s="546"/>
      <c r="E365" s="546"/>
      <c r="F365" s="546"/>
      <c r="G365" s="546"/>
      <c r="H365" s="546"/>
      <c r="I365" s="546"/>
      <c r="J365" s="546"/>
      <c r="K365" s="546"/>
      <c r="L365" s="546"/>
      <c r="M365" s="378"/>
    </row>
    <row r="366" spans="2:13" hidden="1">
      <c r="B366" s="375"/>
      <c r="C366" s="546"/>
      <c r="D366" s="546"/>
      <c r="E366" s="546"/>
      <c r="F366" s="546"/>
      <c r="G366" s="546"/>
      <c r="H366" s="546"/>
      <c r="I366" s="546"/>
      <c r="J366" s="546"/>
      <c r="K366" s="546"/>
      <c r="L366" s="546"/>
      <c r="M366" s="378"/>
    </row>
    <row r="367" spans="2:13" hidden="1">
      <c r="B367" s="375"/>
      <c r="C367" s="546"/>
      <c r="D367" s="546"/>
      <c r="E367" s="546"/>
      <c r="F367" s="546"/>
      <c r="G367" s="546"/>
      <c r="H367" s="546"/>
      <c r="I367" s="546"/>
      <c r="J367" s="546"/>
      <c r="K367" s="546"/>
      <c r="L367" s="546"/>
      <c r="M367" s="378"/>
    </row>
    <row r="368" spans="2:13" hidden="1">
      <c r="B368" s="375"/>
      <c r="C368" s="546"/>
      <c r="D368" s="546"/>
      <c r="E368" s="546"/>
      <c r="F368" s="546"/>
      <c r="G368" s="546"/>
      <c r="H368" s="546"/>
      <c r="I368" s="546"/>
      <c r="J368" s="546"/>
      <c r="K368" s="546"/>
      <c r="L368" s="546"/>
      <c r="M368" s="378"/>
    </row>
    <row r="369" spans="2:13" hidden="1">
      <c r="B369" s="375"/>
      <c r="C369" s="546"/>
      <c r="D369" s="546"/>
      <c r="E369" s="546"/>
      <c r="F369" s="546"/>
      <c r="G369" s="546"/>
      <c r="H369" s="546"/>
      <c r="I369" s="546"/>
      <c r="J369" s="546"/>
      <c r="K369" s="546"/>
      <c r="L369" s="546"/>
      <c r="M369" s="378"/>
    </row>
    <row r="370" spans="2:13" hidden="1">
      <c r="B370" s="375"/>
      <c r="C370" s="546"/>
      <c r="D370" s="546"/>
      <c r="E370" s="546"/>
      <c r="F370" s="546"/>
      <c r="G370" s="546"/>
      <c r="H370" s="546"/>
      <c r="I370" s="546"/>
      <c r="J370" s="546"/>
      <c r="K370" s="546"/>
      <c r="L370" s="546"/>
      <c r="M370" s="378"/>
    </row>
    <row r="371" spans="2:13" hidden="1">
      <c r="B371" s="375"/>
      <c r="C371" s="546"/>
      <c r="D371" s="546"/>
      <c r="E371" s="546"/>
      <c r="F371" s="546"/>
      <c r="G371" s="546"/>
      <c r="H371" s="546"/>
      <c r="I371" s="546"/>
      <c r="J371" s="546"/>
      <c r="K371" s="546"/>
      <c r="L371" s="546"/>
      <c r="M371" s="378"/>
    </row>
    <row r="372" spans="2:13" hidden="1">
      <c r="B372" s="375"/>
      <c r="C372" s="546"/>
      <c r="D372" s="546"/>
      <c r="E372" s="546"/>
      <c r="F372" s="546"/>
      <c r="G372" s="546"/>
      <c r="H372" s="546"/>
      <c r="I372" s="546"/>
      <c r="J372" s="546"/>
      <c r="K372" s="546"/>
      <c r="L372" s="546"/>
      <c r="M372" s="378"/>
    </row>
    <row r="373" spans="2:13" hidden="1">
      <c r="B373" s="375"/>
      <c r="C373" s="546"/>
      <c r="D373" s="546"/>
      <c r="E373" s="546"/>
      <c r="F373" s="546"/>
      <c r="G373" s="546"/>
      <c r="H373" s="546"/>
      <c r="I373" s="546"/>
      <c r="J373" s="546"/>
      <c r="K373" s="546"/>
      <c r="L373" s="546"/>
      <c r="M373" s="378"/>
    </row>
    <row r="374" spans="2:13" hidden="1">
      <c r="B374" s="375"/>
      <c r="C374" s="546"/>
      <c r="D374" s="546"/>
      <c r="E374" s="546"/>
      <c r="F374" s="546"/>
      <c r="G374" s="546"/>
      <c r="H374" s="546"/>
      <c r="I374" s="546"/>
      <c r="J374" s="546"/>
      <c r="K374" s="546"/>
      <c r="L374" s="546"/>
      <c r="M374" s="378"/>
    </row>
    <row r="375" spans="2:13" hidden="1">
      <c r="B375" s="375"/>
      <c r="C375" s="546"/>
      <c r="D375" s="546"/>
      <c r="E375" s="546"/>
      <c r="F375" s="546"/>
      <c r="G375" s="546"/>
      <c r="H375" s="546"/>
      <c r="I375" s="546"/>
      <c r="J375" s="546"/>
      <c r="K375" s="546"/>
      <c r="L375" s="546"/>
      <c r="M375" s="378"/>
    </row>
    <row r="376" spans="2:13" hidden="1">
      <c r="B376" s="375"/>
      <c r="C376" s="546"/>
      <c r="D376" s="546"/>
      <c r="E376" s="546"/>
      <c r="F376" s="546"/>
      <c r="G376" s="546"/>
      <c r="H376" s="546"/>
      <c r="I376" s="546"/>
      <c r="J376" s="546"/>
      <c r="K376" s="546"/>
      <c r="L376" s="546"/>
      <c r="M376" s="378"/>
    </row>
    <row r="377" spans="2:13" hidden="1">
      <c r="B377" s="375"/>
      <c r="C377" s="546"/>
      <c r="D377" s="546"/>
      <c r="E377" s="546"/>
      <c r="F377" s="546"/>
      <c r="G377" s="546"/>
      <c r="H377" s="546"/>
      <c r="I377" s="546"/>
      <c r="J377" s="546"/>
      <c r="K377" s="546"/>
      <c r="L377" s="546"/>
      <c r="M377" s="378"/>
    </row>
    <row r="378" spans="2:13" hidden="1">
      <c r="B378" s="375"/>
      <c r="C378" s="546"/>
      <c r="D378" s="546"/>
      <c r="E378" s="546"/>
      <c r="F378" s="546"/>
      <c r="G378" s="546"/>
      <c r="H378" s="546"/>
      <c r="I378" s="546"/>
      <c r="J378" s="546"/>
      <c r="K378" s="546"/>
      <c r="L378" s="546"/>
      <c r="M378" s="378"/>
    </row>
    <row r="379" spans="2:13" hidden="1">
      <c r="B379" s="375"/>
      <c r="C379" s="546"/>
      <c r="D379" s="546"/>
      <c r="E379" s="546"/>
      <c r="F379" s="546"/>
      <c r="G379" s="546"/>
      <c r="H379" s="546"/>
      <c r="I379" s="546"/>
      <c r="J379" s="546"/>
      <c r="K379" s="546"/>
      <c r="L379" s="546"/>
      <c r="M379" s="378"/>
    </row>
    <row r="380" spans="2:13" hidden="1">
      <c r="B380" s="375"/>
      <c r="C380" s="546"/>
      <c r="D380" s="546"/>
      <c r="E380" s="546"/>
      <c r="F380" s="546"/>
      <c r="G380" s="546"/>
      <c r="H380" s="546"/>
      <c r="I380" s="546"/>
      <c r="J380" s="546"/>
      <c r="K380" s="546"/>
      <c r="L380" s="546"/>
      <c r="M380" s="378"/>
    </row>
    <row r="381" spans="2:13" hidden="1">
      <c r="B381" s="375"/>
      <c r="C381" s="546"/>
      <c r="D381" s="546"/>
      <c r="E381" s="546"/>
      <c r="F381" s="546"/>
      <c r="G381" s="546"/>
      <c r="H381" s="546"/>
      <c r="I381" s="546"/>
      <c r="J381" s="546"/>
      <c r="K381" s="546"/>
      <c r="L381" s="546"/>
      <c r="M381" s="378"/>
    </row>
    <row r="382" spans="2:13" hidden="1">
      <c r="B382" s="375"/>
      <c r="C382" s="546"/>
      <c r="D382" s="546"/>
      <c r="E382" s="546"/>
      <c r="F382" s="546"/>
      <c r="G382" s="546"/>
      <c r="H382" s="546"/>
      <c r="I382" s="546"/>
      <c r="J382" s="546"/>
      <c r="K382" s="546"/>
      <c r="L382" s="546"/>
      <c r="M382" s="378"/>
    </row>
    <row r="383" spans="2:13" hidden="1">
      <c r="B383" s="375"/>
      <c r="C383" s="546"/>
      <c r="D383" s="546"/>
      <c r="E383" s="546"/>
      <c r="F383" s="546"/>
      <c r="G383" s="546"/>
      <c r="H383" s="546"/>
      <c r="I383" s="546"/>
      <c r="J383" s="546"/>
      <c r="K383" s="546"/>
      <c r="L383" s="546"/>
      <c r="M383" s="378"/>
    </row>
    <row r="384" spans="2:13" hidden="1">
      <c r="B384" s="375"/>
      <c r="C384" s="546"/>
      <c r="D384" s="546"/>
      <c r="E384" s="546"/>
      <c r="F384" s="546"/>
      <c r="G384" s="546"/>
      <c r="H384" s="546"/>
      <c r="I384" s="546"/>
      <c r="J384" s="546"/>
      <c r="K384" s="546"/>
      <c r="L384" s="546"/>
      <c r="M384" s="378"/>
    </row>
    <row r="385" spans="2:13" hidden="1">
      <c r="B385" s="375"/>
      <c r="C385" s="546"/>
      <c r="D385" s="546"/>
      <c r="E385" s="546"/>
      <c r="F385" s="546"/>
      <c r="G385" s="546"/>
      <c r="H385" s="546"/>
      <c r="I385" s="546"/>
      <c r="J385" s="546"/>
      <c r="K385" s="546"/>
      <c r="L385" s="546"/>
      <c r="M385" s="378"/>
    </row>
    <row r="386" spans="2:13" hidden="1">
      <c r="B386" s="375"/>
      <c r="C386" s="546"/>
      <c r="D386" s="546"/>
      <c r="E386" s="546"/>
      <c r="F386" s="546"/>
      <c r="G386" s="546"/>
      <c r="H386" s="546"/>
      <c r="I386" s="546"/>
      <c r="J386" s="546"/>
      <c r="K386" s="546"/>
      <c r="L386" s="546"/>
      <c r="M386" s="378"/>
    </row>
    <row r="387" spans="2:13" hidden="1">
      <c r="B387" s="375"/>
      <c r="C387" s="546"/>
      <c r="D387" s="546"/>
      <c r="E387" s="546"/>
      <c r="F387" s="546"/>
      <c r="G387" s="546"/>
      <c r="H387" s="546"/>
      <c r="I387" s="546"/>
      <c r="J387" s="546"/>
      <c r="K387" s="546"/>
      <c r="L387" s="546"/>
      <c r="M387" s="378"/>
    </row>
    <row r="388" spans="2:13" hidden="1">
      <c r="B388" s="375"/>
      <c r="C388" s="546"/>
      <c r="D388" s="546"/>
      <c r="E388" s="546"/>
      <c r="F388" s="546"/>
      <c r="G388" s="546"/>
      <c r="H388" s="546"/>
      <c r="I388" s="546"/>
      <c r="J388" s="546"/>
      <c r="K388" s="546"/>
      <c r="L388" s="546"/>
      <c r="M388" s="378"/>
    </row>
    <row r="389" spans="2:13" hidden="1">
      <c r="B389" s="375"/>
      <c r="C389" s="546"/>
      <c r="D389" s="546"/>
      <c r="E389" s="546"/>
      <c r="F389" s="546"/>
      <c r="G389" s="546"/>
      <c r="H389" s="546"/>
      <c r="I389" s="546"/>
      <c r="J389" s="546"/>
      <c r="K389" s="546"/>
      <c r="L389" s="546"/>
      <c r="M389" s="378"/>
    </row>
    <row r="390" spans="2:13" hidden="1">
      <c r="B390" s="375"/>
      <c r="C390" s="546"/>
      <c r="D390" s="546"/>
      <c r="E390" s="546"/>
      <c r="F390" s="546"/>
      <c r="G390" s="546"/>
      <c r="H390" s="546"/>
      <c r="I390" s="546"/>
      <c r="J390" s="546"/>
      <c r="K390" s="546"/>
      <c r="L390" s="546"/>
      <c r="M390" s="378"/>
    </row>
    <row r="391" spans="2:13" hidden="1">
      <c r="B391" s="375"/>
      <c r="C391" s="546"/>
      <c r="D391" s="546"/>
      <c r="E391" s="546"/>
      <c r="F391" s="546"/>
      <c r="G391" s="546"/>
      <c r="H391" s="546"/>
      <c r="I391" s="546"/>
      <c r="J391" s="546"/>
      <c r="K391" s="546"/>
      <c r="L391" s="546"/>
      <c r="M391" s="378"/>
    </row>
    <row r="392" spans="2:13" hidden="1">
      <c r="B392" s="375"/>
      <c r="C392" s="546"/>
      <c r="D392" s="546"/>
      <c r="E392" s="546"/>
      <c r="F392" s="546"/>
      <c r="G392" s="546"/>
      <c r="H392" s="546"/>
      <c r="I392" s="546"/>
      <c r="J392" s="546"/>
      <c r="K392" s="546"/>
      <c r="L392" s="546"/>
      <c r="M392" s="378"/>
    </row>
    <row r="393" spans="2:13" hidden="1">
      <c r="B393" s="375"/>
      <c r="C393" s="546"/>
      <c r="D393" s="546"/>
      <c r="E393" s="546"/>
      <c r="F393" s="546"/>
      <c r="G393" s="546"/>
      <c r="H393" s="546"/>
      <c r="I393" s="546"/>
      <c r="J393" s="546"/>
      <c r="K393" s="546"/>
      <c r="L393" s="546"/>
      <c r="M393" s="378"/>
    </row>
    <row r="394" spans="2:13" hidden="1">
      <c r="B394" s="375"/>
      <c r="C394" s="546"/>
      <c r="D394" s="546"/>
      <c r="E394" s="546"/>
      <c r="F394" s="546"/>
      <c r="G394" s="546"/>
      <c r="H394" s="546"/>
      <c r="I394" s="546"/>
      <c r="J394" s="546"/>
      <c r="K394" s="546"/>
      <c r="L394" s="546"/>
      <c r="M394" s="378"/>
    </row>
    <row r="395" spans="2:13" hidden="1">
      <c r="B395" s="375"/>
      <c r="C395" s="546"/>
      <c r="D395" s="546"/>
      <c r="E395" s="546"/>
      <c r="F395" s="546"/>
      <c r="G395" s="546"/>
      <c r="H395" s="546"/>
      <c r="I395" s="546"/>
      <c r="J395" s="546"/>
      <c r="K395" s="546"/>
      <c r="L395" s="546"/>
      <c r="M395" s="378"/>
    </row>
    <row r="396" spans="2:13" hidden="1">
      <c r="B396" s="375"/>
      <c r="C396" s="546"/>
      <c r="D396" s="546"/>
      <c r="E396" s="546"/>
      <c r="F396" s="546"/>
      <c r="G396" s="546"/>
      <c r="H396" s="546"/>
      <c r="I396" s="546"/>
      <c r="J396" s="546"/>
      <c r="K396" s="546"/>
      <c r="L396" s="546"/>
      <c r="M396" s="378"/>
    </row>
    <row r="397" spans="2:13" hidden="1">
      <c r="B397" s="375"/>
      <c r="C397" s="546"/>
      <c r="D397" s="546"/>
      <c r="E397" s="546"/>
      <c r="F397" s="546"/>
      <c r="G397" s="546"/>
      <c r="H397" s="546"/>
      <c r="I397" s="546"/>
      <c r="J397" s="546"/>
      <c r="K397" s="546"/>
      <c r="L397" s="546"/>
      <c r="M397" s="378"/>
    </row>
    <row r="398" spans="2:13" hidden="1">
      <c r="B398" s="375"/>
      <c r="C398" s="546"/>
      <c r="D398" s="546"/>
      <c r="E398" s="546"/>
      <c r="F398" s="546"/>
      <c r="G398" s="546"/>
      <c r="H398" s="546"/>
      <c r="I398" s="546"/>
      <c r="J398" s="546"/>
      <c r="K398" s="546"/>
      <c r="L398" s="546"/>
      <c r="M398" s="378"/>
    </row>
    <row r="399" spans="2:13" hidden="1">
      <c r="B399" s="375"/>
      <c r="C399" s="546"/>
      <c r="D399" s="546"/>
      <c r="E399" s="546"/>
      <c r="F399" s="546"/>
      <c r="G399" s="546"/>
      <c r="H399" s="546"/>
      <c r="I399" s="546"/>
      <c r="J399" s="546"/>
      <c r="K399" s="546"/>
      <c r="L399" s="546"/>
      <c r="M399" s="378"/>
    </row>
    <row r="400" spans="2:13" hidden="1">
      <c r="B400" s="375"/>
      <c r="C400" s="546"/>
      <c r="D400" s="546"/>
      <c r="E400" s="546"/>
      <c r="F400" s="546"/>
      <c r="G400" s="546"/>
      <c r="H400" s="546"/>
      <c r="I400" s="546"/>
      <c r="J400" s="546"/>
      <c r="K400" s="546"/>
      <c r="L400" s="546"/>
      <c r="M400" s="378"/>
    </row>
    <row r="401" spans="2:13" hidden="1">
      <c r="B401" s="375"/>
      <c r="C401" s="546"/>
      <c r="D401" s="546"/>
      <c r="E401" s="546"/>
      <c r="F401" s="546"/>
      <c r="G401" s="546"/>
      <c r="H401" s="546"/>
      <c r="I401" s="546"/>
      <c r="J401" s="546"/>
      <c r="K401" s="546"/>
      <c r="L401" s="546"/>
      <c r="M401" s="378"/>
    </row>
    <row r="402" spans="2:13" hidden="1">
      <c r="B402" s="375"/>
      <c r="C402" s="546"/>
      <c r="D402" s="546"/>
      <c r="E402" s="546"/>
      <c r="F402" s="546"/>
      <c r="G402" s="546"/>
      <c r="H402" s="546"/>
      <c r="I402" s="546"/>
      <c r="J402" s="546"/>
      <c r="K402" s="546"/>
      <c r="L402" s="546"/>
      <c r="M402" s="378"/>
    </row>
    <row r="403" spans="2:13" hidden="1">
      <c r="B403" s="375"/>
      <c r="C403" s="546"/>
      <c r="D403" s="546"/>
      <c r="E403" s="546"/>
      <c r="F403" s="546"/>
      <c r="G403" s="546"/>
      <c r="H403" s="546"/>
      <c r="I403" s="546"/>
      <c r="J403" s="546"/>
      <c r="K403" s="546"/>
      <c r="L403" s="546"/>
      <c r="M403" s="378"/>
    </row>
    <row r="404" spans="2:13" hidden="1">
      <c r="B404" s="375"/>
      <c r="C404" s="546"/>
      <c r="D404" s="546"/>
      <c r="E404" s="546"/>
      <c r="F404" s="546"/>
      <c r="G404" s="546"/>
      <c r="H404" s="546"/>
      <c r="I404" s="546"/>
      <c r="J404" s="546"/>
      <c r="K404" s="546"/>
      <c r="L404" s="546"/>
      <c r="M404" s="378"/>
    </row>
    <row r="405" spans="2:13" hidden="1">
      <c r="B405" s="375"/>
      <c r="C405" s="546"/>
      <c r="D405" s="546"/>
      <c r="E405" s="546"/>
      <c r="F405" s="546"/>
      <c r="G405" s="546"/>
      <c r="H405" s="546"/>
      <c r="I405" s="546"/>
      <c r="J405" s="546"/>
      <c r="K405" s="546"/>
      <c r="L405" s="546"/>
      <c r="M405" s="378"/>
    </row>
    <row r="406" spans="2:13" hidden="1">
      <c r="B406" s="375"/>
      <c r="C406" s="546"/>
      <c r="D406" s="546"/>
      <c r="E406" s="546"/>
      <c r="F406" s="546"/>
      <c r="G406" s="546"/>
      <c r="H406" s="546"/>
      <c r="I406" s="546"/>
      <c r="J406" s="546"/>
      <c r="K406" s="546"/>
      <c r="L406" s="546"/>
      <c r="M406" s="378"/>
    </row>
    <row r="407" spans="2:13" hidden="1">
      <c r="B407" s="375"/>
      <c r="C407" s="546"/>
      <c r="D407" s="546"/>
      <c r="E407" s="546"/>
      <c r="F407" s="546"/>
      <c r="G407" s="546"/>
      <c r="H407" s="546"/>
      <c r="I407" s="546"/>
      <c r="J407" s="546"/>
      <c r="K407" s="546"/>
      <c r="L407" s="546"/>
      <c r="M407" s="378"/>
    </row>
    <row r="408" spans="2:13" hidden="1">
      <c r="B408" s="375"/>
      <c r="C408" s="546"/>
      <c r="D408" s="546"/>
      <c r="E408" s="546"/>
      <c r="F408" s="546"/>
      <c r="G408" s="546"/>
      <c r="H408" s="546"/>
      <c r="I408" s="546"/>
      <c r="J408" s="546"/>
      <c r="K408" s="546"/>
      <c r="L408" s="546"/>
      <c r="M408" s="378"/>
    </row>
    <row r="409" spans="2:13" hidden="1">
      <c r="B409" s="375"/>
      <c r="C409" s="546"/>
      <c r="D409" s="546"/>
      <c r="E409" s="546"/>
      <c r="F409" s="546"/>
      <c r="G409" s="546"/>
      <c r="H409" s="546"/>
      <c r="I409" s="546"/>
      <c r="J409" s="546"/>
      <c r="K409" s="546"/>
      <c r="L409" s="546"/>
      <c r="M409" s="378"/>
    </row>
    <row r="410" spans="2:13" hidden="1">
      <c r="B410" s="375"/>
      <c r="C410" s="546"/>
      <c r="D410" s="546"/>
      <c r="E410" s="546"/>
      <c r="F410" s="546"/>
      <c r="G410" s="546"/>
      <c r="H410" s="546"/>
      <c r="I410" s="546"/>
      <c r="J410" s="546"/>
      <c r="K410" s="546"/>
      <c r="L410" s="546"/>
      <c r="M410" s="378"/>
    </row>
    <row r="411" spans="2:13" hidden="1">
      <c r="B411" s="375"/>
      <c r="C411" s="546"/>
      <c r="D411" s="546"/>
      <c r="E411" s="546"/>
      <c r="F411" s="546"/>
      <c r="G411" s="546"/>
      <c r="H411" s="546"/>
      <c r="I411" s="546"/>
      <c r="J411" s="546"/>
      <c r="K411" s="546"/>
      <c r="L411" s="546"/>
      <c r="M411" s="378"/>
    </row>
    <row r="412" spans="2:13" hidden="1">
      <c r="B412" s="375"/>
      <c r="C412" s="546"/>
      <c r="D412" s="546"/>
      <c r="E412" s="546"/>
      <c r="F412" s="546"/>
      <c r="G412" s="546"/>
      <c r="H412" s="546"/>
      <c r="I412" s="546"/>
      <c r="J412" s="546"/>
      <c r="K412" s="546"/>
      <c r="L412" s="546"/>
      <c r="M412" s="378"/>
    </row>
    <row r="413" spans="2:13" hidden="1">
      <c r="B413" s="375"/>
      <c r="C413" s="546"/>
      <c r="D413" s="546"/>
      <c r="E413" s="546"/>
      <c r="F413" s="546"/>
      <c r="G413" s="546"/>
      <c r="H413" s="546"/>
      <c r="I413" s="546"/>
      <c r="J413" s="546"/>
      <c r="K413" s="546"/>
      <c r="L413" s="546"/>
      <c r="M413" s="378"/>
    </row>
    <row r="414" spans="2:13" hidden="1">
      <c r="B414" s="375"/>
      <c r="C414" s="546"/>
      <c r="D414" s="546"/>
      <c r="E414" s="546"/>
      <c r="F414" s="546"/>
      <c r="G414" s="546"/>
      <c r="H414" s="546"/>
      <c r="I414" s="546"/>
      <c r="J414" s="546"/>
      <c r="K414" s="546"/>
      <c r="L414" s="546"/>
      <c r="M414" s="378"/>
    </row>
    <row r="415" spans="2:13" hidden="1">
      <c r="B415" s="375"/>
      <c r="C415" s="546"/>
      <c r="D415" s="546"/>
      <c r="E415" s="546"/>
      <c r="F415" s="546"/>
      <c r="G415" s="546"/>
      <c r="H415" s="546"/>
      <c r="I415" s="546"/>
      <c r="J415" s="546"/>
      <c r="K415" s="546"/>
      <c r="L415" s="546"/>
      <c r="M415" s="378"/>
    </row>
    <row r="416" spans="2:13" hidden="1">
      <c r="B416" s="375"/>
      <c r="C416" s="546"/>
      <c r="D416" s="546"/>
      <c r="E416" s="546"/>
      <c r="F416" s="546"/>
      <c r="G416" s="546"/>
      <c r="H416" s="546"/>
      <c r="I416" s="546"/>
      <c r="J416" s="546"/>
      <c r="K416" s="546"/>
      <c r="L416" s="546"/>
      <c r="M416" s="378"/>
    </row>
    <row r="417" spans="2:13" hidden="1">
      <c r="B417" s="375"/>
      <c r="C417" s="546"/>
      <c r="D417" s="546"/>
      <c r="E417" s="546"/>
      <c r="F417" s="546"/>
      <c r="G417" s="546"/>
      <c r="H417" s="546"/>
      <c r="I417" s="546"/>
      <c r="J417" s="546"/>
      <c r="K417" s="546"/>
      <c r="L417" s="546"/>
      <c r="M417" s="378"/>
    </row>
    <row r="418" spans="2:13" hidden="1">
      <c r="B418" s="375"/>
      <c r="C418" s="546"/>
      <c r="D418" s="546"/>
      <c r="E418" s="546"/>
      <c r="F418" s="546"/>
      <c r="G418" s="546"/>
      <c r="H418" s="546"/>
      <c r="I418" s="546"/>
      <c r="J418" s="546"/>
      <c r="K418" s="546"/>
      <c r="L418" s="546"/>
      <c r="M418" s="378"/>
    </row>
    <row r="419" spans="2:13" hidden="1">
      <c r="B419" s="375"/>
      <c r="C419" s="546"/>
      <c r="D419" s="546"/>
      <c r="E419" s="546"/>
      <c r="F419" s="546"/>
      <c r="G419" s="546"/>
      <c r="H419" s="546"/>
      <c r="I419" s="546"/>
      <c r="J419" s="546"/>
      <c r="K419" s="546"/>
      <c r="L419" s="546"/>
      <c r="M419" s="378"/>
    </row>
    <row r="420" spans="2:13" hidden="1">
      <c r="B420" s="375"/>
      <c r="C420" s="546"/>
      <c r="D420" s="546"/>
      <c r="E420" s="546"/>
      <c r="F420" s="546"/>
      <c r="G420" s="546"/>
      <c r="H420" s="546"/>
      <c r="I420" s="546"/>
      <c r="J420" s="546"/>
      <c r="K420" s="546"/>
      <c r="L420" s="546"/>
      <c r="M420" s="378"/>
    </row>
    <row r="421" spans="2:13" hidden="1">
      <c r="B421" s="375"/>
      <c r="C421" s="546"/>
      <c r="D421" s="546"/>
      <c r="E421" s="546"/>
      <c r="F421" s="546"/>
      <c r="G421" s="546"/>
      <c r="H421" s="546"/>
      <c r="I421" s="546"/>
      <c r="J421" s="546"/>
      <c r="K421" s="546"/>
      <c r="L421" s="546"/>
      <c r="M421" s="378"/>
    </row>
    <row r="422" spans="2:13" hidden="1">
      <c r="B422" s="375"/>
      <c r="C422" s="546"/>
      <c r="D422" s="546"/>
      <c r="E422" s="546"/>
      <c r="F422" s="546"/>
      <c r="G422" s="546"/>
      <c r="H422" s="546"/>
      <c r="I422" s="546"/>
      <c r="J422" s="546"/>
      <c r="K422" s="546"/>
      <c r="L422" s="546"/>
      <c r="M422" s="378"/>
    </row>
    <row r="423" spans="2:13" hidden="1">
      <c r="B423" s="375"/>
      <c r="C423" s="546"/>
      <c r="D423" s="546"/>
      <c r="E423" s="546"/>
      <c r="F423" s="546"/>
      <c r="G423" s="546"/>
      <c r="H423" s="546"/>
      <c r="I423" s="546"/>
      <c r="J423" s="546"/>
      <c r="K423" s="546"/>
      <c r="L423" s="546"/>
      <c r="M423" s="378"/>
    </row>
    <row r="424" spans="2:13" hidden="1">
      <c r="B424" s="375"/>
      <c r="C424" s="546"/>
      <c r="D424" s="546"/>
      <c r="E424" s="546"/>
      <c r="F424" s="546"/>
      <c r="G424" s="546"/>
      <c r="H424" s="546"/>
      <c r="I424" s="546"/>
      <c r="J424" s="546"/>
      <c r="K424" s="546"/>
      <c r="L424" s="546"/>
      <c r="M424" s="378"/>
    </row>
    <row r="425" spans="2:13" hidden="1">
      <c r="B425" s="375"/>
      <c r="C425" s="546"/>
      <c r="D425" s="546"/>
      <c r="E425" s="546"/>
      <c r="F425" s="546"/>
      <c r="G425" s="546"/>
      <c r="H425" s="546"/>
      <c r="I425" s="546"/>
      <c r="J425" s="546"/>
      <c r="K425" s="546"/>
      <c r="L425" s="546"/>
      <c r="M425" s="378"/>
    </row>
    <row r="426" spans="2:13" hidden="1">
      <c r="B426" s="375"/>
      <c r="C426" s="546"/>
      <c r="D426" s="546"/>
      <c r="E426" s="546"/>
      <c r="F426" s="546"/>
      <c r="G426" s="546"/>
      <c r="H426" s="546"/>
      <c r="I426" s="546"/>
      <c r="J426" s="546"/>
      <c r="K426" s="546"/>
      <c r="L426" s="546"/>
      <c r="M426" s="378"/>
    </row>
    <row r="427" spans="2:13" hidden="1">
      <c r="B427" s="375"/>
      <c r="C427" s="546"/>
      <c r="D427" s="546"/>
      <c r="E427" s="546"/>
      <c r="F427" s="546"/>
      <c r="G427" s="546"/>
      <c r="H427" s="546"/>
      <c r="I427" s="546"/>
      <c r="J427" s="546"/>
      <c r="K427" s="546"/>
      <c r="L427" s="546"/>
      <c r="M427" s="378"/>
    </row>
    <row r="428" spans="2:13" hidden="1">
      <c r="B428" s="375"/>
      <c r="C428" s="546"/>
      <c r="D428" s="546"/>
      <c r="E428" s="546"/>
      <c r="F428" s="546"/>
      <c r="G428" s="546"/>
      <c r="H428" s="546"/>
      <c r="I428" s="546"/>
      <c r="J428" s="546"/>
      <c r="K428" s="546"/>
      <c r="L428" s="546"/>
      <c r="M428" s="378"/>
    </row>
    <row r="429" spans="2:13" hidden="1">
      <c r="B429" s="375"/>
      <c r="C429" s="546"/>
      <c r="D429" s="546"/>
      <c r="E429" s="546"/>
      <c r="F429" s="546"/>
      <c r="G429" s="546"/>
      <c r="H429" s="546"/>
      <c r="I429" s="546"/>
      <c r="J429" s="546"/>
      <c r="K429" s="546"/>
      <c r="L429" s="546"/>
      <c r="M429" s="378"/>
    </row>
    <row r="430" spans="2:13" hidden="1">
      <c r="B430" s="375"/>
      <c r="C430" s="546"/>
      <c r="D430" s="546"/>
      <c r="E430" s="546"/>
      <c r="F430" s="546"/>
      <c r="G430" s="546"/>
      <c r="H430" s="546"/>
      <c r="I430" s="546"/>
      <c r="J430" s="546"/>
      <c r="K430" s="546"/>
      <c r="L430" s="546"/>
      <c r="M430" s="378"/>
    </row>
    <row r="431" spans="2:13" hidden="1">
      <c r="B431" s="375"/>
      <c r="C431" s="546"/>
      <c r="D431" s="546"/>
      <c r="E431" s="546"/>
      <c r="F431" s="546"/>
      <c r="G431" s="546"/>
      <c r="H431" s="546"/>
      <c r="I431" s="546"/>
      <c r="J431" s="546"/>
      <c r="K431" s="546"/>
      <c r="L431" s="546"/>
      <c r="M431" s="378"/>
    </row>
    <row r="432" spans="2:13" hidden="1">
      <c r="B432" s="375"/>
      <c r="C432" s="546"/>
      <c r="D432" s="546"/>
      <c r="E432" s="546"/>
      <c r="F432" s="546"/>
      <c r="G432" s="546"/>
      <c r="H432" s="546"/>
      <c r="I432" s="546"/>
      <c r="J432" s="546"/>
      <c r="K432" s="546"/>
      <c r="L432" s="546"/>
      <c r="M432" s="378"/>
    </row>
    <row r="433" spans="2:13" hidden="1">
      <c r="B433" s="375"/>
      <c r="C433" s="546"/>
      <c r="D433" s="546"/>
      <c r="E433" s="546"/>
      <c r="F433" s="546"/>
      <c r="G433" s="546"/>
      <c r="H433" s="546"/>
      <c r="I433" s="546"/>
      <c r="J433" s="546"/>
      <c r="K433" s="546"/>
      <c r="L433" s="546"/>
      <c r="M433" s="378"/>
    </row>
    <row r="434" spans="2:13" hidden="1">
      <c r="B434" s="375"/>
      <c r="C434" s="546"/>
      <c r="D434" s="546"/>
      <c r="E434" s="546"/>
      <c r="F434" s="546"/>
      <c r="G434" s="546"/>
      <c r="H434" s="546"/>
      <c r="I434" s="546"/>
      <c r="J434" s="546"/>
      <c r="K434" s="546"/>
      <c r="L434" s="546"/>
      <c r="M434" s="378"/>
    </row>
    <row r="435" spans="2:13" hidden="1">
      <c r="B435" s="375"/>
      <c r="C435" s="546"/>
      <c r="D435" s="546"/>
      <c r="E435" s="546"/>
      <c r="F435" s="546"/>
      <c r="G435" s="546"/>
      <c r="H435" s="546"/>
      <c r="I435" s="546"/>
      <c r="J435" s="546"/>
      <c r="K435" s="546"/>
      <c r="L435" s="546"/>
      <c r="M435" s="378"/>
    </row>
    <row r="436" spans="2:13" hidden="1">
      <c r="B436" s="375"/>
      <c r="C436" s="546"/>
      <c r="D436" s="546"/>
      <c r="E436" s="546"/>
      <c r="F436" s="546"/>
      <c r="G436" s="546"/>
      <c r="H436" s="546"/>
      <c r="I436" s="546"/>
      <c r="J436" s="546"/>
      <c r="K436" s="546"/>
      <c r="L436" s="546"/>
      <c r="M436" s="378"/>
    </row>
    <row r="437" spans="2:13" hidden="1">
      <c r="B437" s="375"/>
      <c r="C437" s="546"/>
      <c r="D437" s="546"/>
      <c r="E437" s="546"/>
      <c r="F437" s="546"/>
      <c r="G437" s="546"/>
      <c r="H437" s="546"/>
      <c r="I437" s="546"/>
      <c r="J437" s="546"/>
      <c r="K437" s="546"/>
      <c r="L437" s="546"/>
      <c r="M437" s="378"/>
    </row>
    <row r="438" spans="2:13" hidden="1">
      <c r="B438" s="375"/>
      <c r="C438" s="546"/>
      <c r="D438" s="546"/>
      <c r="E438" s="546"/>
      <c r="F438" s="546"/>
      <c r="G438" s="546"/>
      <c r="H438" s="546"/>
      <c r="I438" s="546"/>
      <c r="J438" s="546"/>
      <c r="K438" s="546"/>
      <c r="L438" s="546"/>
      <c r="M438" s="378"/>
    </row>
    <row r="439" spans="2:13" hidden="1">
      <c r="B439" s="375"/>
      <c r="C439" s="546"/>
      <c r="D439" s="546"/>
      <c r="E439" s="546"/>
      <c r="F439" s="546"/>
      <c r="G439" s="546"/>
      <c r="H439" s="546"/>
      <c r="I439" s="546"/>
      <c r="J439" s="546"/>
      <c r="K439" s="546"/>
      <c r="L439" s="546"/>
      <c r="M439" s="378"/>
    </row>
    <row r="440" spans="2:13" hidden="1">
      <c r="B440" s="375"/>
      <c r="C440" s="546"/>
      <c r="D440" s="546"/>
      <c r="E440" s="546"/>
      <c r="F440" s="546"/>
      <c r="G440" s="546"/>
      <c r="H440" s="546"/>
      <c r="I440" s="546"/>
      <c r="J440" s="546"/>
      <c r="K440" s="546"/>
      <c r="L440" s="546"/>
      <c r="M440" s="378"/>
    </row>
    <row r="441" spans="2:13" hidden="1">
      <c r="B441" s="375"/>
      <c r="C441" s="546"/>
      <c r="D441" s="546"/>
      <c r="E441" s="546"/>
      <c r="F441" s="546"/>
      <c r="G441" s="546"/>
      <c r="H441" s="546"/>
      <c r="I441" s="546"/>
      <c r="J441" s="546"/>
      <c r="K441" s="546"/>
      <c r="L441" s="546"/>
      <c r="M441" s="378"/>
    </row>
    <row r="442" spans="2:13" hidden="1">
      <c r="B442" s="375"/>
      <c r="C442" s="546"/>
      <c r="D442" s="546"/>
      <c r="E442" s="546"/>
      <c r="F442" s="546"/>
      <c r="G442" s="546"/>
      <c r="H442" s="546"/>
      <c r="I442" s="546"/>
      <c r="J442" s="546"/>
      <c r="K442" s="546"/>
      <c r="L442" s="546"/>
      <c r="M442" s="378"/>
    </row>
    <row r="443" spans="2:13" hidden="1">
      <c r="B443" s="375"/>
      <c r="C443" s="546"/>
      <c r="D443" s="546"/>
      <c r="E443" s="546"/>
      <c r="F443" s="546"/>
      <c r="G443" s="546"/>
      <c r="H443" s="546"/>
      <c r="I443" s="546"/>
      <c r="J443" s="546"/>
      <c r="K443" s="546"/>
      <c r="L443" s="546"/>
      <c r="M443" s="378"/>
    </row>
    <row r="444" spans="2:13" hidden="1">
      <c r="B444" s="375"/>
      <c r="C444" s="546"/>
      <c r="D444" s="546"/>
      <c r="E444" s="546"/>
      <c r="F444" s="546"/>
      <c r="G444" s="546"/>
      <c r="H444" s="546"/>
      <c r="I444" s="546"/>
      <c r="J444" s="546"/>
      <c r="K444" s="546"/>
      <c r="L444" s="546"/>
      <c r="M444" s="378"/>
    </row>
    <row r="445" spans="2:13" hidden="1">
      <c r="B445" s="375"/>
      <c r="C445" s="546"/>
      <c r="D445" s="546"/>
      <c r="E445" s="546"/>
      <c r="F445" s="546"/>
      <c r="G445" s="546"/>
      <c r="H445" s="546"/>
      <c r="I445" s="546"/>
      <c r="J445" s="546"/>
      <c r="K445" s="546"/>
      <c r="L445" s="546"/>
      <c r="M445" s="378"/>
    </row>
    <row r="446" spans="2:13" hidden="1">
      <c r="B446" s="375"/>
      <c r="C446" s="546"/>
      <c r="D446" s="546"/>
      <c r="E446" s="546"/>
      <c r="F446" s="546"/>
      <c r="G446" s="546"/>
      <c r="H446" s="546"/>
      <c r="I446" s="546"/>
      <c r="J446" s="546"/>
      <c r="K446" s="546"/>
      <c r="L446" s="546"/>
      <c r="M446" s="378"/>
    </row>
    <row r="447" spans="2:13" hidden="1">
      <c r="B447" s="375"/>
      <c r="C447" s="546"/>
      <c r="D447" s="546"/>
      <c r="E447" s="546"/>
      <c r="F447" s="546"/>
      <c r="G447" s="546"/>
      <c r="H447" s="546"/>
      <c r="I447" s="546"/>
      <c r="J447" s="546"/>
      <c r="K447" s="546"/>
      <c r="L447" s="546"/>
      <c r="M447" s="378"/>
    </row>
    <row r="448" spans="2:13" hidden="1">
      <c r="B448" s="375"/>
      <c r="C448" s="546"/>
      <c r="D448" s="546"/>
      <c r="E448" s="546"/>
      <c r="F448" s="546"/>
      <c r="G448" s="546"/>
      <c r="H448" s="546"/>
      <c r="I448" s="546"/>
      <c r="J448" s="546"/>
      <c r="K448" s="546"/>
      <c r="L448" s="546"/>
      <c r="M448" s="378"/>
    </row>
    <row r="449" spans="2:13" hidden="1">
      <c r="B449" s="375"/>
      <c r="C449" s="546"/>
      <c r="D449" s="546"/>
      <c r="E449" s="546"/>
      <c r="F449" s="546"/>
      <c r="G449" s="546"/>
      <c r="H449" s="546"/>
      <c r="I449" s="546"/>
      <c r="J449" s="546"/>
      <c r="K449" s="546"/>
      <c r="L449" s="546"/>
      <c r="M449" s="378"/>
    </row>
    <row r="450" spans="2:13" hidden="1">
      <c r="B450" s="375"/>
      <c r="C450" s="546"/>
      <c r="D450" s="546"/>
      <c r="E450" s="546"/>
      <c r="F450" s="546"/>
      <c r="G450" s="546"/>
      <c r="H450" s="546"/>
      <c r="I450" s="546"/>
      <c r="J450" s="546"/>
      <c r="K450" s="546"/>
      <c r="L450" s="546"/>
      <c r="M450" s="378"/>
    </row>
    <row r="451" spans="2:13" hidden="1">
      <c r="B451" s="375"/>
      <c r="C451" s="546"/>
      <c r="D451" s="546"/>
      <c r="E451" s="546"/>
      <c r="F451" s="546"/>
      <c r="G451" s="546"/>
      <c r="H451" s="546"/>
      <c r="I451" s="546"/>
      <c r="J451" s="546"/>
      <c r="K451" s="546"/>
      <c r="L451" s="546"/>
      <c r="M451" s="378"/>
    </row>
    <row r="452" spans="2:13" hidden="1">
      <c r="B452" s="375"/>
      <c r="C452" s="546"/>
      <c r="D452" s="546"/>
      <c r="E452" s="546"/>
      <c r="F452" s="546"/>
      <c r="G452" s="546"/>
      <c r="H452" s="546"/>
      <c r="I452" s="546"/>
      <c r="J452" s="546"/>
      <c r="K452" s="546"/>
      <c r="L452" s="546"/>
      <c r="M452" s="378"/>
    </row>
    <row r="453" spans="2:13" hidden="1">
      <c r="B453" s="375"/>
      <c r="C453" s="546"/>
      <c r="D453" s="546"/>
      <c r="E453" s="546"/>
      <c r="F453" s="546"/>
      <c r="G453" s="546"/>
      <c r="H453" s="546"/>
      <c r="I453" s="546"/>
      <c r="J453" s="546"/>
      <c r="K453" s="546"/>
      <c r="L453" s="546"/>
      <c r="M453" s="378"/>
    </row>
    <row r="454" spans="2:13" hidden="1">
      <c r="B454" s="375"/>
      <c r="C454" s="546"/>
      <c r="D454" s="546"/>
      <c r="E454" s="546"/>
      <c r="F454" s="546"/>
      <c r="G454" s="546"/>
      <c r="H454" s="546"/>
      <c r="I454" s="546"/>
      <c r="J454" s="546"/>
      <c r="K454" s="546"/>
      <c r="L454" s="546"/>
      <c r="M454" s="378"/>
    </row>
    <row r="455" spans="2:13" hidden="1">
      <c r="B455" s="375"/>
      <c r="C455" s="546"/>
      <c r="D455" s="546"/>
      <c r="E455" s="546"/>
      <c r="F455" s="546"/>
      <c r="G455" s="546"/>
      <c r="H455" s="546"/>
      <c r="I455" s="546"/>
      <c r="J455" s="546"/>
      <c r="K455" s="546"/>
      <c r="L455" s="546"/>
      <c r="M455" s="378"/>
    </row>
    <row r="456" spans="2:13" hidden="1">
      <c r="B456" s="375"/>
      <c r="C456" s="546"/>
      <c r="D456" s="546"/>
      <c r="E456" s="546"/>
      <c r="F456" s="546"/>
      <c r="G456" s="546"/>
      <c r="H456" s="546"/>
      <c r="I456" s="546"/>
      <c r="J456" s="546"/>
      <c r="K456" s="546"/>
      <c r="L456" s="546"/>
      <c r="M456" s="378"/>
    </row>
    <row r="457" spans="2:13" hidden="1">
      <c r="B457" s="375"/>
      <c r="C457" s="546"/>
      <c r="D457" s="546"/>
      <c r="E457" s="546"/>
      <c r="F457" s="546"/>
      <c r="G457" s="546"/>
      <c r="H457" s="546"/>
      <c r="I457" s="546"/>
      <c r="J457" s="546"/>
      <c r="K457" s="546"/>
      <c r="L457" s="546"/>
      <c r="M457" s="378"/>
    </row>
    <row r="458" spans="2:13" hidden="1">
      <c r="B458" s="375"/>
      <c r="C458" s="546"/>
      <c r="D458" s="546"/>
      <c r="E458" s="546"/>
      <c r="F458" s="546"/>
      <c r="G458" s="546"/>
      <c r="H458" s="546"/>
      <c r="I458" s="546"/>
      <c r="J458" s="546"/>
      <c r="K458" s="546"/>
      <c r="L458" s="546"/>
      <c r="M458" s="378"/>
    </row>
    <row r="459" spans="2:13" hidden="1">
      <c r="B459" s="375"/>
      <c r="C459" s="546"/>
      <c r="D459" s="546"/>
      <c r="E459" s="546"/>
      <c r="F459" s="546"/>
      <c r="G459" s="546"/>
      <c r="H459" s="546"/>
      <c r="I459" s="546"/>
      <c r="J459" s="546"/>
      <c r="K459" s="546"/>
      <c r="L459" s="546"/>
      <c r="M459" s="378"/>
    </row>
    <row r="460" spans="2:13" hidden="1">
      <c r="B460" s="375"/>
      <c r="C460" s="546"/>
      <c r="D460" s="546"/>
      <c r="E460" s="546"/>
      <c r="F460" s="546"/>
      <c r="G460" s="546"/>
      <c r="H460" s="546"/>
      <c r="I460" s="546"/>
      <c r="J460" s="546"/>
      <c r="K460" s="546"/>
      <c r="L460" s="546"/>
      <c r="M460" s="378"/>
    </row>
    <row r="461" spans="2:13" hidden="1">
      <c r="B461" s="375"/>
      <c r="C461" s="546"/>
      <c r="D461" s="546"/>
      <c r="E461" s="546"/>
      <c r="F461" s="546"/>
      <c r="G461" s="546"/>
      <c r="H461" s="546"/>
      <c r="I461" s="546"/>
      <c r="J461" s="546"/>
      <c r="K461" s="546"/>
      <c r="L461" s="546"/>
      <c r="M461" s="378"/>
    </row>
    <row r="462" spans="2:13" hidden="1">
      <c r="B462" s="375"/>
      <c r="C462" s="546"/>
      <c r="D462" s="546"/>
      <c r="E462" s="546"/>
      <c r="F462" s="546"/>
      <c r="G462" s="546"/>
      <c r="H462" s="546"/>
      <c r="I462" s="546"/>
      <c r="J462" s="546"/>
      <c r="K462" s="546"/>
      <c r="L462" s="546"/>
      <c r="M462" s="378"/>
    </row>
    <row r="463" spans="2:13" hidden="1">
      <c r="B463" s="375"/>
      <c r="C463" s="546"/>
      <c r="D463" s="546"/>
      <c r="E463" s="546"/>
      <c r="F463" s="546"/>
      <c r="G463" s="546"/>
      <c r="H463" s="546"/>
      <c r="I463" s="546"/>
      <c r="J463" s="546"/>
      <c r="K463" s="546"/>
      <c r="L463" s="546"/>
      <c r="M463" s="378"/>
    </row>
    <row r="464" spans="2:13" hidden="1">
      <c r="B464" s="375"/>
      <c r="C464" s="546"/>
      <c r="D464" s="546"/>
      <c r="E464" s="546"/>
      <c r="F464" s="546"/>
      <c r="G464" s="546"/>
      <c r="H464" s="546"/>
      <c r="I464" s="546"/>
      <c r="J464" s="546"/>
      <c r="K464" s="546"/>
      <c r="L464" s="546"/>
      <c r="M464" s="378"/>
    </row>
    <row r="465" spans="2:13" hidden="1">
      <c r="B465" s="375"/>
      <c r="C465" s="546"/>
      <c r="D465" s="546"/>
      <c r="E465" s="546"/>
      <c r="F465" s="546"/>
      <c r="G465" s="546"/>
      <c r="H465" s="546"/>
      <c r="I465" s="546"/>
      <c r="J465" s="546"/>
      <c r="K465" s="546"/>
      <c r="L465" s="546"/>
      <c r="M465" s="378"/>
    </row>
    <row r="466" spans="2:13" hidden="1">
      <c r="B466" s="375"/>
      <c r="C466" s="546"/>
      <c r="D466" s="546"/>
      <c r="E466" s="546"/>
      <c r="F466" s="546"/>
      <c r="G466" s="546"/>
      <c r="H466" s="546"/>
      <c r="I466" s="546"/>
      <c r="J466" s="546"/>
      <c r="K466" s="546"/>
      <c r="L466" s="546"/>
      <c r="M466" s="378"/>
    </row>
    <row r="467" spans="2:13" hidden="1">
      <c r="B467" s="375"/>
      <c r="C467" s="546"/>
      <c r="D467" s="546"/>
      <c r="E467" s="546"/>
      <c r="F467" s="546"/>
      <c r="G467" s="546"/>
      <c r="H467" s="546"/>
      <c r="I467" s="546"/>
      <c r="J467" s="546"/>
      <c r="K467" s="546"/>
      <c r="L467" s="546"/>
      <c r="M467" s="378"/>
    </row>
    <row r="468" spans="2:13" hidden="1">
      <c r="B468" s="375"/>
      <c r="C468" s="546"/>
      <c r="D468" s="546"/>
      <c r="E468" s="546"/>
      <c r="F468" s="546"/>
      <c r="G468" s="546"/>
      <c r="H468" s="546"/>
      <c r="I468" s="546"/>
      <c r="J468" s="546"/>
      <c r="K468" s="546"/>
      <c r="L468" s="546"/>
      <c r="M468" s="378"/>
    </row>
    <row r="469" spans="2:13" hidden="1">
      <c r="B469" s="375"/>
      <c r="C469" s="546"/>
      <c r="D469" s="546"/>
      <c r="E469" s="546"/>
      <c r="F469" s="546"/>
      <c r="G469" s="546"/>
      <c r="H469" s="546"/>
      <c r="I469" s="546"/>
      <c r="J469" s="546"/>
      <c r="K469" s="546"/>
      <c r="L469" s="546"/>
      <c r="M469" s="378"/>
    </row>
    <row r="470" spans="2:13" hidden="1">
      <c r="B470" s="375"/>
      <c r="C470" s="546"/>
      <c r="D470" s="546"/>
      <c r="E470" s="546"/>
      <c r="F470" s="546"/>
      <c r="G470" s="546"/>
      <c r="H470" s="546"/>
      <c r="I470" s="546"/>
      <c r="J470" s="546"/>
      <c r="K470" s="546"/>
      <c r="L470" s="546"/>
      <c r="M470" s="378"/>
    </row>
    <row r="471" spans="2:13" hidden="1">
      <c r="B471" s="375"/>
      <c r="C471" s="546"/>
      <c r="D471" s="546"/>
      <c r="E471" s="546"/>
      <c r="F471" s="546"/>
      <c r="G471" s="546"/>
      <c r="H471" s="546"/>
      <c r="I471" s="546"/>
      <c r="J471" s="546"/>
      <c r="K471" s="546"/>
      <c r="L471" s="546"/>
      <c r="M471" s="378"/>
    </row>
    <row r="472" spans="2:13" hidden="1">
      <c r="B472" s="375"/>
      <c r="C472" s="546"/>
      <c r="D472" s="546"/>
      <c r="E472" s="546"/>
      <c r="F472" s="546"/>
      <c r="G472" s="546"/>
      <c r="H472" s="546"/>
      <c r="I472" s="546"/>
      <c r="J472" s="546"/>
      <c r="K472" s="546"/>
      <c r="L472" s="546"/>
      <c r="M472" s="378"/>
    </row>
    <row r="473" spans="2:13" hidden="1">
      <c r="B473" s="375"/>
      <c r="C473" s="546"/>
      <c r="D473" s="546"/>
      <c r="E473" s="546"/>
      <c r="F473" s="546"/>
      <c r="G473" s="546"/>
      <c r="H473" s="546"/>
      <c r="I473" s="546"/>
      <c r="J473" s="546"/>
      <c r="K473" s="546"/>
      <c r="L473" s="546"/>
      <c r="M473" s="378"/>
    </row>
    <row r="474" spans="2:13" hidden="1">
      <c r="B474" s="375"/>
      <c r="C474" s="546"/>
      <c r="D474" s="546"/>
      <c r="E474" s="546"/>
      <c r="F474" s="546"/>
      <c r="G474" s="546"/>
      <c r="H474" s="546"/>
      <c r="I474" s="546"/>
      <c r="J474" s="546"/>
      <c r="K474" s="546"/>
      <c r="L474" s="546"/>
      <c r="M474" s="378"/>
    </row>
    <row r="475" spans="2:13" hidden="1">
      <c r="B475" s="375"/>
      <c r="C475" s="546"/>
      <c r="D475" s="546"/>
      <c r="E475" s="546"/>
      <c r="F475" s="546"/>
      <c r="G475" s="546"/>
      <c r="H475" s="546"/>
      <c r="I475" s="546"/>
      <c r="J475" s="546"/>
      <c r="K475" s="546"/>
      <c r="L475" s="546"/>
      <c r="M475" s="378"/>
    </row>
    <row r="476" spans="2:13" hidden="1">
      <c r="B476" s="375"/>
      <c r="C476" s="546"/>
      <c r="D476" s="546"/>
      <c r="E476" s="546"/>
      <c r="F476" s="546"/>
      <c r="G476" s="546"/>
      <c r="H476" s="546"/>
      <c r="I476" s="546"/>
      <c r="J476" s="546"/>
      <c r="K476" s="546"/>
      <c r="L476" s="546"/>
      <c r="M476" s="378"/>
    </row>
    <row r="477" spans="2:13" hidden="1">
      <c r="B477" s="375"/>
      <c r="C477" s="546"/>
      <c r="D477" s="546"/>
      <c r="E477" s="546"/>
      <c r="F477" s="546"/>
      <c r="G477" s="546"/>
      <c r="H477" s="546"/>
      <c r="I477" s="546"/>
      <c r="J477" s="546"/>
      <c r="K477" s="546"/>
      <c r="L477" s="546"/>
      <c r="M477" s="378"/>
    </row>
    <row r="478" spans="2:13" hidden="1">
      <c r="B478" s="375"/>
      <c r="C478" s="546"/>
      <c r="D478" s="546"/>
      <c r="E478" s="546"/>
      <c r="F478" s="546"/>
      <c r="G478" s="546"/>
      <c r="H478" s="546"/>
      <c r="I478" s="546"/>
      <c r="J478" s="546"/>
      <c r="K478" s="546"/>
      <c r="L478" s="546"/>
      <c r="M478" s="378"/>
    </row>
    <row r="479" spans="2:13" hidden="1">
      <c r="B479" s="375"/>
      <c r="C479" s="546"/>
      <c r="D479" s="546"/>
      <c r="E479" s="546"/>
      <c r="F479" s="546"/>
      <c r="G479" s="546"/>
      <c r="H479" s="546"/>
      <c r="I479" s="546"/>
      <c r="J479" s="546"/>
      <c r="K479" s="546"/>
      <c r="L479" s="546"/>
      <c r="M479" s="378"/>
    </row>
    <row r="480" spans="2:13" hidden="1">
      <c r="B480" s="375"/>
      <c r="C480" s="546"/>
      <c r="D480" s="546"/>
      <c r="E480" s="546"/>
      <c r="F480" s="546"/>
      <c r="G480" s="546"/>
      <c r="H480" s="546"/>
      <c r="I480" s="546"/>
      <c r="J480" s="546"/>
      <c r="K480" s="546"/>
      <c r="L480" s="546"/>
      <c r="M480" s="378"/>
    </row>
    <row r="481" spans="2:13" hidden="1">
      <c r="B481" s="375"/>
      <c r="C481" s="546"/>
      <c r="D481" s="546"/>
      <c r="E481" s="546"/>
      <c r="F481" s="546"/>
      <c r="G481" s="546"/>
      <c r="H481" s="546"/>
      <c r="I481" s="546"/>
      <c r="J481" s="546"/>
      <c r="K481" s="546"/>
      <c r="L481" s="546"/>
      <c r="M481" s="378"/>
    </row>
    <row r="482" spans="2:13" hidden="1">
      <c r="B482" s="375"/>
      <c r="C482" s="546"/>
      <c r="D482" s="546"/>
      <c r="E482" s="546"/>
      <c r="F482" s="546"/>
      <c r="G482" s="546"/>
      <c r="H482" s="546"/>
      <c r="I482" s="546"/>
      <c r="J482" s="546"/>
      <c r="K482" s="546"/>
      <c r="L482" s="546"/>
      <c r="M482" s="378"/>
    </row>
    <row r="483" spans="2:13" hidden="1">
      <c r="B483" s="375"/>
      <c r="C483" s="546"/>
      <c r="D483" s="546"/>
      <c r="E483" s="546"/>
      <c r="F483" s="546"/>
      <c r="G483" s="546"/>
      <c r="H483" s="546"/>
      <c r="I483" s="546"/>
      <c r="J483" s="546"/>
      <c r="K483" s="546"/>
      <c r="L483" s="546"/>
      <c r="M483" s="378"/>
    </row>
    <row r="484" spans="2:13" hidden="1">
      <c r="B484" s="375"/>
      <c r="C484" s="546"/>
      <c r="D484" s="546"/>
      <c r="E484" s="546"/>
      <c r="F484" s="546"/>
      <c r="G484" s="546"/>
      <c r="H484" s="546"/>
      <c r="I484" s="546"/>
      <c r="J484" s="546"/>
      <c r="K484" s="546"/>
      <c r="L484" s="546"/>
      <c r="M484" s="378"/>
    </row>
    <row r="485" spans="2:13" hidden="1">
      <c r="B485" s="375"/>
      <c r="C485" s="546"/>
      <c r="D485" s="546"/>
      <c r="E485" s="546"/>
      <c r="F485" s="546"/>
      <c r="G485" s="546"/>
      <c r="H485" s="546"/>
      <c r="I485" s="546"/>
      <c r="J485" s="546"/>
      <c r="K485" s="546"/>
      <c r="L485" s="546"/>
      <c r="M485" s="378"/>
    </row>
    <row r="486" spans="2:13" hidden="1">
      <c r="B486" s="375"/>
      <c r="C486" s="546"/>
      <c r="D486" s="546"/>
      <c r="E486" s="546"/>
      <c r="F486" s="546"/>
      <c r="G486" s="546"/>
      <c r="H486" s="546"/>
      <c r="I486" s="546"/>
      <c r="J486" s="546"/>
      <c r="K486" s="546"/>
      <c r="L486" s="546"/>
      <c r="M486" s="378"/>
    </row>
    <row r="487" spans="2:13" hidden="1">
      <c r="B487" s="375"/>
      <c r="C487" s="546"/>
      <c r="D487" s="546"/>
      <c r="E487" s="546"/>
      <c r="F487" s="546"/>
      <c r="G487" s="546"/>
      <c r="H487" s="546"/>
      <c r="I487" s="546"/>
      <c r="J487" s="546"/>
      <c r="K487" s="546"/>
      <c r="L487" s="546"/>
      <c r="M487" s="378"/>
    </row>
    <row r="488" spans="2:13" hidden="1">
      <c r="B488" s="375"/>
      <c r="C488" s="546"/>
      <c r="D488" s="546"/>
      <c r="E488" s="546"/>
      <c r="F488" s="546"/>
      <c r="G488" s="546"/>
      <c r="H488" s="546"/>
      <c r="I488" s="546"/>
      <c r="J488" s="546"/>
      <c r="K488" s="546"/>
      <c r="L488" s="546"/>
      <c r="M488" s="378"/>
    </row>
    <row r="489" spans="2:13" hidden="1">
      <c r="B489" s="375"/>
      <c r="C489" s="546"/>
      <c r="D489" s="546"/>
      <c r="E489" s="546"/>
      <c r="F489" s="546"/>
      <c r="G489" s="546"/>
      <c r="H489" s="546"/>
      <c r="I489" s="546"/>
      <c r="J489" s="546"/>
      <c r="K489" s="546"/>
      <c r="L489" s="546"/>
      <c r="M489" s="378"/>
    </row>
    <row r="490" spans="2:13" hidden="1">
      <c r="B490" s="375"/>
      <c r="C490" s="546"/>
      <c r="D490" s="546"/>
      <c r="E490" s="546"/>
      <c r="F490" s="546"/>
      <c r="G490" s="546"/>
      <c r="H490" s="546"/>
      <c r="I490" s="546"/>
      <c r="J490" s="546"/>
      <c r="K490" s="546"/>
      <c r="L490" s="546"/>
      <c r="M490" s="378"/>
    </row>
    <row r="491" spans="2:13" hidden="1">
      <c r="B491" s="375"/>
      <c r="C491" s="546"/>
      <c r="D491" s="546"/>
      <c r="E491" s="546"/>
      <c r="F491" s="546"/>
      <c r="G491" s="546"/>
      <c r="H491" s="546"/>
      <c r="I491" s="546"/>
      <c r="J491" s="546"/>
      <c r="K491" s="546"/>
      <c r="L491" s="546"/>
      <c r="M491" s="378"/>
    </row>
    <row r="492" spans="2:13" hidden="1">
      <c r="B492" s="375"/>
      <c r="C492" s="546"/>
      <c r="D492" s="546"/>
      <c r="E492" s="546"/>
      <c r="F492" s="546"/>
      <c r="G492" s="546"/>
      <c r="H492" s="546"/>
      <c r="I492" s="546"/>
      <c r="J492" s="546"/>
      <c r="K492" s="546"/>
      <c r="L492" s="546"/>
      <c r="M492" s="378"/>
    </row>
    <row r="493" spans="2:13" hidden="1">
      <c r="B493" s="375"/>
      <c r="C493" s="546"/>
      <c r="D493" s="546"/>
      <c r="E493" s="546"/>
      <c r="F493" s="546"/>
      <c r="G493" s="546"/>
      <c r="H493" s="546"/>
      <c r="I493" s="546"/>
      <c r="J493" s="546"/>
      <c r="K493" s="546"/>
      <c r="L493" s="546"/>
      <c r="M493" s="378"/>
    </row>
    <row r="494" spans="2:13" hidden="1">
      <c r="B494" s="375"/>
      <c r="C494" s="546"/>
      <c r="D494" s="546"/>
      <c r="E494" s="546"/>
      <c r="F494" s="546"/>
      <c r="G494" s="546"/>
      <c r="H494" s="546"/>
      <c r="I494" s="546"/>
      <c r="J494" s="546"/>
      <c r="K494" s="546"/>
      <c r="L494" s="546"/>
      <c r="M494" s="378"/>
    </row>
    <row r="495" spans="2:13" hidden="1">
      <c r="B495" s="375"/>
      <c r="C495" s="546"/>
      <c r="D495" s="546"/>
      <c r="E495" s="546"/>
      <c r="F495" s="546"/>
      <c r="G495" s="546"/>
      <c r="H495" s="546"/>
      <c r="I495" s="546"/>
      <c r="J495" s="546"/>
      <c r="K495" s="546"/>
      <c r="L495" s="546"/>
      <c r="M495" s="378"/>
    </row>
    <row r="496" spans="2:13" hidden="1">
      <c r="B496" s="375"/>
      <c r="C496" s="546"/>
      <c r="D496" s="546"/>
      <c r="E496" s="546"/>
      <c r="F496" s="546"/>
      <c r="G496" s="546"/>
      <c r="H496" s="546"/>
      <c r="I496" s="546"/>
      <c r="J496" s="546"/>
      <c r="K496" s="546"/>
      <c r="L496" s="546"/>
      <c r="M496" s="378"/>
    </row>
    <row r="497" spans="2:13" hidden="1">
      <c r="B497" s="375"/>
      <c r="C497" s="546"/>
      <c r="D497" s="546"/>
      <c r="E497" s="546"/>
      <c r="F497" s="546"/>
      <c r="G497" s="546"/>
      <c r="H497" s="546"/>
      <c r="I497" s="546"/>
      <c r="J497" s="546"/>
      <c r="K497" s="546"/>
      <c r="L497" s="546"/>
      <c r="M497" s="378"/>
    </row>
    <row r="498" spans="2:13" hidden="1">
      <c r="B498" s="375"/>
      <c r="C498" s="546"/>
      <c r="D498" s="546"/>
      <c r="E498" s="546"/>
      <c r="F498" s="546"/>
      <c r="G498" s="546"/>
      <c r="H498" s="546"/>
      <c r="I498" s="546"/>
      <c r="J498" s="546"/>
      <c r="K498" s="546"/>
      <c r="L498" s="546"/>
      <c r="M498" s="378"/>
    </row>
    <row r="499" spans="2:13" hidden="1">
      <c r="B499" s="375"/>
      <c r="C499" s="546"/>
      <c r="D499" s="546"/>
      <c r="E499" s="546"/>
      <c r="F499" s="546"/>
      <c r="G499" s="546"/>
      <c r="H499" s="546"/>
      <c r="I499" s="546"/>
      <c r="J499" s="546"/>
      <c r="K499" s="546"/>
      <c r="L499" s="546"/>
      <c r="M499" s="378"/>
    </row>
    <row r="500" spans="2:13" hidden="1">
      <c r="B500" s="375"/>
      <c r="C500" s="546"/>
      <c r="D500" s="546"/>
      <c r="E500" s="546"/>
      <c r="F500" s="546"/>
      <c r="G500" s="546"/>
      <c r="H500" s="546"/>
      <c r="I500" s="546"/>
      <c r="J500" s="546"/>
      <c r="K500" s="546"/>
      <c r="L500" s="546"/>
      <c r="M500" s="378"/>
    </row>
    <row r="501" spans="2:13" hidden="1">
      <c r="B501" s="375"/>
      <c r="C501" s="546"/>
      <c r="D501" s="546"/>
      <c r="E501" s="546"/>
      <c r="F501" s="546"/>
      <c r="G501" s="546"/>
      <c r="H501" s="546"/>
      <c r="I501" s="546"/>
      <c r="J501" s="546"/>
      <c r="K501" s="546"/>
      <c r="L501" s="546"/>
      <c r="M501" s="378"/>
    </row>
    <row r="502" spans="2:13" hidden="1">
      <c r="B502" s="375"/>
      <c r="C502" s="546"/>
      <c r="D502" s="546"/>
      <c r="E502" s="546"/>
      <c r="F502" s="546"/>
      <c r="G502" s="546"/>
      <c r="H502" s="546"/>
      <c r="I502" s="546"/>
      <c r="J502" s="546"/>
      <c r="K502" s="546"/>
      <c r="L502" s="546"/>
      <c r="M502" s="378"/>
    </row>
    <row r="503" spans="2:13" hidden="1">
      <c r="B503" s="375"/>
      <c r="C503" s="546"/>
      <c r="D503" s="546"/>
      <c r="E503" s="546"/>
      <c r="F503" s="546"/>
      <c r="G503" s="546"/>
      <c r="H503" s="546"/>
      <c r="I503" s="546"/>
      <c r="J503" s="546"/>
      <c r="K503" s="546"/>
      <c r="L503" s="546"/>
      <c r="M503" s="378"/>
    </row>
    <row r="504" spans="2:13" hidden="1">
      <c r="B504" s="375"/>
      <c r="C504" s="546"/>
      <c r="D504" s="546"/>
      <c r="E504" s="546"/>
      <c r="F504" s="546"/>
      <c r="G504" s="546"/>
      <c r="H504" s="546"/>
      <c r="I504" s="546"/>
      <c r="J504" s="546"/>
      <c r="K504" s="546"/>
      <c r="L504" s="546"/>
      <c r="M504" s="378"/>
    </row>
    <row r="505" spans="2:13" hidden="1">
      <c r="B505" s="375"/>
      <c r="C505" s="546"/>
      <c r="D505" s="546"/>
      <c r="E505" s="546"/>
      <c r="F505" s="546"/>
      <c r="G505" s="546"/>
      <c r="H505" s="546"/>
      <c r="I505" s="546"/>
      <c r="J505" s="546"/>
      <c r="K505" s="546"/>
      <c r="L505" s="546"/>
      <c r="M505" s="378"/>
    </row>
    <row r="506" spans="2:13" hidden="1">
      <c r="B506" s="375"/>
      <c r="C506" s="546"/>
      <c r="D506" s="546"/>
      <c r="E506" s="546"/>
      <c r="F506" s="546"/>
      <c r="G506" s="546"/>
      <c r="H506" s="546"/>
      <c r="I506" s="546"/>
      <c r="J506" s="546"/>
      <c r="K506" s="546"/>
      <c r="L506" s="546"/>
      <c r="M506" s="378"/>
    </row>
    <row r="507" spans="2:13" hidden="1">
      <c r="B507" s="375"/>
      <c r="C507" s="546"/>
      <c r="D507" s="546"/>
      <c r="E507" s="546"/>
      <c r="F507" s="546"/>
      <c r="G507" s="546"/>
      <c r="H507" s="546"/>
      <c r="I507" s="546"/>
      <c r="J507" s="546"/>
      <c r="K507" s="546"/>
      <c r="L507" s="546"/>
      <c r="M507" s="378"/>
    </row>
    <row r="508" spans="2:13" hidden="1">
      <c r="B508" s="375"/>
      <c r="C508" s="546"/>
      <c r="D508" s="546"/>
      <c r="E508" s="546"/>
      <c r="F508" s="546"/>
      <c r="G508" s="546"/>
      <c r="H508" s="546"/>
      <c r="I508" s="546"/>
      <c r="J508" s="546"/>
      <c r="K508" s="546"/>
      <c r="L508" s="546"/>
      <c r="M508" s="378"/>
    </row>
    <row r="509" spans="2:13" hidden="1">
      <c r="B509" s="375"/>
      <c r="C509" s="546"/>
      <c r="D509" s="546"/>
      <c r="E509" s="546"/>
      <c r="F509" s="546"/>
      <c r="G509" s="546"/>
      <c r="H509" s="546"/>
      <c r="I509" s="546"/>
      <c r="J509" s="546"/>
      <c r="K509" s="546"/>
      <c r="L509" s="546"/>
      <c r="M509" s="378"/>
    </row>
    <row r="510" spans="2:13" hidden="1">
      <c r="B510" s="375"/>
      <c r="C510" s="546"/>
      <c r="D510" s="546"/>
      <c r="E510" s="546"/>
      <c r="F510" s="546"/>
      <c r="G510" s="546"/>
      <c r="H510" s="546"/>
      <c r="I510" s="546"/>
      <c r="J510" s="546"/>
      <c r="K510" s="546"/>
      <c r="L510" s="546"/>
      <c r="M510" s="378"/>
    </row>
    <row r="511" spans="2:13" hidden="1">
      <c r="B511" s="375"/>
      <c r="C511" s="546"/>
      <c r="D511" s="546"/>
      <c r="E511" s="546"/>
      <c r="F511" s="546"/>
      <c r="G511" s="546"/>
      <c r="H511" s="546"/>
      <c r="I511" s="546"/>
      <c r="J511" s="546"/>
      <c r="K511" s="546"/>
      <c r="L511" s="546"/>
      <c r="M511" s="378"/>
    </row>
    <row r="512" spans="2:13" hidden="1">
      <c r="B512" s="375"/>
      <c r="C512" s="546"/>
      <c r="D512" s="546"/>
      <c r="E512" s="546"/>
      <c r="F512" s="546"/>
      <c r="G512" s="546"/>
      <c r="H512" s="546"/>
      <c r="I512" s="546"/>
      <c r="J512" s="546"/>
      <c r="K512" s="546"/>
      <c r="L512" s="546"/>
      <c r="M512" s="378"/>
    </row>
    <row r="513" spans="2:13" hidden="1">
      <c r="B513" s="375"/>
      <c r="C513" s="546"/>
      <c r="D513" s="546"/>
      <c r="E513" s="546"/>
      <c r="F513" s="546"/>
      <c r="G513" s="546"/>
      <c r="H513" s="546"/>
      <c r="I513" s="546"/>
      <c r="J513" s="546"/>
      <c r="K513" s="546"/>
      <c r="L513" s="546"/>
      <c r="M513" s="378"/>
    </row>
    <row r="514" spans="2:13" hidden="1">
      <c r="B514" s="375"/>
      <c r="C514" s="546"/>
      <c r="D514" s="546"/>
      <c r="E514" s="546"/>
      <c r="F514" s="546"/>
      <c r="G514" s="546"/>
      <c r="H514" s="546"/>
      <c r="I514" s="546"/>
      <c r="J514" s="546"/>
      <c r="K514" s="546"/>
      <c r="L514" s="546"/>
      <c r="M514" s="378"/>
    </row>
    <row r="515" spans="2:13" hidden="1">
      <c r="B515" s="375"/>
      <c r="C515" s="546"/>
      <c r="D515" s="546"/>
      <c r="E515" s="546"/>
      <c r="F515" s="546"/>
      <c r="G515" s="546"/>
      <c r="H515" s="546"/>
      <c r="I515" s="546"/>
      <c r="J515" s="546"/>
      <c r="K515" s="546"/>
      <c r="L515" s="546"/>
      <c r="M515" s="378"/>
    </row>
    <row r="516" spans="2:13" hidden="1">
      <c r="B516" s="375"/>
      <c r="C516" s="546"/>
      <c r="D516" s="546"/>
      <c r="E516" s="546"/>
      <c r="F516" s="546"/>
      <c r="G516" s="546"/>
      <c r="H516" s="546"/>
      <c r="I516" s="546"/>
      <c r="J516" s="546"/>
      <c r="K516" s="546"/>
      <c r="L516" s="546"/>
      <c r="M516" s="378"/>
    </row>
    <row r="517" spans="2:13" hidden="1">
      <c r="B517" s="375"/>
      <c r="C517" s="546"/>
      <c r="D517" s="546"/>
      <c r="E517" s="546"/>
      <c r="F517" s="546"/>
      <c r="G517" s="546"/>
      <c r="H517" s="546"/>
      <c r="I517" s="546"/>
      <c r="J517" s="546"/>
      <c r="K517" s="546"/>
      <c r="L517" s="546"/>
      <c r="M517" s="378"/>
    </row>
    <row r="518" spans="2:13" hidden="1">
      <c r="B518" s="375"/>
      <c r="C518" s="546"/>
      <c r="D518" s="546"/>
      <c r="E518" s="546"/>
      <c r="F518" s="546"/>
      <c r="G518" s="546"/>
      <c r="H518" s="546"/>
      <c r="I518" s="546"/>
      <c r="J518" s="546"/>
      <c r="K518" s="546"/>
      <c r="L518" s="546"/>
      <c r="M518" s="378"/>
    </row>
    <row r="519" spans="2:13" hidden="1">
      <c r="B519" s="375"/>
      <c r="C519" s="546"/>
      <c r="D519" s="546"/>
      <c r="E519" s="546"/>
      <c r="F519" s="546"/>
      <c r="G519" s="546"/>
      <c r="H519" s="546"/>
      <c r="I519" s="546"/>
      <c r="J519" s="546"/>
      <c r="K519" s="546"/>
      <c r="L519" s="546"/>
      <c r="M519" s="378"/>
    </row>
    <row r="520" spans="2:13" hidden="1">
      <c r="B520" s="375"/>
      <c r="C520" s="546"/>
      <c r="D520" s="546"/>
      <c r="E520" s="546"/>
      <c r="F520" s="546"/>
      <c r="G520" s="546"/>
      <c r="H520" s="546"/>
      <c r="I520" s="546"/>
      <c r="J520" s="546"/>
      <c r="K520" s="546"/>
      <c r="L520" s="546"/>
      <c r="M520" s="378"/>
    </row>
    <row r="521" spans="2:13" hidden="1">
      <c r="B521" s="375"/>
      <c r="C521" s="546"/>
      <c r="D521" s="546"/>
      <c r="E521" s="546"/>
      <c r="F521" s="546"/>
      <c r="G521" s="546"/>
      <c r="H521" s="546"/>
      <c r="I521" s="546"/>
      <c r="J521" s="546"/>
      <c r="K521" s="546"/>
      <c r="L521" s="546"/>
      <c r="M521" s="378"/>
    </row>
    <row r="522" spans="2:13" hidden="1">
      <c r="B522" s="375"/>
      <c r="C522" s="546"/>
      <c r="D522" s="546"/>
      <c r="E522" s="546"/>
      <c r="F522" s="546"/>
      <c r="G522" s="546"/>
      <c r="H522" s="546"/>
      <c r="I522" s="546"/>
      <c r="J522" s="546"/>
      <c r="K522" s="546"/>
      <c r="L522" s="546"/>
      <c r="M522" s="378"/>
    </row>
    <row r="523" spans="2:13" hidden="1">
      <c r="B523" s="375"/>
      <c r="C523" s="546"/>
      <c r="D523" s="546"/>
      <c r="E523" s="546"/>
      <c r="F523" s="546"/>
      <c r="G523" s="546"/>
      <c r="H523" s="546"/>
      <c r="I523" s="546"/>
      <c r="J523" s="546"/>
      <c r="K523" s="546"/>
      <c r="L523" s="546"/>
      <c r="M523" s="378"/>
    </row>
    <row r="524" spans="2:13" hidden="1">
      <c r="B524" s="375"/>
      <c r="C524" s="546"/>
      <c r="D524" s="546"/>
      <c r="E524" s="546"/>
      <c r="F524" s="546"/>
      <c r="G524" s="546"/>
      <c r="H524" s="546"/>
      <c r="I524" s="546"/>
      <c r="J524" s="546"/>
      <c r="K524" s="546"/>
      <c r="L524" s="546"/>
      <c r="M524" s="378"/>
    </row>
    <row r="525" spans="2:13" hidden="1">
      <c r="B525" s="375"/>
      <c r="C525" s="546"/>
      <c r="D525" s="546"/>
      <c r="E525" s="546"/>
      <c r="F525" s="546"/>
      <c r="G525" s="546"/>
      <c r="H525" s="546"/>
      <c r="I525" s="546"/>
      <c r="J525" s="546"/>
      <c r="K525" s="546"/>
      <c r="L525" s="546"/>
      <c r="M525" s="378"/>
    </row>
    <row r="526" spans="2:13" hidden="1">
      <c r="B526" s="375"/>
      <c r="C526" s="546"/>
      <c r="D526" s="546"/>
      <c r="E526" s="546"/>
      <c r="F526" s="546"/>
      <c r="G526" s="546"/>
      <c r="H526" s="546"/>
      <c r="I526" s="546"/>
      <c r="J526" s="546"/>
      <c r="K526" s="546"/>
      <c r="L526" s="546"/>
      <c r="M526" s="378"/>
    </row>
    <row r="527" spans="2:13" hidden="1">
      <c r="B527" s="375"/>
      <c r="C527" s="546"/>
      <c r="D527" s="546"/>
      <c r="E527" s="546"/>
      <c r="F527" s="546"/>
      <c r="G527" s="546"/>
      <c r="H527" s="546"/>
      <c r="I527" s="546"/>
      <c r="J527" s="546"/>
      <c r="K527" s="546"/>
      <c r="L527" s="546"/>
      <c r="M527" s="378"/>
    </row>
    <row r="528" spans="2:13" hidden="1">
      <c r="B528" s="375"/>
      <c r="C528" s="546"/>
      <c r="D528" s="546"/>
      <c r="E528" s="546"/>
      <c r="F528" s="546"/>
      <c r="G528" s="546"/>
      <c r="H528" s="546"/>
      <c r="I528" s="546"/>
      <c r="J528" s="546"/>
      <c r="K528" s="546"/>
      <c r="L528" s="546"/>
      <c r="M528" s="378"/>
    </row>
    <row r="529" spans="2:13" hidden="1">
      <c r="B529" s="375"/>
      <c r="C529" s="546"/>
      <c r="D529" s="546"/>
      <c r="E529" s="546"/>
      <c r="F529" s="546"/>
      <c r="G529" s="546"/>
      <c r="H529" s="546"/>
      <c r="I529" s="546"/>
      <c r="J529" s="546"/>
      <c r="K529" s="546"/>
      <c r="L529" s="546"/>
      <c r="M529" s="378"/>
    </row>
    <row r="530" spans="2:13" hidden="1">
      <c r="B530" s="375"/>
      <c r="C530" s="546"/>
      <c r="D530" s="546"/>
      <c r="E530" s="546"/>
      <c r="F530" s="546"/>
      <c r="G530" s="546"/>
      <c r="H530" s="546"/>
      <c r="I530" s="546"/>
      <c r="J530" s="546"/>
      <c r="K530" s="546"/>
      <c r="L530" s="546"/>
      <c r="M530" s="378"/>
    </row>
    <row r="531" spans="2:13" hidden="1">
      <c r="B531" s="375"/>
      <c r="C531" s="546"/>
      <c r="D531" s="546"/>
      <c r="E531" s="546"/>
      <c r="F531" s="546"/>
      <c r="G531" s="546"/>
      <c r="H531" s="546"/>
      <c r="I531" s="546"/>
      <c r="J531" s="546"/>
      <c r="K531" s="546"/>
      <c r="L531" s="546"/>
      <c r="M531" s="378"/>
    </row>
    <row r="532" spans="2:13" hidden="1">
      <c r="B532" s="375"/>
      <c r="C532" s="546"/>
      <c r="D532" s="546"/>
      <c r="E532" s="546"/>
      <c r="F532" s="546"/>
      <c r="G532" s="546"/>
      <c r="H532" s="546"/>
      <c r="I532" s="546"/>
      <c r="J532" s="546"/>
      <c r="K532" s="546"/>
      <c r="L532" s="546"/>
      <c r="M532" s="378"/>
    </row>
    <row r="533" spans="2:13" hidden="1">
      <c r="B533" s="375"/>
      <c r="C533" s="546"/>
      <c r="D533" s="546"/>
      <c r="E533" s="546"/>
      <c r="F533" s="546"/>
      <c r="G533" s="546"/>
      <c r="H533" s="546"/>
      <c r="I533" s="546"/>
      <c r="J533" s="546"/>
      <c r="K533" s="546"/>
      <c r="L533" s="546"/>
      <c r="M533" s="378"/>
    </row>
    <row r="534" spans="2:13" hidden="1">
      <c r="B534" s="375"/>
      <c r="C534" s="546"/>
      <c r="D534" s="546"/>
      <c r="E534" s="546"/>
      <c r="F534" s="546"/>
      <c r="G534" s="546"/>
      <c r="H534" s="546"/>
      <c r="I534" s="546"/>
      <c r="J534" s="546"/>
      <c r="K534" s="546"/>
      <c r="L534" s="546"/>
      <c r="M534" s="378"/>
    </row>
    <row r="535" spans="2:13" hidden="1">
      <c r="B535" s="375"/>
      <c r="C535" s="546"/>
      <c r="D535" s="546"/>
      <c r="E535" s="546"/>
      <c r="F535" s="546"/>
      <c r="G535" s="546"/>
      <c r="H535" s="546"/>
      <c r="I535" s="546"/>
      <c r="J535" s="546"/>
      <c r="K535" s="546"/>
      <c r="L535" s="546"/>
      <c r="M535" s="378"/>
    </row>
    <row r="536" spans="2:13" hidden="1">
      <c r="B536" s="375"/>
      <c r="C536" s="546"/>
      <c r="D536" s="546"/>
      <c r="E536" s="546"/>
      <c r="F536" s="546"/>
      <c r="G536" s="546"/>
      <c r="H536" s="546"/>
      <c r="I536" s="546"/>
      <c r="J536" s="546"/>
      <c r="K536" s="546"/>
      <c r="L536" s="546"/>
      <c r="M536" s="378"/>
    </row>
    <row r="537" spans="2:13" hidden="1">
      <c r="B537" s="375"/>
      <c r="C537" s="546"/>
      <c r="D537" s="546"/>
      <c r="E537" s="546"/>
      <c r="F537" s="546"/>
      <c r="G537" s="546"/>
      <c r="H537" s="546"/>
      <c r="I537" s="546"/>
      <c r="J537" s="546"/>
      <c r="K537" s="546"/>
      <c r="L537" s="546"/>
      <c r="M537" s="378"/>
    </row>
    <row r="538" spans="2:13" hidden="1">
      <c r="B538" s="375"/>
      <c r="C538" s="546"/>
      <c r="D538" s="546"/>
      <c r="E538" s="546"/>
      <c r="F538" s="546"/>
      <c r="G538" s="546"/>
      <c r="H538" s="546"/>
      <c r="I538" s="546"/>
      <c r="J538" s="546"/>
      <c r="K538" s="546"/>
      <c r="L538" s="546"/>
      <c r="M538" s="378"/>
    </row>
    <row r="539" spans="2:13" hidden="1">
      <c r="B539" s="375"/>
      <c r="C539" s="546"/>
      <c r="D539" s="546"/>
      <c r="E539" s="546"/>
      <c r="F539" s="546"/>
      <c r="G539" s="546"/>
      <c r="H539" s="546"/>
      <c r="I539" s="546"/>
      <c r="J539" s="546"/>
      <c r="K539" s="546"/>
      <c r="L539" s="546"/>
      <c r="M539" s="378"/>
    </row>
    <row r="540" spans="2:13" hidden="1">
      <c r="B540" s="375"/>
      <c r="C540" s="546"/>
      <c r="D540" s="546"/>
      <c r="E540" s="546"/>
      <c r="F540" s="546"/>
      <c r="G540" s="546"/>
      <c r="H540" s="546"/>
      <c r="I540" s="546"/>
      <c r="J540" s="546"/>
      <c r="K540" s="546"/>
      <c r="L540" s="546"/>
      <c r="M540" s="378"/>
    </row>
    <row r="541" spans="2:13" hidden="1">
      <c r="B541" s="375"/>
      <c r="C541" s="546"/>
      <c r="D541" s="546"/>
      <c r="E541" s="546"/>
      <c r="F541" s="546"/>
      <c r="G541" s="546"/>
      <c r="H541" s="546"/>
      <c r="I541" s="546"/>
      <c r="J541" s="546"/>
      <c r="K541" s="546"/>
      <c r="L541" s="546"/>
      <c r="M541" s="378"/>
    </row>
    <row r="542" spans="2:13" hidden="1">
      <c r="B542" s="375"/>
      <c r="C542" s="546"/>
      <c r="D542" s="546"/>
      <c r="E542" s="546"/>
      <c r="F542" s="546"/>
      <c r="G542" s="546"/>
      <c r="H542" s="546"/>
      <c r="I542" s="546"/>
      <c r="J542" s="546"/>
      <c r="K542" s="546"/>
      <c r="L542" s="546"/>
      <c r="M542" s="378"/>
    </row>
    <row r="543" spans="2:13" hidden="1">
      <c r="B543" s="375"/>
      <c r="C543" s="546"/>
      <c r="D543" s="546"/>
      <c r="E543" s="546"/>
      <c r="F543" s="546"/>
      <c r="G543" s="546"/>
      <c r="H543" s="546"/>
      <c r="I543" s="546"/>
      <c r="J543" s="546"/>
      <c r="K543" s="546"/>
      <c r="L543" s="546"/>
      <c r="M543" s="378"/>
    </row>
    <row r="544" spans="2:13" hidden="1">
      <c r="B544" s="375"/>
      <c r="C544" s="546"/>
      <c r="D544" s="546"/>
      <c r="E544" s="546"/>
      <c r="F544" s="546"/>
      <c r="G544" s="546"/>
      <c r="H544" s="546"/>
      <c r="I544" s="546"/>
      <c r="J544" s="546"/>
      <c r="K544" s="546"/>
      <c r="L544" s="546"/>
      <c r="M544" s="378"/>
    </row>
    <row r="545" spans="2:13" hidden="1">
      <c r="B545" s="375"/>
      <c r="C545" s="546"/>
      <c r="D545" s="546"/>
      <c r="E545" s="546"/>
      <c r="F545" s="546"/>
      <c r="G545" s="546"/>
      <c r="H545" s="546"/>
      <c r="I545" s="546"/>
      <c r="J545" s="546"/>
      <c r="K545" s="546"/>
      <c r="L545" s="546"/>
      <c r="M545" s="378"/>
    </row>
    <row r="546" spans="2:13" hidden="1">
      <c r="B546" s="375"/>
      <c r="C546" s="546"/>
      <c r="D546" s="546"/>
      <c r="E546" s="546"/>
      <c r="F546" s="546"/>
      <c r="G546" s="546"/>
      <c r="H546" s="546"/>
      <c r="I546" s="546"/>
      <c r="J546" s="546"/>
      <c r="K546" s="546"/>
      <c r="L546" s="546"/>
      <c r="M546" s="378"/>
    </row>
    <row r="547" spans="2:13" hidden="1">
      <c r="B547" s="375"/>
      <c r="C547" s="546"/>
      <c r="D547" s="546"/>
      <c r="E547" s="546"/>
      <c r="F547" s="546"/>
      <c r="G547" s="546"/>
      <c r="H547" s="546"/>
      <c r="I547" s="546"/>
      <c r="J547" s="546"/>
      <c r="K547" s="546"/>
      <c r="L547" s="546"/>
      <c r="M547" s="378"/>
    </row>
    <row r="548" spans="2:13" hidden="1">
      <c r="B548" s="375"/>
      <c r="C548" s="546"/>
      <c r="D548" s="546"/>
      <c r="E548" s="546"/>
      <c r="F548" s="546"/>
      <c r="G548" s="546"/>
      <c r="H548" s="546"/>
      <c r="I548" s="546"/>
      <c r="J548" s="546"/>
      <c r="K548" s="546"/>
      <c r="L548" s="546"/>
      <c r="M548" s="378"/>
    </row>
    <row r="549" spans="2:13" hidden="1">
      <c r="B549" s="375"/>
      <c r="C549" s="546"/>
      <c r="D549" s="546"/>
      <c r="E549" s="546"/>
      <c r="F549" s="546"/>
      <c r="G549" s="546"/>
      <c r="H549" s="546"/>
      <c r="I549" s="546"/>
      <c r="J549" s="546"/>
      <c r="K549" s="546"/>
      <c r="L549" s="546"/>
      <c r="M549" s="378"/>
    </row>
    <row r="550" spans="2:13" hidden="1">
      <c r="B550" s="375"/>
      <c r="C550" s="546"/>
      <c r="D550" s="546"/>
      <c r="E550" s="546"/>
      <c r="F550" s="546"/>
      <c r="G550" s="546"/>
      <c r="H550" s="546"/>
      <c r="I550" s="546"/>
      <c r="J550" s="546"/>
      <c r="K550" s="546"/>
      <c r="L550" s="546"/>
      <c r="M550" s="378"/>
    </row>
    <row r="551" spans="2:13" hidden="1">
      <c r="B551" s="375"/>
      <c r="C551" s="546"/>
      <c r="D551" s="546"/>
      <c r="E551" s="546"/>
      <c r="F551" s="546"/>
      <c r="G551" s="546"/>
      <c r="H551" s="546"/>
      <c r="I551" s="546"/>
      <c r="J551" s="546"/>
      <c r="K551" s="546"/>
      <c r="L551" s="546"/>
      <c r="M551" s="378"/>
    </row>
    <row r="552" spans="2:13" hidden="1">
      <c r="B552" s="375"/>
      <c r="C552" s="546"/>
      <c r="D552" s="546"/>
      <c r="E552" s="546"/>
      <c r="F552" s="546"/>
      <c r="G552" s="546"/>
      <c r="H552" s="546"/>
      <c r="I552" s="546"/>
      <c r="J552" s="546"/>
      <c r="K552" s="546"/>
      <c r="L552" s="546"/>
      <c r="M552" s="378"/>
    </row>
    <row r="553" spans="2:13" hidden="1">
      <c r="B553" s="375"/>
      <c r="C553" s="546"/>
      <c r="D553" s="546"/>
      <c r="E553" s="546"/>
      <c r="F553" s="546"/>
      <c r="G553" s="546"/>
      <c r="H553" s="546"/>
      <c r="I553" s="546"/>
      <c r="J553" s="546"/>
      <c r="K553" s="546"/>
      <c r="L553" s="546"/>
      <c r="M553" s="378"/>
    </row>
    <row r="554" spans="2:13" hidden="1">
      <c r="B554" s="375"/>
      <c r="C554" s="546"/>
      <c r="D554" s="546"/>
      <c r="E554" s="546"/>
      <c r="F554" s="546"/>
      <c r="G554" s="546"/>
      <c r="H554" s="546"/>
      <c r="I554" s="546"/>
      <c r="J554" s="546"/>
      <c r="K554" s="546"/>
      <c r="L554" s="546"/>
      <c r="M554" s="378"/>
    </row>
    <row r="555" spans="2:13" hidden="1">
      <c r="B555" s="375"/>
      <c r="C555" s="546"/>
      <c r="D555" s="546"/>
      <c r="E555" s="546"/>
      <c r="F555" s="546"/>
      <c r="G555" s="546"/>
      <c r="H555" s="546"/>
      <c r="I555" s="546"/>
      <c r="J555" s="546"/>
      <c r="K555" s="546"/>
      <c r="L555" s="546"/>
      <c r="M555" s="378"/>
    </row>
    <row r="556" spans="2:13" hidden="1">
      <c r="B556" s="375"/>
      <c r="C556" s="546"/>
      <c r="D556" s="546"/>
      <c r="E556" s="546"/>
      <c r="F556" s="546"/>
      <c r="G556" s="546"/>
      <c r="H556" s="546"/>
      <c r="I556" s="546"/>
      <c r="J556" s="546"/>
      <c r="K556" s="546"/>
      <c r="L556" s="546"/>
      <c r="M556" s="378"/>
    </row>
    <row r="557" spans="2:13" hidden="1">
      <c r="B557" s="375"/>
      <c r="C557" s="546"/>
      <c r="D557" s="546"/>
      <c r="E557" s="546"/>
      <c r="F557" s="546"/>
      <c r="G557" s="546"/>
      <c r="H557" s="546"/>
      <c r="I557" s="546"/>
      <c r="J557" s="546"/>
      <c r="K557" s="546"/>
      <c r="L557" s="546"/>
      <c r="M557" s="378"/>
    </row>
    <row r="558" spans="2:13" hidden="1">
      <c r="B558" s="375"/>
      <c r="C558" s="546"/>
      <c r="D558" s="546"/>
      <c r="E558" s="546"/>
      <c r="F558" s="546"/>
      <c r="G558" s="546"/>
      <c r="H558" s="546"/>
      <c r="I558" s="546"/>
      <c r="J558" s="546"/>
      <c r="K558" s="546"/>
      <c r="L558" s="546"/>
      <c r="M558" s="378"/>
    </row>
    <row r="559" spans="2:13" hidden="1">
      <c r="B559" s="375"/>
      <c r="C559" s="546"/>
      <c r="D559" s="546"/>
      <c r="E559" s="546"/>
      <c r="F559" s="546"/>
      <c r="G559" s="546"/>
      <c r="H559" s="546"/>
      <c r="I559" s="546"/>
      <c r="J559" s="546"/>
      <c r="K559" s="546"/>
      <c r="L559" s="546"/>
      <c r="M559" s="378"/>
    </row>
    <row r="560" spans="2:13" hidden="1">
      <c r="B560" s="375"/>
      <c r="C560" s="546"/>
      <c r="D560" s="546"/>
      <c r="E560" s="546"/>
      <c r="F560" s="546"/>
      <c r="G560" s="546"/>
      <c r="H560" s="546"/>
      <c r="I560" s="546"/>
      <c r="J560" s="546"/>
      <c r="K560" s="546"/>
      <c r="L560" s="546"/>
      <c r="M560" s="378"/>
    </row>
    <row r="561" spans="2:13" hidden="1">
      <c r="B561" s="375"/>
      <c r="C561" s="546"/>
      <c r="D561" s="546"/>
      <c r="E561" s="546"/>
      <c r="F561" s="546"/>
      <c r="G561" s="546"/>
      <c r="H561" s="546"/>
      <c r="I561" s="546"/>
      <c r="J561" s="546"/>
      <c r="K561" s="546"/>
      <c r="L561" s="546"/>
      <c r="M561" s="378"/>
    </row>
    <row r="562" spans="2:13" hidden="1">
      <c r="B562" s="375"/>
      <c r="C562" s="546"/>
      <c r="D562" s="546"/>
      <c r="E562" s="546"/>
      <c r="F562" s="546"/>
      <c r="G562" s="546"/>
      <c r="H562" s="546"/>
      <c r="I562" s="546"/>
      <c r="J562" s="546"/>
      <c r="K562" s="546"/>
      <c r="L562" s="546"/>
      <c r="M562" s="378"/>
    </row>
    <row r="563" spans="2:13" hidden="1">
      <c r="B563" s="375"/>
      <c r="C563" s="546"/>
      <c r="D563" s="546"/>
      <c r="E563" s="546"/>
      <c r="F563" s="546"/>
      <c r="G563" s="546"/>
      <c r="H563" s="546"/>
      <c r="I563" s="546"/>
      <c r="J563" s="546"/>
      <c r="K563" s="546"/>
      <c r="L563" s="546"/>
      <c r="M563" s="378"/>
    </row>
    <row r="564" spans="2:13" hidden="1">
      <c r="B564" s="375"/>
      <c r="C564" s="546"/>
      <c r="D564" s="546"/>
      <c r="E564" s="546"/>
      <c r="F564" s="546"/>
      <c r="G564" s="546"/>
      <c r="H564" s="546"/>
      <c r="I564" s="546"/>
      <c r="J564" s="546"/>
      <c r="K564" s="546"/>
      <c r="L564" s="546"/>
      <c r="M564" s="378"/>
    </row>
    <row r="565" spans="2:13" hidden="1">
      <c r="B565" s="375"/>
      <c r="C565" s="546"/>
      <c r="D565" s="546"/>
      <c r="E565" s="546"/>
      <c r="F565" s="546"/>
      <c r="G565" s="546"/>
      <c r="H565" s="546"/>
      <c r="I565" s="546"/>
      <c r="J565" s="546"/>
      <c r="K565" s="546"/>
      <c r="L565" s="546"/>
      <c r="M565" s="378"/>
    </row>
    <row r="566" spans="2:13" hidden="1">
      <c r="B566" s="375"/>
      <c r="C566" s="546"/>
      <c r="D566" s="546"/>
      <c r="E566" s="546"/>
      <c r="F566" s="546"/>
      <c r="G566" s="546"/>
      <c r="H566" s="546"/>
      <c r="I566" s="546"/>
      <c r="J566" s="546"/>
      <c r="K566" s="546"/>
      <c r="L566" s="546"/>
      <c r="M566" s="378"/>
    </row>
    <row r="567" spans="2:13" hidden="1">
      <c r="B567" s="375"/>
      <c r="C567" s="546"/>
      <c r="D567" s="546"/>
      <c r="E567" s="546"/>
      <c r="F567" s="546"/>
      <c r="G567" s="546"/>
      <c r="H567" s="546"/>
      <c r="I567" s="546"/>
      <c r="J567" s="546"/>
      <c r="K567" s="546"/>
      <c r="L567" s="546"/>
      <c r="M567" s="378"/>
    </row>
    <row r="568" spans="2:13" hidden="1">
      <c r="B568" s="375"/>
      <c r="C568" s="546"/>
      <c r="D568" s="546"/>
      <c r="E568" s="546"/>
      <c r="F568" s="546"/>
      <c r="G568" s="546"/>
      <c r="H568" s="546"/>
      <c r="I568" s="546"/>
      <c r="J568" s="546"/>
      <c r="K568" s="546"/>
      <c r="L568" s="546"/>
      <c r="M568" s="378"/>
    </row>
    <row r="569" spans="2:13" hidden="1">
      <c r="B569" s="375"/>
      <c r="C569" s="546"/>
      <c r="D569" s="546"/>
      <c r="E569" s="546"/>
      <c r="F569" s="546"/>
      <c r="G569" s="546"/>
      <c r="H569" s="546"/>
      <c r="I569" s="546"/>
      <c r="J569" s="546"/>
      <c r="K569" s="546"/>
      <c r="L569" s="546"/>
      <c r="M569" s="378"/>
    </row>
    <row r="570" spans="2:13" hidden="1">
      <c r="B570" s="375"/>
      <c r="C570" s="546"/>
      <c r="D570" s="546"/>
      <c r="E570" s="546"/>
      <c r="F570" s="546"/>
      <c r="G570" s="546"/>
      <c r="H570" s="546"/>
      <c r="I570" s="546"/>
      <c r="J570" s="546"/>
      <c r="K570" s="546"/>
      <c r="L570" s="546"/>
      <c r="M570" s="378"/>
    </row>
    <row r="571" spans="2:13" hidden="1">
      <c r="B571" s="375"/>
      <c r="C571" s="546"/>
      <c r="D571" s="546"/>
      <c r="E571" s="546"/>
      <c r="F571" s="546"/>
      <c r="G571" s="546"/>
      <c r="H571" s="546"/>
      <c r="I571" s="546"/>
      <c r="J571" s="546"/>
      <c r="K571" s="546"/>
      <c r="L571" s="546"/>
      <c r="M571" s="378"/>
    </row>
    <row r="572" spans="2:13" hidden="1">
      <c r="B572" s="375"/>
      <c r="C572" s="546"/>
      <c r="D572" s="546"/>
      <c r="E572" s="546"/>
      <c r="F572" s="546"/>
      <c r="G572" s="546"/>
      <c r="H572" s="546"/>
      <c r="I572" s="546"/>
      <c r="J572" s="546"/>
      <c r="K572" s="546"/>
      <c r="L572" s="546"/>
      <c r="M572" s="378"/>
    </row>
    <row r="573" spans="2:13" hidden="1">
      <c r="B573" s="375"/>
      <c r="C573" s="546"/>
      <c r="D573" s="546"/>
      <c r="E573" s="546"/>
      <c r="F573" s="546"/>
      <c r="G573" s="546"/>
      <c r="H573" s="546"/>
      <c r="I573" s="546"/>
      <c r="J573" s="546"/>
      <c r="K573" s="546"/>
      <c r="L573" s="546"/>
      <c r="M573" s="378"/>
    </row>
    <row r="574" spans="2:13" hidden="1">
      <c r="B574" s="375"/>
      <c r="C574" s="546"/>
      <c r="D574" s="546"/>
      <c r="E574" s="546"/>
      <c r="F574" s="546"/>
      <c r="G574" s="546"/>
      <c r="H574" s="546"/>
      <c r="I574" s="546"/>
      <c r="J574" s="546"/>
      <c r="K574" s="546"/>
      <c r="L574" s="546"/>
      <c r="M574" s="378"/>
    </row>
    <row r="575" spans="2:13" hidden="1">
      <c r="B575" s="375"/>
      <c r="C575" s="546"/>
      <c r="D575" s="546"/>
      <c r="E575" s="546"/>
      <c r="F575" s="546"/>
      <c r="G575" s="546"/>
      <c r="H575" s="546"/>
      <c r="I575" s="546"/>
      <c r="J575" s="546"/>
      <c r="K575" s="546"/>
      <c r="L575" s="546"/>
      <c r="M575" s="378"/>
    </row>
    <row r="576" spans="2:13" hidden="1">
      <c r="B576" s="375"/>
      <c r="C576" s="546"/>
      <c r="D576" s="546"/>
      <c r="E576" s="546"/>
      <c r="F576" s="546"/>
      <c r="G576" s="546"/>
      <c r="H576" s="546"/>
      <c r="I576" s="546"/>
      <c r="J576" s="546"/>
      <c r="K576" s="546"/>
      <c r="L576" s="546"/>
      <c r="M576" s="378"/>
    </row>
    <row r="577" spans="2:13" hidden="1">
      <c r="B577" s="375"/>
      <c r="C577" s="546"/>
      <c r="D577" s="546"/>
      <c r="E577" s="546"/>
      <c r="F577" s="546"/>
      <c r="G577" s="546"/>
      <c r="H577" s="546"/>
      <c r="I577" s="546"/>
      <c r="J577" s="546"/>
      <c r="K577" s="546"/>
      <c r="L577" s="546"/>
      <c r="M577" s="378"/>
    </row>
    <row r="578" spans="2:13" hidden="1">
      <c r="B578" s="375"/>
      <c r="C578" s="546"/>
      <c r="D578" s="546"/>
      <c r="E578" s="546"/>
      <c r="F578" s="546"/>
      <c r="G578" s="546"/>
      <c r="H578" s="546"/>
      <c r="I578" s="546"/>
      <c r="J578" s="546"/>
      <c r="K578" s="546"/>
      <c r="L578" s="546"/>
      <c r="M578" s="378"/>
    </row>
    <row r="579" spans="2:13" hidden="1">
      <c r="B579" s="375"/>
      <c r="C579" s="546"/>
      <c r="D579" s="546"/>
      <c r="E579" s="546"/>
      <c r="F579" s="546"/>
      <c r="G579" s="546"/>
      <c r="H579" s="546"/>
      <c r="I579" s="546"/>
      <c r="J579" s="546"/>
      <c r="K579" s="546"/>
      <c r="L579" s="546"/>
      <c r="M579" s="378"/>
    </row>
    <row r="580" spans="2:13" hidden="1">
      <c r="B580" s="375"/>
      <c r="C580" s="546"/>
      <c r="D580" s="546"/>
      <c r="E580" s="546"/>
      <c r="F580" s="546"/>
      <c r="G580" s="546"/>
      <c r="H580" s="546"/>
      <c r="I580" s="546"/>
      <c r="J580" s="546"/>
      <c r="K580" s="546"/>
      <c r="L580" s="546"/>
      <c r="M580" s="378"/>
    </row>
    <row r="581" spans="2:13" hidden="1">
      <c r="B581" s="375"/>
      <c r="C581" s="546"/>
      <c r="D581" s="546"/>
      <c r="E581" s="546"/>
      <c r="F581" s="546"/>
      <c r="G581" s="546"/>
      <c r="H581" s="546"/>
      <c r="I581" s="546"/>
      <c r="J581" s="546"/>
      <c r="K581" s="546"/>
      <c r="L581" s="546"/>
      <c r="M581" s="378"/>
    </row>
    <row r="582" spans="2:13" hidden="1">
      <c r="B582" s="375"/>
      <c r="C582" s="546"/>
      <c r="D582" s="546"/>
      <c r="E582" s="546"/>
      <c r="F582" s="546"/>
      <c r="G582" s="546"/>
      <c r="H582" s="546"/>
      <c r="I582" s="546"/>
      <c r="J582" s="546"/>
      <c r="K582" s="546"/>
      <c r="L582" s="546"/>
      <c r="M582" s="378"/>
    </row>
    <row r="583" spans="2:13" hidden="1">
      <c r="B583" s="375"/>
      <c r="C583" s="546"/>
      <c r="D583" s="546"/>
      <c r="E583" s="546"/>
      <c r="F583" s="546"/>
      <c r="G583" s="546"/>
      <c r="H583" s="546"/>
      <c r="I583" s="546"/>
      <c r="J583" s="546"/>
      <c r="K583" s="546"/>
      <c r="L583" s="546"/>
      <c r="M583" s="378"/>
    </row>
    <row r="584" spans="2:13" hidden="1">
      <c r="B584" s="375"/>
      <c r="C584" s="546"/>
      <c r="D584" s="546"/>
      <c r="E584" s="546"/>
      <c r="F584" s="546"/>
      <c r="G584" s="546"/>
      <c r="H584" s="546"/>
      <c r="I584" s="546"/>
      <c r="J584" s="546"/>
      <c r="K584" s="546"/>
      <c r="L584" s="546"/>
      <c r="M584" s="378"/>
    </row>
    <row r="585" spans="2:13" hidden="1">
      <c r="B585" s="375"/>
      <c r="C585" s="546"/>
      <c r="D585" s="546"/>
      <c r="E585" s="546"/>
      <c r="F585" s="546"/>
      <c r="G585" s="546"/>
      <c r="H585" s="546"/>
      <c r="I585" s="546"/>
      <c r="J585" s="546"/>
      <c r="K585" s="546"/>
      <c r="L585" s="546"/>
      <c r="M585" s="378"/>
    </row>
    <row r="586" spans="2:13" hidden="1">
      <c r="B586" s="375"/>
      <c r="C586" s="546"/>
      <c r="D586" s="546"/>
      <c r="E586" s="546"/>
      <c r="F586" s="546"/>
      <c r="G586" s="546"/>
      <c r="H586" s="546"/>
      <c r="I586" s="546"/>
      <c r="J586" s="546"/>
      <c r="K586" s="546"/>
      <c r="L586" s="546"/>
      <c r="M586" s="378"/>
    </row>
    <row r="587" spans="2:13" hidden="1">
      <c r="B587" s="375"/>
      <c r="C587" s="546"/>
      <c r="D587" s="546"/>
      <c r="E587" s="546"/>
      <c r="F587" s="546"/>
      <c r="G587" s="546"/>
      <c r="H587" s="546"/>
      <c r="I587" s="546"/>
      <c r="J587" s="546"/>
      <c r="K587" s="546"/>
      <c r="L587" s="546"/>
      <c r="M587" s="378"/>
    </row>
    <row r="588" spans="2:13" hidden="1">
      <c r="B588" s="375"/>
      <c r="C588" s="546"/>
      <c r="D588" s="546"/>
      <c r="E588" s="546"/>
      <c r="F588" s="546"/>
      <c r="G588" s="546"/>
      <c r="H588" s="546"/>
      <c r="I588" s="546"/>
      <c r="J588" s="546"/>
      <c r="K588" s="546"/>
      <c r="L588" s="546"/>
      <c r="M588" s="378"/>
    </row>
    <row r="589" spans="2:13" hidden="1">
      <c r="B589" s="375"/>
      <c r="C589" s="546"/>
      <c r="D589" s="546"/>
      <c r="E589" s="546"/>
      <c r="F589" s="546"/>
      <c r="G589" s="546"/>
      <c r="H589" s="546"/>
      <c r="I589" s="546"/>
      <c r="J589" s="546"/>
      <c r="K589" s="546"/>
      <c r="L589" s="546"/>
      <c r="M589" s="378"/>
    </row>
    <row r="590" spans="2:13" hidden="1">
      <c r="B590" s="375"/>
      <c r="C590" s="546"/>
      <c r="D590" s="546"/>
      <c r="E590" s="546"/>
      <c r="F590" s="546"/>
      <c r="G590" s="546"/>
      <c r="H590" s="546"/>
      <c r="I590" s="546"/>
      <c r="J590" s="546"/>
      <c r="K590" s="546"/>
      <c r="L590" s="546"/>
      <c r="M590" s="378"/>
    </row>
    <row r="591" spans="2:13" hidden="1">
      <c r="B591" s="375"/>
      <c r="C591" s="546"/>
      <c r="D591" s="546"/>
      <c r="E591" s="546"/>
      <c r="F591" s="546"/>
      <c r="G591" s="546"/>
      <c r="H591" s="546"/>
      <c r="I591" s="546"/>
      <c r="J591" s="546"/>
      <c r="K591" s="546"/>
      <c r="L591" s="546"/>
      <c r="M591" s="378"/>
    </row>
    <row r="592" spans="2:13" hidden="1">
      <c r="B592" s="375"/>
      <c r="C592" s="546"/>
      <c r="D592" s="546"/>
      <c r="E592" s="546"/>
      <c r="F592" s="546"/>
      <c r="G592" s="546"/>
      <c r="H592" s="546"/>
      <c r="I592" s="546"/>
      <c r="J592" s="546"/>
      <c r="K592" s="546"/>
      <c r="L592" s="546"/>
      <c r="M592" s="378"/>
    </row>
    <row r="593" spans="2:13" hidden="1">
      <c r="B593" s="375"/>
      <c r="C593" s="546"/>
      <c r="D593" s="546"/>
      <c r="E593" s="546"/>
      <c r="F593" s="546"/>
      <c r="G593" s="546"/>
      <c r="H593" s="546"/>
      <c r="I593" s="546"/>
      <c r="J593" s="546"/>
      <c r="K593" s="546"/>
      <c r="L593" s="546"/>
      <c r="M593" s="378"/>
    </row>
    <row r="594" spans="2:13" hidden="1">
      <c r="B594" s="375"/>
      <c r="C594" s="546"/>
      <c r="D594" s="546"/>
      <c r="E594" s="546"/>
      <c r="F594" s="546"/>
      <c r="G594" s="546"/>
      <c r="H594" s="546"/>
      <c r="I594" s="546"/>
      <c r="J594" s="546"/>
      <c r="K594" s="546"/>
      <c r="L594" s="546"/>
      <c r="M594" s="378"/>
    </row>
    <row r="595" spans="2:13" hidden="1">
      <c r="B595" s="375"/>
      <c r="C595" s="546"/>
      <c r="D595" s="546"/>
      <c r="E595" s="546"/>
      <c r="F595" s="546"/>
      <c r="G595" s="546"/>
      <c r="H595" s="546"/>
      <c r="I595" s="546"/>
      <c r="J595" s="546"/>
      <c r="K595" s="546"/>
      <c r="L595" s="546"/>
      <c r="M595" s="378"/>
    </row>
    <row r="596" spans="2:13" hidden="1">
      <c r="B596" s="375"/>
      <c r="C596" s="546"/>
      <c r="D596" s="546"/>
      <c r="E596" s="546"/>
      <c r="F596" s="546"/>
      <c r="G596" s="546"/>
      <c r="H596" s="546"/>
      <c r="I596" s="546"/>
      <c r="J596" s="546"/>
      <c r="K596" s="546"/>
      <c r="L596" s="546"/>
      <c r="M596" s="378"/>
    </row>
    <row r="597" spans="2:13" hidden="1">
      <c r="B597" s="375"/>
      <c r="C597" s="546"/>
      <c r="D597" s="546"/>
      <c r="E597" s="546"/>
      <c r="F597" s="546"/>
      <c r="G597" s="546"/>
      <c r="H597" s="546"/>
      <c r="I597" s="546"/>
      <c r="J597" s="546"/>
      <c r="K597" s="546"/>
      <c r="L597" s="546"/>
      <c r="M597" s="378"/>
    </row>
    <row r="598" spans="2:13" hidden="1">
      <c r="B598" s="375"/>
      <c r="C598" s="546"/>
      <c r="D598" s="546"/>
      <c r="E598" s="546"/>
      <c r="F598" s="546"/>
      <c r="G598" s="546"/>
      <c r="H598" s="546"/>
      <c r="I598" s="546"/>
      <c r="J598" s="546"/>
      <c r="K598" s="546"/>
      <c r="L598" s="546"/>
      <c r="M598" s="378"/>
    </row>
    <row r="599" spans="2:13" hidden="1">
      <c r="B599" s="375"/>
      <c r="C599" s="546"/>
      <c r="D599" s="546"/>
      <c r="E599" s="546"/>
      <c r="F599" s="546"/>
      <c r="G599" s="546"/>
      <c r="H599" s="546"/>
      <c r="I599" s="546"/>
      <c r="J599" s="546"/>
      <c r="K599" s="546"/>
      <c r="L599" s="546"/>
      <c r="M599" s="378"/>
    </row>
    <row r="600" spans="2:13" hidden="1">
      <c r="B600" s="375"/>
      <c r="C600" s="546"/>
      <c r="D600" s="546"/>
      <c r="E600" s="546"/>
      <c r="F600" s="546"/>
      <c r="G600" s="546"/>
      <c r="H600" s="546"/>
      <c r="I600" s="546"/>
      <c r="J600" s="546"/>
      <c r="K600" s="546"/>
      <c r="L600" s="546"/>
      <c r="M600" s="378"/>
    </row>
    <row r="601" spans="2:13" hidden="1">
      <c r="B601" s="375"/>
      <c r="C601" s="546"/>
      <c r="D601" s="546"/>
      <c r="E601" s="546"/>
      <c r="F601" s="546"/>
      <c r="G601" s="546"/>
      <c r="H601" s="546"/>
      <c r="I601" s="546"/>
      <c r="J601" s="546"/>
      <c r="K601" s="546"/>
      <c r="L601" s="546"/>
      <c r="M601" s="378"/>
    </row>
    <row r="602" spans="2:13" hidden="1">
      <c r="B602" s="375"/>
      <c r="C602" s="546"/>
      <c r="D602" s="546"/>
      <c r="E602" s="546"/>
      <c r="F602" s="546"/>
      <c r="G602" s="546"/>
      <c r="H602" s="546"/>
      <c r="I602" s="546"/>
      <c r="J602" s="546"/>
      <c r="K602" s="546"/>
      <c r="L602" s="546"/>
      <c r="M602" s="378"/>
    </row>
    <row r="603" spans="2:13" hidden="1">
      <c r="B603" s="375"/>
      <c r="C603" s="546"/>
      <c r="D603" s="546"/>
      <c r="E603" s="546"/>
      <c r="F603" s="546"/>
      <c r="G603" s="546"/>
      <c r="H603" s="546"/>
      <c r="I603" s="546"/>
      <c r="J603" s="546"/>
      <c r="K603" s="546"/>
      <c r="L603" s="546"/>
      <c r="M603" s="378"/>
    </row>
    <row r="604" spans="2:13" hidden="1">
      <c r="B604" s="375"/>
      <c r="C604" s="546"/>
      <c r="D604" s="546"/>
      <c r="E604" s="546"/>
      <c r="F604" s="546"/>
      <c r="G604" s="546"/>
      <c r="H604" s="546"/>
      <c r="I604" s="546"/>
      <c r="J604" s="546"/>
      <c r="K604" s="546"/>
      <c r="L604" s="546"/>
      <c r="M604" s="378"/>
    </row>
    <row r="605" spans="2:13" hidden="1">
      <c r="B605" s="375"/>
      <c r="C605" s="546"/>
      <c r="D605" s="546"/>
      <c r="E605" s="546"/>
      <c r="F605" s="546"/>
      <c r="G605" s="546"/>
      <c r="H605" s="546"/>
      <c r="I605" s="546"/>
      <c r="J605" s="546"/>
      <c r="K605" s="546"/>
      <c r="L605" s="546"/>
      <c r="M605" s="378"/>
    </row>
    <row r="606" spans="2:13" hidden="1">
      <c r="B606" s="375"/>
      <c r="C606" s="546"/>
      <c r="D606" s="546"/>
      <c r="E606" s="546"/>
      <c r="F606" s="546"/>
      <c r="G606" s="546"/>
      <c r="H606" s="546"/>
      <c r="I606" s="546"/>
      <c r="J606" s="546"/>
      <c r="K606" s="546"/>
      <c r="L606" s="546"/>
      <c r="M606" s="378"/>
    </row>
    <row r="607" spans="2:13" hidden="1">
      <c r="B607" s="375"/>
      <c r="C607" s="546"/>
      <c r="D607" s="546"/>
      <c r="E607" s="546"/>
      <c r="F607" s="546"/>
      <c r="G607" s="546"/>
      <c r="H607" s="546"/>
      <c r="I607" s="546"/>
      <c r="J607" s="546"/>
      <c r="K607" s="546"/>
      <c r="L607" s="546"/>
      <c r="M607" s="378"/>
    </row>
    <row r="608" spans="2:13" hidden="1">
      <c r="B608" s="375"/>
      <c r="C608" s="546"/>
      <c r="D608" s="546"/>
      <c r="E608" s="546"/>
      <c r="F608" s="546"/>
      <c r="G608" s="546"/>
      <c r="H608" s="546"/>
      <c r="I608" s="546"/>
      <c r="J608" s="546"/>
      <c r="K608" s="546"/>
      <c r="L608" s="546"/>
      <c r="M608" s="378"/>
    </row>
    <row r="609" spans="2:13" hidden="1">
      <c r="B609" s="375"/>
      <c r="C609" s="546"/>
      <c r="D609" s="546"/>
      <c r="E609" s="546"/>
      <c r="F609" s="546"/>
      <c r="G609" s="546"/>
      <c r="H609" s="546"/>
      <c r="I609" s="546"/>
      <c r="J609" s="546"/>
      <c r="K609" s="546"/>
      <c r="L609" s="546"/>
      <c r="M609" s="378"/>
    </row>
    <row r="610" spans="2:13" hidden="1">
      <c r="B610" s="375"/>
      <c r="C610" s="546"/>
      <c r="D610" s="546"/>
      <c r="E610" s="546"/>
      <c r="F610" s="546"/>
      <c r="G610" s="546"/>
      <c r="H610" s="546"/>
      <c r="I610" s="546"/>
      <c r="J610" s="546"/>
      <c r="K610" s="546"/>
      <c r="L610" s="546"/>
      <c r="M610" s="378"/>
    </row>
    <row r="611" spans="2:13" hidden="1">
      <c r="B611" s="375"/>
      <c r="C611" s="546"/>
      <c r="D611" s="546"/>
      <c r="E611" s="546"/>
      <c r="F611" s="546"/>
      <c r="G611" s="546"/>
      <c r="H611" s="546"/>
      <c r="I611" s="546"/>
      <c r="J611" s="546"/>
      <c r="K611" s="546"/>
      <c r="L611" s="546"/>
      <c r="M611" s="378"/>
    </row>
    <row r="612" spans="2:13" hidden="1">
      <c r="B612" s="375"/>
      <c r="C612" s="546"/>
      <c r="D612" s="546"/>
      <c r="E612" s="546"/>
      <c r="F612" s="546"/>
      <c r="G612" s="546"/>
      <c r="H612" s="546"/>
      <c r="I612" s="546"/>
      <c r="J612" s="546"/>
      <c r="K612" s="546"/>
      <c r="L612" s="546"/>
      <c r="M612" s="378"/>
    </row>
    <row r="613" spans="2:13" hidden="1">
      <c r="B613" s="375"/>
      <c r="C613" s="546"/>
      <c r="D613" s="546"/>
      <c r="E613" s="546"/>
      <c r="F613" s="546"/>
      <c r="G613" s="546"/>
      <c r="H613" s="546"/>
      <c r="I613" s="546"/>
      <c r="J613" s="546"/>
      <c r="K613" s="546"/>
      <c r="L613" s="546"/>
      <c r="M613" s="378"/>
    </row>
    <row r="614" spans="2:13" hidden="1">
      <c r="B614" s="375"/>
      <c r="C614" s="546"/>
      <c r="D614" s="546"/>
      <c r="E614" s="546"/>
      <c r="F614" s="546"/>
      <c r="G614" s="546"/>
      <c r="H614" s="546"/>
      <c r="I614" s="546"/>
      <c r="J614" s="546"/>
      <c r="K614" s="546"/>
      <c r="L614" s="546"/>
      <c r="M614" s="378"/>
    </row>
    <row r="615" spans="2:13" hidden="1">
      <c r="B615" s="375"/>
      <c r="C615" s="546"/>
      <c r="D615" s="546"/>
      <c r="E615" s="546"/>
      <c r="F615" s="546"/>
      <c r="G615" s="546"/>
      <c r="H615" s="546"/>
      <c r="I615" s="546"/>
      <c r="J615" s="546"/>
      <c r="K615" s="546"/>
      <c r="L615" s="546"/>
      <c r="M615" s="378"/>
    </row>
    <row r="616" spans="2:13" hidden="1">
      <c r="B616" s="375"/>
      <c r="C616" s="546"/>
      <c r="D616" s="546"/>
      <c r="E616" s="546"/>
      <c r="F616" s="546"/>
      <c r="G616" s="546"/>
      <c r="H616" s="546"/>
      <c r="I616" s="546"/>
      <c r="J616" s="546"/>
      <c r="K616" s="546"/>
      <c r="L616" s="546"/>
      <c r="M616" s="378"/>
    </row>
    <row r="617" spans="2:13" hidden="1">
      <c r="B617" s="375"/>
      <c r="C617" s="546"/>
      <c r="D617" s="546"/>
      <c r="E617" s="546"/>
      <c r="F617" s="546"/>
      <c r="G617" s="546"/>
      <c r="H617" s="546"/>
      <c r="I617" s="546"/>
      <c r="J617" s="546"/>
      <c r="K617" s="546"/>
      <c r="L617" s="546"/>
      <c r="M617" s="378"/>
    </row>
    <row r="618" spans="2:13" hidden="1">
      <c r="B618" s="375"/>
      <c r="C618" s="546"/>
      <c r="D618" s="546"/>
      <c r="E618" s="546"/>
      <c r="F618" s="546"/>
      <c r="G618" s="546"/>
      <c r="H618" s="546"/>
      <c r="I618" s="546"/>
      <c r="J618" s="546"/>
      <c r="K618" s="546"/>
      <c r="L618" s="546"/>
      <c r="M618" s="378"/>
    </row>
    <row r="619" spans="2:13" hidden="1">
      <c r="B619" s="375"/>
      <c r="C619" s="546"/>
      <c r="D619" s="546"/>
      <c r="E619" s="546"/>
      <c r="F619" s="546"/>
      <c r="G619" s="546"/>
      <c r="H619" s="546"/>
      <c r="I619" s="546"/>
      <c r="J619" s="546"/>
      <c r="K619" s="546"/>
      <c r="L619" s="546"/>
      <c r="M619" s="378"/>
    </row>
    <row r="620" spans="2:13" hidden="1">
      <c r="B620" s="375"/>
      <c r="C620" s="546"/>
      <c r="D620" s="546"/>
      <c r="E620" s="546"/>
      <c r="F620" s="546"/>
      <c r="G620" s="546"/>
      <c r="H620" s="546"/>
      <c r="I620" s="546"/>
      <c r="J620" s="546"/>
      <c r="K620" s="546"/>
      <c r="L620" s="546"/>
      <c r="M620" s="378"/>
    </row>
    <row r="621" spans="2:13" hidden="1">
      <c r="B621" s="375"/>
      <c r="C621" s="546"/>
      <c r="D621" s="546"/>
      <c r="E621" s="546"/>
      <c r="F621" s="546"/>
      <c r="G621" s="546"/>
      <c r="H621" s="546"/>
      <c r="I621" s="546"/>
      <c r="J621" s="546"/>
      <c r="K621" s="546"/>
      <c r="L621" s="546"/>
      <c r="M621" s="378"/>
    </row>
    <row r="622" spans="2:13" hidden="1">
      <c r="B622" s="375"/>
      <c r="C622" s="546"/>
      <c r="D622" s="546"/>
      <c r="E622" s="546"/>
      <c r="F622" s="546"/>
      <c r="G622" s="546"/>
      <c r="H622" s="546"/>
      <c r="I622" s="546"/>
      <c r="J622" s="546"/>
      <c r="K622" s="546"/>
      <c r="L622" s="546"/>
      <c r="M622" s="378"/>
    </row>
    <row r="623" spans="2:13" hidden="1">
      <c r="B623" s="375"/>
      <c r="C623" s="546"/>
      <c r="D623" s="546"/>
      <c r="E623" s="546"/>
      <c r="F623" s="546"/>
      <c r="G623" s="546"/>
      <c r="H623" s="546"/>
      <c r="I623" s="546"/>
      <c r="J623" s="546"/>
      <c r="K623" s="546"/>
      <c r="L623" s="546"/>
      <c r="M623" s="378"/>
    </row>
    <row r="624" spans="2:13" hidden="1">
      <c r="B624" s="375"/>
      <c r="C624" s="546"/>
      <c r="D624" s="546"/>
      <c r="E624" s="546"/>
      <c r="F624" s="546"/>
      <c r="G624" s="546"/>
      <c r="H624" s="546"/>
      <c r="I624" s="546"/>
      <c r="J624" s="546"/>
      <c r="K624" s="546"/>
      <c r="L624" s="546"/>
      <c r="M624" s="378"/>
    </row>
    <row r="625" spans="2:13" hidden="1">
      <c r="B625" s="375"/>
      <c r="C625" s="546"/>
      <c r="D625" s="546"/>
      <c r="E625" s="546"/>
      <c r="F625" s="546"/>
      <c r="G625" s="546"/>
      <c r="H625" s="546"/>
      <c r="I625" s="546"/>
      <c r="J625" s="546"/>
      <c r="K625" s="546"/>
      <c r="L625" s="546"/>
      <c r="M625" s="378"/>
    </row>
    <row r="626" spans="2:13" hidden="1">
      <c r="B626" s="375"/>
      <c r="C626" s="546"/>
      <c r="D626" s="546"/>
      <c r="E626" s="546"/>
      <c r="F626" s="546"/>
      <c r="G626" s="546"/>
      <c r="H626" s="546"/>
      <c r="I626" s="546"/>
      <c r="J626" s="546"/>
      <c r="K626" s="546"/>
      <c r="L626" s="546"/>
      <c r="M626" s="378"/>
    </row>
    <row r="627" spans="2:13" hidden="1">
      <c r="B627" s="375"/>
      <c r="C627" s="546"/>
      <c r="D627" s="546"/>
      <c r="E627" s="546"/>
      <c r="F627" s="546"/>
      <c r="G627" s="546"/>
      <c r="H627" s="546"/>
      <c r="I627" s="546"/>
      <c r="J627" s="546"/>
      <c r="K627" s="546"/>
      <c r="L627" s="546"/>
      <c r="M627" s="378"/>
    </row>
    <row r="628" spans="2:13" hidden="1">
      <c r="B628" s="375"/>
      <c r="C628" s="546"/>
      <c r="D628" s="546"/>
      <c r="E628" s="546"/>
      <c r="F628" s="546"/>
      <c r="G628" s="546"/>
      <c r="H628" s="546"/>
      <c r="I628" s="546"/>
      <c r="J628" s="546"/>
      <c r="K628" s="546"/>
      <c r="L628" s="546"/>
      <c r="M628" s="378"/>
    </row>
    <row r="629" spans="2:13" hidden="1">
      <c r="B629" s="375"/>
      <c r="C629" s="546"/>
      <c r="D629" s="546"/>
      <c r="E629" s="546"/>
      <c r="F629" s="546"/>
      <c r="G629" s="546"/>
      <c r="H629" s="546"/>
      <c r="I629" s="546"/>
      <c r="J629" s="546"/>
      <c r="K629" s="546"/>
      <c r="L629" s="546"/>
      <c r="M629" s="378"/>
    </row>
    <row r="630" spans="2:13" hidden="1">
      <c r="B630" s="375"/>
      <c r="C630" s="546"/>
      <c r="D630" s="546"/>
      <c r="E630" s="546"/>
      <c r="F630" s="546"/>
      <c r="G630" s="546"/>
      <c r="H630" s="546"/>
      <c r="I630" s="546"/>
      <c r="J630" s="546"/>
      <c r="K630" s="546"/>
      <c r="L630" s="546"/>
      <c r="M630" s="378"/>
    </row>
    <row r="631" spans="2:13" hidden="1">
      <c r="B631" s="375"/>
      <c r="C631" s="546"/>
      <c r="D631" s="546"/>
      <c r="E631" s="546"/>
      <c r="F631" s="546"/>
      <c r="G631" s="546"/>
      <c r="H631" s="546"/>
      <c r="I631" s="546"/>
      <c r="J631" s="546"/>
      <c r="K631" s="546"/>
      <c r="L631" s="546"/>
      <c r="M631" s="378"/>
    </row>
    <row r="632" spans="2:13" hidden="1">
      <c r="B632" s="375"/>
      <c r="C632" s="546"/>
      <c r="D632" s="546"/>
      <c r="E632" s="546"/>
      <c r="F632" s="546"/>
      <c r="G632" s="546"/>
      <c r="H632" s="546"/>
      <c r="I632" s="546"/>
      <c r="J632" s="546"/>
      <c r="K632" s="546"/>
      <c r="L632" s="546"/>
      <c r="M632" s="378"/>
    </row>
    <row r="633" spans="2:13" hidden="1">
      <c r="B633" s="375"/>
      <c r="C633" s="546"/>
      <c r="D633" s="546"/>
      <c r="E633" s="546"/>
      <c r="F633" s="546"/>
      <c r="G633" s="546"/>
      <c r="H633" s="546"/>
      <c r="I633" s="546"/>
      <c r="J633" s="546"/>
      <c r="K633" s="546"/>
      <c r="L633" s="546"/>
      <c r="M633" s="378"/>
    </row>
    <row r="634" spans="2:13" hidden="1">
      <c r="B634" s="375"/>
      <c r="C634" s="546"/>
      <c r="D634" s="546"/>
      <c r="E634" s="546"/>
      <c r="F634" s="546"/>
      <c r="G634" s="546"/>
      <c r="H634" s="546"/>
      <c r="I634" s="546"/>
      <c r="J634" s="546"/>
      <c r="K634" s="546"/>
      <c r="L634" s="546"/>
      <c r="M634" s="378"/>
    </row>
    <row r="635" spans="2:13" hidden="1">
      <c r="B635" s="375"/>
      <c r="C635" s="546"/>
      <c r="D635" s="546"/>
      <c r="E635" s="546"/>
      <c r="F635" s="546"/>
      <c r="G635" s="546"/>
      <c r="H635" s="546"/>
      <c r="I635" s="546"/>
      <c r="J635" s="546"/>
      <c r="K635" s="546"/>
      <c r="L635" s="546"/>
      <c r="M635" s="378"/>
    </row>
    <row r="636" spans="2:13" hidden="1">
      <c r="B636" s="375"/>
      <c r="C636" s="546"/>
      <c r="D636" s="546"/>
      <c r="E636" s="546"/>
      <c r="F636" s="546"/>
      <c r="G636" s="546"/>
      <c r="H636" s="546"/>
      <c r="I636" s="546"/>
      <c r="J636" s="546"/>
      <c r="K636" s="546"/>
      <c r="L636" s="546"/>
      <c r="M636" s="378"/>
    </row>
    <row r="637" spans="2:13" hidden="1">
      <c r="B637" s="375"/>
      <c r="C637" s="546"/>
      <c r="D637" s="546"/>
      <c r="E637" s="546"/>
      <c r="F637" s="546"/>
      <c r="G637" s="546"/>
      <c r="H637" s="546"/>
      <c r="I637" s="546"/>
      <c r="J637" s="546"/>
      <c r="K637" s="546"/>
      <c r="L637" s="546"/>
      <c r="M637" s="378"/>
    </row>
    <row r="638" spans="2:13" hidden="1">
      <c r="B638" s="375"/>
      <c r="C638" s="546"/>
      <c r="D638" s="546"/>
      <c r="E638" s="546"/>
      <c r="F638" s="546"/>
      <c r="G638" s="546"/>
      <c r="H638" s="546"/>
      <c r="I638" s="546"/>
      <c r="J638" s="546"/>
      <c r="K638" s="546"/>
      <c r="L638" s="546"/>
      <c r="M638" s="378"/>
    </row>
    <row r="639" spans="2:13" hidden="1">
      <c r="B639" s="375"/>
      <c r="C639" s="546"/>
      <c r="D639" s="546"/>
      <c r="E639" s="546"/>
      <c r="F639" s="546"/>
      <c r="G639" s="546"/>
      <c r="H639" s="546"/>
      <c r="I639" s="546"/>
      <c r="J639" s="546"/>
      <c r="K639" s="546"/>
      <c r="L639" s="546"/>
      <c r="M639" s="378"/>
    </row>
    <row r="640" spans="2:13" hidden="1">
      <c r="B640" s="375"/>
      <c r="C640" s="546"/>
      <c r="D640" s="546"/>
      <c r="E640" s="546"/>
      <c r="F640" s="546"/>
      <c r="G640" s="546"/>
      <c r="H640" s="546"/>
      <c r="I640" s="546"/>
      <c r="J640" s="546"/>
      <c r="K640" s="546"/>
      <c r="L640" s="546"/>
      <c r="M640" s="378"/>
    </row>
    <row r="641" spans="2:13" hidden="1">
      <c r="B641" s="375"/>
      <c r="C641" s="546"/>
      <c r="D641" s="546"/>
      <c r="E641" s="546"/>
      <c r="F641" s="546"/>
      <c r="G641" s="546"/>
      <c r="H641" s="546"/>
      <c r="I641" s="546"/>
      <c r="J641" s="546"/>
      <c r="K641" s="546"/>
      <c r="L641" s="546"/>
      <c r="M641" s="378"/>
    </row>
    <row r="642" spans="2:13" hidden="1">
      <c r="B642" s="375"/>
      <c r="C642" s="546"/>
      <c r="D642" s="546"/>
      <c r="E642" s="546"/>
      <c r="F642" s="546"/>
      <c r="G642" s="546"/>
      <c r="H642" s="546"/>
      <c r="I642" s="546"/>
      <c r="J642" s="546"/>
      <c r="K642" s="546"/>
      <c r="L642" s="546"/>
      <c r="M642" s="378"/>
    </row>
    <row r="643" spans="2:13" hidden="1">
      <c r="B643" s="375"/>
      <c r="C643" s="546"/>
      <c r="D643" s="546"/>
      <c r="E643" s="546"/>
      <c r="F643" s="546"/>
      <c r="G643" s="546"/>
      <c r="H643" s="546"/>
      <c r="I643" s="546"/>
      <c r="J643" s="546"/>
      <c r="K643" s="546"/>
      <c r="L643" s="546"/>
      <c r="M643" s="378"/>
    </row>
    <row r="644" spans="2:13" hidden="1">
      <c r="B644" s="375"/>
      <c r="C644" s="546"/>
      <c r="D644" s="546"/>
      <c r="E644" s="546"/>
      <c r="F644" s="546"/>
      <c r="G644" s="546"/>
      <c r="H644" s="546"/>
      <c r="I644" s="546"/>
      <c r="J644" s="546"/>
      <c r="K644" s="546"/>
      <c r="L644" s="546"/>
      <c r="M644" s="378"/>
    </row>
    <row r="645" spans="2:13" hidden="1">
      <c r="B645" s="375"/>
      <c r="C645" s="546"/>
      <c r="D645" s="546"/>
      <c r="E645" s="546"/>
      <c r="F645" s="546"/>
      <c r="G645" s="546"/>
      <c r="H645" s="546"/>
      <c r="I645" s="546"/>
      <c r="J645" s="546"/>
      <c r="K645" s="546"/>
      <c r="L645" s="546"/>
      <c r="M645" s="378"/>
    </row>
    <row r="646" spans="2:13" hidden="1">
      <c r="B646" s="375"/>
      <c r="C646" s="546"/>
      <c r="D646" s="546"/>
      <c r="E646" s="546"/>
      <c r="F646" s="546"/>
      <c r="G646" s="546"/>
      <c r="H646" s="546"/>
      <c r="I646" s="546"/>
      <c r="J646" s="546"/>
      <c r="K646" s="546"/>
      <c r="L646" s="546"/>
      <c r="M646" s="378"/>
    </row>
    <row r="647" spans="2:13" hidden="1">
      <c r="B647" s="375"/>
      <c r="C647" s="546"/>
      <c r="D647" s="546"/>
      <c r="E647" s="546"/>
      <c r="F647" s="546"/>
      <c r="G647" s="546"/>
      <c r="H647" s="546"/>
      <c r="I647" s="546"/>
      <c r="J647" s="546"/>
      <c r="K647" s="546"/>
      <c r="L647" s="546"/>
      <c r="M647" s="378"/>
    </row>
    <row r="648" spans="2:13" hidden="1">
      <c r="B648" s="375"/>
      <c r="C648" s="546"/>
      <c r="D648" s="546"/>
      <c r="E648" s="546"/>
      <c r="F648" s="546"/>
      <c r="G648" s="546"/>
      <c r="H648" s="546"/>
      <c r="I648" s="546"/>
      <c r="J648" s="546"/>
      <c r="K648" s="546"/>
      <c r="L648" s="546"/>
      <c r="M648" s="378"/>
    </row>
    <row r="649" spans="2:13" hidden="1">
      <c r="B649" s="375"/>
      <c r="C649" s="546"/>
      <c r="D649" s="546"/>
      <c r="E649" s="546"/>
      <c r="F649" s="546"/>
      <c r="G649" s="546"/>
      <c r="H649" s="546"/>
      <c r="I649" s="546"/>
      <c r="J649" s="546"/>
      <c r="K649" s="546"/>
      <c r="L649" s="546"/>
      <c r="M649" s="378"/>
    </row>
    <row r="650" spans="2:13" hidden="1">
      <c r="B650" s="375"/>
      <c r="C650" s="546"/>
      <c r="D650" s="546"/>
      <c r="E650" s="546"/>
      <c r="F650" s="546"/>
      <c r="G650" s="546"/>
      <c r="H650" s="546"/>
      <c r="I650" s="546"/>
      <c r="J650" s="546"/>
      <c r="K650" s="546"/>
      <c r="L650" s="546"/>
      <c r="M650" s="378"/>
    </row>
    <row r="651" spans="2:13" hidden="1">
      <c r="B651" s="375"/>
      <c r="C651" s="546"/>
      <c r="D651" s="546"/>
      <c r="E651" s="546"/>
      <c r="F651" s="546"/>
      <c r="G651" s="546"/>
      <c r="H651" s="546"/>
      <c r="I651" s="546"/>
      <c r="J651" s="546"/>
      <c r="K651" s="546"/>
      <c r="L651" s="546"/>
      <c r="M651" s="378"/>
    </row>
    <row r="652" spans="2:13" hidden="1">
      <c r="B652" s="375"/>
      <c r="C652" s="546"/>
      <c r="D652" s="546"/>
      <c r="E652" s="546"/>
      <c r="F652" s="546"/>
      <c r="G652" s="546"/>
      <c r="H652" s="546"/>
      <c r="I652" s="546"/>
      <c r="J652" s="546"/>
      <c r="K652" s="546"/>
      <c r="L652" s="546"/>
      <c r="M652" s="378"/>
    </row>
    <row r="653" spans="2:13" hidden="1">
      <c r="B653" s="375"/>
      <c r="C653" s="546"/>
      <c r="D653" s="546"/>
      <c r="E653" s="546"/>
      <c r="F653" s="546"/>
      <c r="G653" s="546"/>
      <c r="H653" s="546"/>
      <c r="I653" s="546"/>
      <c r="J653" s="546"/>
      <c r="K653" s="546"/>
      <c r="L653" s="546"/>
      <c r="M653" s="378"/>
    </row>
    <row r="654" spans="2:13" hidden="1">
      <c r="B654" s="375"/>
      <c r="C654" s="546"/>
      <c r="D654" s="546"/>
      <c r="E654" s="546"/>
      <c r="F654" s="546"/>
      <c r="G654" s="546"/>
      <c r="H654" s="546"/>
      <c r="I654" s="546"/>
      <c r="J654" s="546"/>
      <c r="K654" s="546"/>
      <c r="L654" s="546"/>
      <c r="M654" s="378"/>
    </row>
    <row r="655" spans="2:13" hidden="1">
      <c r="B655" s="375"/>
      <c r="C655" s="546"/>
      <c r="D655" s="546"/>
      <c r="E655" s="546"/>
      <c r="F655" s="546"/>
      <c r="G655" s="546"/>
      <c r="H655" s="546"/>
      <c r="I655" s="546"/>
      <c r="J655" s="546"/>
      <c r="K655" s="546"/>
      <c r="L655" s="546"/>
      <c r="M655" s="378"/>
    </row>
    <row r="656" spans="2:13" hidden="1">
      <c r="B656" s="375"/>
      <c r="C656" s="546"/>
      <c r="D656" s="546"/>
      <c r="E656" s="546"/>
      <c r="F656" s="546"/>
      <c r="G656" s="546"/>
      <c r="H656" s="546"/>
      <c r="I656" s="546"/>
      <c r="J656" s="546"/>
      <c r="K656" s="546"/>
      <c r="L656" s="546"/>
      <c r="M656" s="378"/>
    </row>
    <row r="657" spans="2:13" hidden="1">
      <c r="B657" s="375"/>
      <c r="C657" s="546"/>
      <c r="D657" s="546"/>
      <c r="E657" s="546"/>
      <c r="F657" s="546"/>
      <c r="G657" s="546"/>
      <c r="H657" s="546"/>
      <c r="I657" s="546"/>
      <c r="J657" s="546"/>
      <c r="K657" s="546"/>
      <c r="L657" s="546"/>
      <c r="M657" s="378"/>
    </row>
    <row r="658" spans="2:13" hidden="1">
      <c r="B658" s="375"/>
      <c r="C658" s="546"/>
      <c r="D658" s="546"/>
      <c r="E658" s="546"/>
      <c r="F658" s="546"/>
      <c r="G658" s="546"/>
      <c r="H658" s="546"/>
      <c r="I658" s="546"/>
      <c r="J658" s="546"/>
      <c r="K658" s="546"/>
      <c r="L658" s="546"/>
      <c r="M658" s="378"/>
    </row>
    <row r="659" spans="2:13" hidden="1">
      <c r="B659" s="375"/>
      <c r="C659" s="546"/>
      <c r="D659" s="546"/>
      <c r="E659" s="546"/>
      <c r="F659" s="546"/>
      <c r="G659" s="546"/>
      <c r="H659" s="546"/>
      <c r="I659" s="546"/>
      <c r="J659" s="546"/>
      <c r="K659" s="546"/>
      <c r="L659" s="546"/>
      <c r="M659" s="378"/>
    </row>
    <row r="660" spans="2:13" hidden="1">
      <c r="B660" s="375"/>
      <c r="C660" s="546"/>
      <c r="D660" s="546"/>
      <c r="E660" s="546"/>
      <c r="F660" s="546"/>
      <c r="G660" s="546"/>
      <c r="H660" s="546"/>
      <c r="I660" s="546"/>
      <c r="J660" s="546"/>
      <c r="K660" s="546"/>
      <c r="L660" s="546"/>
      <c r="M660" s="378"/>
    </row>
    <row r="661" spans="2:13" hidden="1">
      <c r="B661" s="375"/>
      <c r="C661" s="546"/>
      <c r="D661" s="546"/>
      <c r="E661" s="546"/>
      <c r="F661" s="546"/>
      <c r="G661" s="546"/>
      <c r="H661" s="546"/>
      <c r="I661" s="546"/>
      <c r="J661" s="546"/>
      <c r="K661" s="546"/>
      <c r="L661" s="546"/>
      <c r="M661" s="378"/>
    </row>
    <row r="662" spans="2:13" hidden="1">
      <c r="B662" s="375"/>
      <c r="C662" s="546"/>
      <c r="D662" s="546"/>
      <c r="E662" s="546"/>
      <c r="F662" s="546"/>
      <c r="G662" s="546"/>
      <c r="H662" s="546"/>
      <c r="I662" s="546"/>
      <c r="J662" s="546"/>
      <c r="K662" s="546"/>
      <c r="L662" s="546"/>
      <c r="M662" s="378"/>
    </row>
    <row r="663" spans="2:13" hidden="1">
      <c r="B663" s="375"/>
      <c r="C663" s="546"/>
      <c r="D663" s="546"/>
      <c r="E663" s="546"/>
      <c r="F663" s="546"/>
      <c r="G663" s="546"/>
      <c r="H663" s="546"/>
      <c r="I663" s="546"/>
      <c r="J663" s="546"/>
      <c r="K663" s="546"/>
      <c r="L663" s="546"/>
      <c r="M663" s="378"/>
    </row>
    <row r="664" spans="2:13" hidden="1">
      <c r="B664" s="375"/>
      <c r="C664" s="546"/>
      <c r="D664" s="546"/>
      <c r="E664" s="546"/>
      <c r="F664" s="546"/>
      <c r="G664" s="546"/>
      <c r="H664" s="546"/>
      <c r="I664" s="546"/>
      <c r="J664" s="546"/>
      <c r="K664" s="546"/>
      <c r="L664" s="546"/>
      <c r="M664" s="378"/>
    </row>
    <row r="665" spans="2:13" hidden="1">
      <c r="B665" s="375"/>
      <c r="C665" s="546"/>
      <c r="D665" s="546"/>
      <c r="E665" s="546"/>
      <c r="F665" s="546"/>
      <c r="G665" s="546"/>
      <c r="H665" s="546"/>
      <c r="I665" s="546"/>
      <c r="J665" s="546"/>
      <c r="K665" s="546"/>
      <c r="L665" s="546"/>
      <c r="M665" s="378"/>
    </row>
    <row r="666" spans="2:13" hidden="1">
      <c r="B666" s="375"/>
      <c r="C666" s="546"/>
      <c r="D666" s="546"/>
      <c r="E666" s="546"/>
      <c r="F666" s="546"/>
      <c r="G666" s="546"/>
      <c r="H666" s="546"/>
      <c r="I666" s="546"/>
      <c r="J666" s="546"/>
      <c r="K666" s="546"/>
      <c r="L666" s="546"/>
      <c r="M666" s="378"/>
    </row>
    <row r="667" spans="2:13" hidden="1">
      <c r="B667" s="375"/>
      <c r="C667" s="546"/>
      <c r="D667" s="546"/>
      <c r="E667" s="546"/>
      <c r="F667" s="546"/>
      <c r="G667" s="546"/>
      <c r="H667" s="546"/>
      <c r="I667" s="546"/>
      <c r="J667" s="546"/>
      <c r="K667" s="546"/>
      <c r="L667" s="546"/>
      <c r="M667" s="378"/>
    </row>
    <row r="668" spans="2:13" hidden="1">
      <c r="B668" s="375"/>
      <c r="C668" s="546"/>
      <c r="D668" s="546"/>
      <c r="E668" s="546"/>
      <c r="F668" s="546"/>
      <c r="G668" s="546"/>
      <c r="H668" s="546"/>
      <c r="I668" s="546"/>
      <c r="J668" s="546"/>
      <c r="K668" s="546"/>
      <c r="L668" s="546"/>
      <c r="M668" s="378"/>
    </row>
    <row r="669" spans="2:13" hidden="1">
      <c r="B669" s="375"/>
      <c r="C669" s="546"/>
      <c r="D669" s="546"/>
      <c r="E669" s="546"/>
      <c r="F669" s="546"/>
      <c r="G669" s="546"/>
      <c r="H669" s="546"/>
      <c r="I669" s="546"/>
      <c r="J669" s="546"/>
      <c r="K669" s="546"/>
      <c r="L669" s="546"/>
      <c r="M669" s="378"/>
    </row>
    <row r="670" spans="2:13" hidden="1">
      <c r="B670" s="375"/>
      <c r="C670" s="546"/>
      <c r="D670" s="546"/>
      <c r="E670" s="546"/>
      <c r="F670" s="546"/>
      <c r="G670" s="546"/>
      <c r="H670" s="546"/>
      <c r="I670" s="546"/>
      <c r="J670" s="546"/>
      <c r="K670" s="546"/>
      <c r="L670" s="546"/>
      <c r="M670" s="378"/>
    </row>
    <row r="671" spans="2:13" hidden="1">
      <c r="B671" s="375"/>
      <c r="C671" s="546"/>
      <c r="D671" s="546"/>
      <c r="E671" s="546"/>
      <c r="F671" s="546"/>
      <c r="G671" s="546"/>
      <c r="H671" s="546"/>
      <c r="I671" s="546"/>
      <c r="J671" s="546"/>
      <c r="K671" s="546"/>
      <c r="L671" s="546"/>
      <c r="M671" s="378"/>
    </row>
    <row r="672" spans="2:13" hidden="1">
      <c r="B672" s="375"/>
      <c r="C672" s="546"/>
      <c r="D672" s="546"/>
      <c r="E672" s="546"/>
      <c r="F672" s="546"/>
      <c r="G672" s="546"/>
      <c r="H672" s="546"/>
      <c r="I672" s="546"/>
      <c r="J672" s="546"/>
      <c r="K672" s="546"/>
      <c r="L672" s="546"/>
      <c r="M672" s="378"/>
    </row>
    <row r="673" spans="2:13" hidden="1">
      <c r="B673" s="375"/>
      <c r="C673" s="546"/>
      <c r="D673" s="546"/>
      <c r="E673" s="546"/>
      <c r="F673" s="546"/>
      <c r="G673" s="546"/>
      <c r="H673" s="546"/>
      <c r="I673" s="546"/>
      <c r="J673" s="546"/>
      <c r="K673" s="546"/>
      <c r="L673" s="546"/>
      <c r="M673" s="378"/>
    </row>
    <row r="674" spans="2:13" hidden="1">
      <c r="B674" s="375"/>
      <c r="C674" s="546"/>
      <c r="D674" s="546"/>
      <c r="E674" s="546"/>
      <c r="F674" s="546"/>
      <c r="G674" s="546"/>
      <c r="H674" s="546"/>
      <c r="I674" s="546"/>
      <c r="J674" s="546"/>
      <c r="K674" s="546"/>
      <c r="L674" s="546"/>
      <c r="M674" s="378"/>
    </row>
    <row r="675" spans="2:13" hidden="1">
      <c r="B675" s="375"/>
      <c r="C675" s="546"/>
      <c r="D675" s="546"/>
      <c r="E675" s="546"/>
      <c r="F675" s="546"/>
      <c r="G675" s="546"/>
      <c r="H675" s="546"/>
      <c r="I675" s="546"/>
      <c r="J675" s="546"/>
      <c r="K675" s="546"/>
      <c r="L675" s="546"/>
      <c r="M675" s="378"/>
    </row>
    <row r="676" spans="2:13" hidden="1">
      <c r="B676" s="375"/>
      <c r="C676" s="546"/>
      <c r="D676" s="546"/>
      <c r="E676" s="546"/>
      <c r="F676" s="546"/>
      <c r="G676" s="546"/>
      <c r="H676" s="546"/>
      <c r="I676" s="546"/>
      <c r="J676" s="546"/>
      <c r="K676" s="546"/>
      <c r="L676" s="546"/>
      <c r="M676" s="378"/>
    </row>
    <row r="677" spans="2:13" hidden="1">
      <c r="B677" s="375"/>
      <c r="C677" s="546"/>
      <c r="D677" s="546"/>
      <c r="E677" s="546"/>
      <c r="F677" s="546"/>
      <c r="G677" s="546"/>
      <c r="H677" s="546"/>
      <c r="I677" s="546"/>
      <c r="J677" s="546"/>
      <c r="K677" s="546"/>
      <c r="L677" s="546"/>
      <c r="M677" s="378"/>
    </row>
    <row r="678" spans="2:13" hidden="1">
      <c r="B678" s="375"/>
      <c r="C678" s="546"/>
      <c r="D678" s="546"/>
      <c r="E678" s="546"/>
      <c r="F678" s="546"/>
      <c r="G678" s="546"/>
      <c r="H678" s="546"/>
      <c r="I678" s="546"/>
      <c r="J678" s="546"/>
      <c r="K678" s="546"/>
      <c r="L678" s="546"/>
      <c r="M678" s="378"/>
    </row>
    <row r="679" spans="2:13" hidden="1">
      <c r="B679" s="375"/>
      <c r="C679" s="546"/>
      <c r="D679" s="546"/>
      <c r="E679" s="546"/>
      <c r="F679" s="546"/>
      <c r="G679" s="546"/>
      <c r="H679" s="546"/>
      <c r="I679" s="546"/>
      <c r="J679" s="546"/>
      <c r="K679" s="546"/>
      <c r="L679" s="546"/>
      <c r="M679" s="378"/>
    </row>
    <row r="680" spans="2:13" hidden="1">
      <c r="B680" s="375"/>
      <c r="C680" s="546"/>
      <c r="D680" s="546"/>
      <c r="E680" s="546"/>
      <c r="F680" s="546"/>
      <c r="G680" s="546"/>
      <c r="H680" s="546"/>
      <c r="I680" s="546"/>
      <c r="J680" s="546"/>
      <c r="K680" s="546"/>
      <c r="L680" s="546"/>
      <c r="M680" s="378"/>
    </row>
    <row r="681" spans="2:13" hidden="1">
      <c r="B681" s="375"/>
      <c r="C681" s="546"/>
      <c r="D681" s="546"/>
      <c r="E681" s="546"/>
      <c r="F681" s="546"/>
      <c r="G681" s="546"/>
      <c r="H681" s="546"/>
      <c r="I681" s="546"/>
      <c r="J681" s="546"/>
      <c r="K681" s="546"/>
      <c r="L681" s="546"/>
      <c r="M681" s="378"/>
    </row>
    <row r="682" spans="2:13" hidden="1">
      <c r="B682" s="375"/>
      <c r="C682" s="546"/>
      <c r="D682" s="546"/>
      <c r="E682" s="546"/>
      <c r="F682" s="546"/>
      <c r="G682" s="546"/>
      <c r="H682" s="546"/>
      <c r="I682" s="546"/>
      <c r="J682" s="546"/>
      <c r="K682" s="546"/>
      <c r="L682" s="546"/>
      <c r="M682" s="378"/>
    </row>
    <row r="683" spans="2:13" hidden="1">
      <c r="B683" s="375"/>
      <c r="C683" s="546"/>
      <c r="D683" s="546"/>
      <c r="E683" s="546"/>
      <c r="F683" s="546"/>
      <c r="G683" s="546"/>
      <c r="H683" s="546"/>
      <c r="I683" s="546"/>
      <c r="J683" s="546"/>
      <c r="K683" s="546"/>
      <c r="L683" s="546"/>
      <c r="M683" s="378"/>
    </row>
    <row r="684" spans="2:13" hidden="1">
      <c r="B684" s="375"/>
      <c r="C684" s="546"/>
      <c r="D684" s="546"/>
      <c r="E684" s="546"/>
      <c r="F684" s="546"/>
      <c r="G684" s="546"/>
      <c r="H684" s="546"/>
      <c r="I684" s="546"/>
      <c r="J684" s="546"/>
      <c r="K684" s="546"/>
      <c r="L684" s="546"/>
      <c r="M684" s="378"/>
    </row>
    <row r="685" spans="2:13" hidden="1">
      <c r="B685" s="375"/>
      <c r="C685" s="546"/>
      <c r="D685" s="546"/>
      <c r="E685" s="546"/>
      <c r="F685" s="546"/>
      <c r="G685" s="546"/>
      <c r="H685" s="546"/>
      <c r="I685" s="546"/>
      <c r="J685" s="546"/>
      <c r="K685" s="546"/>
      <c r="L685" s="546"/>
      <c r="M685" s="378"/>
    </row>
    <row r="686" spans="2:13" hidden="1">
      <c r="B686" s="375"/>
      <c r="C686" s="546"/>
      <c r="D686" s="546"/>
      <c r="E686" s="546"/>
      <c r="F686" s="546"/>
      <c r="G686" s="546"/>
      <c r="H686" s="546"/>
      <c r="I686" s="546"/>
      <c r="J686" s="546"/>
      <c r="K686" s="546"/>
      <c r="L686" s="546"/>
      <c r="M686" s="378"/>
    </row>
    <row r="687" spans="2:13" hidden="1">
      <c r="B687" s="375"/>
      <c r="C687" s="546"/>
      <c r="D687" s="546"/>
      <c r="E687" s="546"/>
      <c r="F687" s="546"/>
      <c r="G687" s="546"/>
      <c r="H687" s="546"/>
      <c r="I687" s="546"/>
      <c r="J687" s="546"/>
      <c r="K687" s="546"/>
      <c r="L687" s="546"/>
      <c r="M687" s="378"/>
    </row>
    <row r="688" spans="2:13" hidden="1">
      <c r="B688" s="375"/>
      <c r="C688" s="546"/>
      <c r="D688" s="546"/>
      <c r="E688" s="546"/>
      <c r="F688" s="546"/>
      <c r="G688" s="546"/>
      <c r="H688" s="546"/>
      <c r="I688" s="546"/>
      <c r="J688" s="546"/>
      <c r="K688" s="546"/>
      <c r="L688" s="546"/>
      <c r="M688" s="378"/>
    </row>
    <row r="689" spans="2:13" hidden="1">
      <c r="B689" s="375"/>
      <c r="C689" s="546"/>
      <c r="D689" s="546"/>
      <c r="E689" s="546"/>
      <c r="F689" s="546"/>
      <c r="G689" s="546"/>
      <c r="H689" s="546"/>
      <c r="I689" s="546"/>
      <c r="J689" s="546"/>
      <c r="K689" s="546"/>
      <c r="L689" s="546"/>
      <c r="M689" s="378"/>
    </row>
    <row r="690" spans="2:13" hidden="1">
      <c r="B690" s="375"/>
      <c r="C690" s="546"/>
      <c r="D690" s="546"/>
      <c r="E690" s="546"/>
      <c r="F690" s="546"/>
      <c r="G690" s="546"/>
      <c r="H690" s="546"/>
      <c r="I690" s="546"/>
      <c r="J690" s="546"/>
      <c r="K690" s="546"/>
      <c r="L690" s="546"/>
      <c r="M690" s="378"/>
    </row>
    <row r="691" spans="2:13" hidden="1">
      <c r="B691" s="375"/>
      <c r="C691" s="546"/>
      <c r="D691" s="546"/>
      <c r="E691" s="546"/>
      <c r="F691" s="546"/>
      <c r="G691" s="546"/>
      <c r="H691" s="546"/>
      <c r="I691" s="546"/>
      <c r="J691" s="546"/>
      <c r="K691" s="546"/>
      <c r="L691" s="546"/>
      <c r="M691" s="378"/>
    </row>
    <row r="692" spans="2:13" hidden="1">
      <c r="B692" s="375"/>
      <c r="C692" s="546"/>
      <c r="D692" s="546"/>
      <c r="E692" s="546"/>
      <c r="F692" s="546"/>
      <c r="G692" s="546"/>
      <c r="H692" s="546"/>
      <c r="I692" s="546"/>
      <c r="J692" s="546"/>
      <c r="K692" s="546"/>
      <c r="L692" s="546"/>
      <c r="M692" s="378"/>
    </row>
    <row r="693" spans="2:13" hidden="1">
      <c r="B693" s="375"/>
      <c r="C693" s="546"/>
      <c r="D693" s="546"/>
      <c r="E693" s="546"/>
      <c r="F693" s="546"/>
      <c r="G693" s="546"/>
      <c r="H693" s="546"/>
      <c r="I693" s="546"/>
      <c r="J693" s="546"/>
      <c r="K693" s="546"/>
      <c r="L693" s="546"/>
      <c r="M693" s="378"/>
    </row>
    <row r="694" spans="2:13" hidden="1">
      <c r="B694" s="375"/>
      <c r="C694" s="546"/>
      <c r="D694" s="546"/>
      <c r="E694" s="546"/>
      <c r="F694" s="546"/>
      <c r="G694" s="546"/>
      <c r="H694" s="546"/>
      <c r="I694" s="546"/>
      <c r="J694" s="546"/>
      <c r="K694" s="546"/>
      <c r="L694" s="546"/>
      <c r="M694" s="378"/>
    </row>
    <row r="695" spans="2:13" hidden="1">
      <c r="B695" s="375"/>
      <c r="C695" s="546"/>
      <c r="D695" s="546"/>
      <c r="E695" s="546"/>
      <c r="F695" s="546"/>
      <c r="G695" s="546"/>
      <c r="H695" s="546"/>
      <c r="I695" s="546"/>
      <c r="J695" s="546"/>
      <c r="K695" s="546"/>
      <c r="L695" s="546"/>
      <c r="M695" s="378"/>
    </row>
    <row r="696" spans="2:13" hidden="1">
      <c r="B696" s="375"/>
      <c r="C696" s="546"/>
      <c r="D696" s="546"/>
      <c r="E696" s="546"/>
      <c r="F696" s="546"/>
      <c r="G696" s="546"/>
      <c r="H696" s="546"/>
      <c r="I696" s="546"/>
      <c r="J696" s="546"/>
      <c r="K696" s="546"/>
      <c r="L696" s="546"/>
      <c r="M696" s="378"/>
    </row>
    <row r="697" spans="2:13" hidden="1">
      <c r="B697" s="375"/>
      <c r="C697" s="546"/>
      <c r="D697" s="546"/>
      <c r="E697" s="546"/>
      <c r="F697" s="546"/>
      <c r="G697" s="546"/>
      <c r="H697" s="546"/>
      <c r="I697" s="546"/>
      <c r="J697" s="546"/>
      <c r="K697" s="546"/>
      <c r="L697" s="546"/>
      <c r="M697" s="378"/>
    </row>
    <row r="698" spans="2:13" hidden="1">
      <c r="B698" s="375"/>
      <c r="C698" s="546"/>
      <c r="D698" s="546"/>
      <c r="E698" s="546"/>
      <c r="F698" s="546"/>
      <c r="G698" s="546"/>
      <c r="H698" s="546"/>
      <c r="I698" s="546"/>
      <c r="J698" s="546"/>
      <c r="K698" s="546"/>
      <c r="L698" s="546"/>
      <c r="M698" s="378"/>
    </row>
    <row r="699" spans="2:13" hidden="1">
      <c r="B699" s="375"/>
      <c r="C699" s="546"/>
      <c r="D699" s="546"/>
      <c r="E699" s="546"/>
      <c r="F699" s="546"/>
      <c r="G699" s="546"/>
      <c r="H699" s="546"/>
      <c r="I699" s="546"/>
      <c r="J699" s="546"/>
      <c r="K699" s="546"/>
      <c r="L699" s="546"/>
      <c r="M699" s="378"/>
    </row>
    <row r="700" spans="2:13" hidden="1">
      <c r="B700" s="375"/>
      <c r="C700" s="546"/>
      <c r="D700" s="546"/>
      <c r="E700" s="546"/>
      <c r="F700" s="546"/>
      <c r="G700" s="546"/>
      <c r="H700" s="546"/>
      <c r="I700" s="546"/>
      <c r="J700" s="546"/>
      <c r="K700" s="546"/>
      <c r="L700" s="546"/>
      <c r="M700" s="378"/>
    </row>
    <row r="701" spans="2:13" hidden="1">
      <c r="B701" s="375"/>
      <c r="C701" s="546"/>
      <c r="D701" s="546"/>
      <c r="E701" s="546"/>
      <c r="F701" s="546"/>
      <c r="G701" s="546"/>
      <c r="H701" s="546"/>
      <c r="I701" s="546"/>
      <c r="J701" s="546"/>
      <c r="K701" s="546"/>
      <c r="L701" s="546"/>
      <c r="M701" s="378"/>
    </row>
    <row r="702" spans="2:13" hidden="1">
      <c r="B702" s="375"/>
      <c r="C702" s="546"/>
      <c r="D702" s="546"/>
      <c r="E702" s="546"/>
      <c r="F702" s="546"/>
      <c r="G702" s="546"/>
      <c r="H702" s="546"/>
      <c r="I702" s="546"/>
      <c r="J702" s="546"/>
      <c r="K702" s="546"/>
      <c r="L702" s="546"/>
      <c r="M702" s="378"/>
    </row>
    <row r="703" spans="2:13" hidden="1">
      <c r="B703" s="375"/>
      <c r="C703" s="546"/>
      <c r="D703" s="546"/>
      <c r="E703" s="546"/>
      <c r="F703" s="546"/>
      <c r="G703" s="546"/>
      <c r="H703" s="546"/>
      <c r="I703" s="546"/>
      <c r="J703" s="546"/>
      <c r="K703" s="546"/>
      <c r="L703" s="546"/>
      <c r="M703" s="378"/>
    </row>
    <row r="704" spans="2:13" hidden="1">
      <c r="B704" s="375"/>
      <c r="C704" s="546"/>
      <c r="D704" s="546"/>
      <c r="E704" s="546"/>
      <c r="F704" s="546"/>
      <c r="G704" s="546"/>
      <c r="H704" s="546"/>
      <c r="I704" s="546"/>
      <c r="J704" s="546"/>
      <c r="K704" s="546"/>
      <c r="L704" s="546"/>
      <c r="M704" s="378"/>
    </row>
    <row r="705" spans="2:13" hidden="1">
      <c r="B705" s="375"/>
      <c r="C705" s="546"/>
      <c r="D705" s="546"/>
      <c r="E705" s="546"/>
      <c r="F705" s="546"/>
      <c r="G705" s="546"/>
      <c r="H705" s="546"/>
      <c r="I705" s="546"/>
      <c r="J705" s="546"/>
      <c r="K705" s="546"/>
      <c r="L705" s="546"/>
      <c r="M705" s="378"/>
    </row>
    <row r="706" spans="2:13" hidden="1">
      <c r="B706" s="375"/>
      <c r="C706" s="546"/>
      <c r="D706" s="546"/>
      <c r="E706" s="546"/>
      <c r="F706" s="546"/>
      <c r="G706" s="546"/>
      <c r="H706" s="546"/>
      <c r="I706" s="546"/>
      <c r="J706" s="546"/>
      <c r="K706" s="546"/>
      <c r="L706" s="546"/>
      <c r="M706" s="378"/>
    </row>
    <row r="707" spans="2:13" hidden="1">
      <c r="B707" s="375"/>
      <c r="C707" s="546"/>
      <c r="D707" s="546"/>
      <c r="E707" s="546"/>
      <c r="F707" s="546"/>
      <c r="G707" s="546"/>
      <c r="H707" s="546"/>
      <c r="I707" s="546"/>
      <c r="J707" s="546"/>
      <c r="K707" s="546"/>
      <c r="L707" s="546"/>
      <c r="M707" s="378"/>
    </row>
    <row r="708" spans="2:13" hidden="1">
      <c r="B708" s="375"/>
      <c r="C708" s="546"/>
      <c r="D708" s="546"/>
      <c r="E708" s="546"/>
      <c r="F708" s="546"/>
      <c r="G708" s="546"/>
      <c r="H708" s="546"/>
      <c r="I708" s="546"/>
      <c r="J708" s="546"/>
      <c r="K708" s="546"/>
      <c r="L708" s="546"/>
      <c r="M708" s="378"/>
    </row>
    <row r="709" spans="2:13" hidden="1">
      <c r="B709" s="375"/>
      <c r="C709" s="546"/>
      <c r="D709" s="546"/>
      <c r="E709" s="546"/>
      <c r="F709" s="546"/>
      <c r="G709" s="546"/>
      <c r="H709" s="546"/>
      <c r="I709" s="546"/>
      <c r="J709" s="546"/>
      <c r="K709" s="546"/>
      <c r="L709" s="546"/>
      <c r="M709" s="378"/>
    </row>
    <row r="710" spans="2:13" hidden="1">
      <c r="B710" s="375"/>
      <c r="C710" s="546"/>
      <c r="D710" s="546"/>
      <c r="E710" s="546"/>
      <c r="F710" s="546"/>
      <c r="G710" s="546"/>
      <c r="H710" s="546"/>
      <c r="I710" s="546"/>
      <c r="J710" s="546"/>
      <c r="K710" s="546"/>
      <c r="L710" s="546"/>
      <c r="M710" s="378"/>
    </row>
    <row r="711" spans="2:13" hidden="1">
      <c r="B711" s="375"/>
      <c r="C711" s="546"/>
      <c r="D711" s="546"/>
      <c r="E711" s="546"/>
      <c r="F711" s="546"/>
      <c r="G711" s="546"/>
      <c r="H711" s="546"/>
      <c r="I711" s="546"/>
      <c r="J711" s="546"/>
      <c r="K711" s="546"/>
      <c r="L711" s="546"/>
      <c r="M711" s="378"/>
    </row>
    <row r="712" spans="2:13" hidden="1">
      <c r="B712" s="375"/>
      <c r="C712" s="546"/>
      <c r="D712" s="546"/>
      <c r="E712" s="546"/>
      <c r="F712" s="546"/>
      <c r="G712" s="546"/>
      <c r="H712" s="546"/>
      <c r="I712" s="546"/>
      <c r="J712" s="546"/>
      <c r="K712" s="546"/>
      <c r="L712" s="546"/>
      <c r="M712" s="378"/>
    </row>
    <row r="713" spans="2:13" hidden="1">
      <c r="B713" s="375"/>
      <c r="C713" s="546"/>
      <c r="D713" s="546"/>
      <c r="E713" s="546"/>
      <c r="F713" s="546"/>
      <c r="G713" s="546"/>
      <c r="H713" s="546"/>
      <c r="I713" s="546"/>
      <c r="J713" s="546"/>
      <c r="K713" s="546"/>
      <c r="L713" s="546"/>
      <c r="M713" s="378"/>
    </row>
    <row r="714" spans="2:13" hidden="1">
      <c r="B714" s="375"/>
      <c r="C714" s="546"/>
      <c r="D714" s="546"/>
      <c r="E714" s="546"/>
      <c r="F714" s="546"/>
      <c r="G714" s="546"/>
      <c r="H714" s="546"/>
      <c r="I714" s="546"/>
      <c r="J714" s="546"/>
      <c r="K714" s="546"/>
      <c r="L714" s="546"/>
      <c r="M714" s="378"/>
    </row>
    <row r="715" spans="2:13" hidden="1">
      <c r="B715" s="375"/>
      <c r="C715" s="546"/>
      <c r="D715" s="546"/>
      <c r="E715" s="546"/>
      <c r="F715" s="546"/>
      <c r="G715" s="546"/>
      <c r="H715" s="546"/>
      <c r="I715" s="546"/>
      <c r="J715" s="546"/>
      <c r="K715" s="546"/>
      <c r="L715" s="546"/>
      <c r="M715" s="378"/>
    </row>
    <row r="716" spans="2:13" hidden="1">
      <c r="B716" s="375"/>
      <c r="C716" s="546"/>
      <c r="D716" s="546"/>
      <c r="E716" s="546"/>
      <c r="F716" s="546"/>
      <c r="G716" s="546"/>
      <c r="H716" s="546"/>
      <c r="I716" s="546"/>
      <c r="J716" s="546"/>
      <c r="K716" s="546"/>
      <c r="L716" s="546"/>
      <c r="M716" s="378"/>
    </row>
    <row r="717" spans="2:13" hidden="1">
      <c r="B717" s="375"/>
      <c r="C717" s="546"/>
      <c r="D717" s="546"/>
      <c r="E717" s="546"/>
      <c r="F717" s="546"/>
      <c r="G717" s="546"/>
      <c r="H717" s="546"/>
      <c r="I717" s="546"/>
      <c r="J717" s="546"/>
      <c r="K717" s="546"/>
      <c r="L717" s="546"/>
      <c r="M717" s="378"/>
    </row>
    <row r="718" spans="2:13" hidden="1">
      <c r="B718" s="375"/>
      <c r="C718" s="546"/>
      <c r="D718" s="546"/>
      <c r="E718" s="546"/>
      <c r="F718" s="546"/>
      <c r="G718" s="546"/>
      <c r="H718" s="546"/>
      <c r="I718" s="546"/>
      <c r="J718" s="546"/>
      <c r="K718" s="546"/>
      <c r="L718" s="546"/>
      <c r="M718" s="378"/>
    </row>
    <row r="719" spans="2:13" hidden="1">
      <c r="B719" s="375"/>
      <c r="C719" s="546"/>
      <c r="D719" s="546"/>
      <c r="E719" s="546"/>
      <c r="F719" s="546"/>
      <c r="G719" s="546"/>
      <c r="H719" s="546"/>
      <c r="I719" s="546"/>
      <c r="J719" s="546"/>
      <c r="K719" s="546"/>
      <c r="L719" s="546"/>
      <c r="M719" s="378"/>
    </row>
    <row r="720" spans="2:13" hidden="1">
      <c r="B720" s="375"/>
      <c r="C720" s="546"/>
      <c r="D720" s="546"/>
      <c r="E720" s="546"/>
      <c r="F720" s="546"/>
      <c r="G720" s="546"/>
      <c r="H720" s="546"/>
      <c r="I720" s="546"/>
      <c r="J720" s="546"/>
      <c r="K720" s="546"/>
      <c r="L720" s="546"/>
      <c r="M720" s="378"/>
    </row>
    <row r="721" spans="2:13" hidden="1">
      <c r="B721" s="375"/>
      <c r="C721" s="546"/>
      <c r="D721" s="546"/>
      <c r="E721" s="546"/>
      <c r="F721" s="546"/>
      <c r="G721" s="546"/>
      <c r="H721" s="546"/>
      <c r="I721" s="546"/>
      <c r="J721" s="546"/>
      <c r="K721" s="546"/>
      <c r="L721" s="546"/>
      <c r="M721" s="378"/>
    </row>
    <row r="722" spans="2:13" hidden="1">
      <c r="B722" s="375"/>
      <c r="C722" s="546"/>
      <c r="D722" s="546"/>
      <c r="E722" s="546"/>
      <c r="F722" s="546"/>
      <c r="G722" s="546"/>
      <c r="H722" s="546"/>
      <c r="I722" s="546"/>
      <c r="J722" s="546"/>
      <c r="K722" s="546"/>
      <c r="L722" s="546"/>
      <c r="M722" s="378"/>
    </row>
    <row r="723" spans="2:13" hidden="1">
      <c r="B723" s="375"/>
      <c r="C723" s="546"/>
      <c r="D723" s="546"/>
      <c r="E723" s="546"/>
      <c r="F723" s="546"/>
      <c r="G723" s="546"/>
      <c r="H723" s="546"/>
      <c r="I723" s="546"/>
      <c r="J723" s="546"/>
      <c r="K723" s="546"/>
      <c r="L723" s="546"/>
      <c r="M723" s="378"/>
    </row>
    <row r="724" spans="2:13" hidden="1">
      <c r="B724" s="375"/>
      <c r="C724" s="546"/>
      <c r="D724" s="546"/>
      <c r="E724" s="546"/>
      <c r="F724" s="546"/>
      <c r="G724" s="546"/>
      <c r="H724" s="546"/>
      <c r="I724" s="546"/>
      <c r="J724" s="546"/>
      <c r="K724" s="546"/>
      <c r="L724" s="546"/>
      <c r="M724" s="378"/>
    </row>
    <row r="725" spans="2:13" hidden="1">
      <c r="B725" s="375"/>
      <c r="C725" s="546"/>
      <c r="D725" s="546"/>
      <c r="E725" s="546"/>
      <c r="F725" s="546"/>
      <c r="G725" s="546"/>
      <c r="H725" s="546"/>
      <c r="I725" s="546"/>
      <c r="J725" s="546"/>
      <c r="K725" s="546"/>
      <c r="L725" s="546"/>
      <c r="M725" s="378"/>
    </row>
    <row r="726" spans="2:13" hidden="1">
      <c r="B726" s="375"/>
      <c r="C726" s="546"/>
      <c r="D726" s="546"/>
      <c r="E726" s="546"/>
      <c r="F726" s="546"/>
      <c r="G726" s="546"/>
      <c r="H726" s="546"/>
      <c r="I726" s="546"/>
      <c r="J726" s="546"/>
      <c r="K726" s="546"/>
      <c r="L726" s="546"/>
      <c r="M726" s="378"/>
    </row>
    <row r="727" spans="2:13" hidden="1">
      <c r="B727" s="375"/>
      <c r="C727" s="546"/>
      <c r="D727" s="546"/>
      <c r="E727" s="546"/>
      <c r="F727" s="546"/>
      <c r="G727" s="546"/>
      <c r="H727" s="546"/>
      <c r="I727" s="546"/>
      <c r="J727" s="546"/>
      <c r="K727" s="546"/>
      <c r="L727" s="546"/>
      <c r="M727" s="378"/>
    </row>
    <row r="728" spans="2:13" hidden="1">
      <c r="B728" s="375"/>
      <c r="C728" s="546"/>
      <c r="D728" s="546"/>
      <c r="E728" s="546"/>
      <c r="F728" s="546"/>
      <c r="G728" s="546"/>
      <c r="H728" s="546"/>
      <c r="I728" s="546"/>
      <c r="J728" s="546"/>
      <c r="K728" s="546"/>
      <c r="L728" s="546"/>
      <c r="M728" s="378"/>
    </row>
    <row r="729" spans="2:13" hidden="1">
      <c r="B729" s="375"/>
      <c r="C729" s="546"/>
      <c r="D729" s="546"/>
      <c r="E729" s="546"/>
      <c r="F729" s="546"/>
      <c r="G729" s="546"/>
      <c r="H729" s="546"/>
      <c r="I729" s="546"/>
      <c r="J729" s="546"/>
      <c r="K729" s="546"/>
      <c r="L729" s="546"/>
      <c r="M729" s="378"/>
    </row>
    <row r="730" spans="2:13" hidden="1">
      <c r="B730" s="375"/>
      <c r="C730" s="546"/>
      <c r="D730" s="546"/>
      <c r="E730" s="546"/>
      <c r="F730" s="546"/>
      <c r="G730" s="546"/>
      <c r="H730" s="546"/>
      <c r="I730" s="546"/>
      <c r="J730" s="546"/>
      <c r="K730" s="546"/>
      <c r="L730" s="546"/>
      <c r="M730" s="378"/>
    </row>
    <row r="731" spans="2:13" hidden="1">
      <c r="B731" s="375"/>
      <c r="C731" s="546"/>
      <c r="D731" s="546"/>
      <c r="E731" s="546"/>
      <c r="F731" s="546"/>
      <c r="G731" s="546"/>
      <c r="H731" s="546"/>
      <c r="I731" s="546"/>
      <c r="J731" s="546"/>
      <c r="K731" s="546"/>
      <c r="L731" s="546"/>
      <c r="M731" s="378"/>
    </row>
    <row r="732" spans="2:13" hidden="1">
      <c r="B732" s="375"/>
      <c r="C732" s="546"/>
      <c r="D732" s="546"/>
      <c r="E732" s="546"/>
      <c r="F732" s="546"/>
      <c r="G732" s="546"/>
      <c r="H732" s="546"/>
      <c r="I732" s="546"/>
      <c r="J732" s="546"/>
      <c r="K732" s="546"/>
      <c r="L732" s="546"/>
      <c r="M732" s="378"/>
    </row>
    <row r="733" spans="2:13" hidden="1">
      <c r="B733" s="375"/>
      <c r="C733" s="546"/>
      <c r="D733" s="546"/>
      <c r="E733" s="546"/>
      <c r="F733" s="546"/>
      <c r="G733" s="546"/>
      <c r="H733" s="546"/>
      <c r="I733" s="546"/>
      <c r="J733" s="546"/>
      <c r="K733" s="546"/>
      <c r="L733" s="546"/>
      <c r="M733" s="378"/>
    </row>
    <row r="734" spans="2:13" hidden="1">
      <c r="B734" s="375"/>
      <c r="C734" s="546"/>
      <c r="D734" s="546"/>
      <c r="E734" s="546"/>
      <c r="F734" s="546"/>
      <c r="G734" s="546"/>
      <c r="H734" s="546"/>
      <c r="I734" s="546"/>
      <c r="J734" s="546"/>
      <c r="K734" s="546"/>
      <c r="L734" s="546"/>
      <c r="M734" s="378"/>
    </row>
    <row r="735" spans="2:13" hidden="1">
      <c r="B735" s="375"/>
      <c r="C735" s="546"/>
      <c r="D735" s="546"/>
      <c r="E735" s="546"/>
      <c r="F735" s="546"/>
      <c r="G735" s="546"/>
      <c r="H735" s="546"/>
      <c r="I735" s="546"/>
      <c r="J735" s="546"/>
      <c r="K735" s="546"/>
      <c r="L735" s="546"/>
      <c r="M735" s="378"/>
    </row>
    <row r="736" spans="2:13" hidden="1">
      <c r="B736" s="375"/>
      <c r="C736" s="546"/>
      <c r="D736" s="546"/>
      <c r="E736" s="546"/>
      <c r="F736" s="546"/>
      <c r="G736" s="546"/>
      <c r="H736" s="546"/>
      <c r="I736" s="546"/>
      <c r="J736" s="546"/>
      <c r="K736" s="546"/>
      <c r="L736" s="546"/>
      <c r="M736" s="378"/>
    </row>
    <row r="737" spans="2:13" hidden="1">
      <c r="B737" s="375"/>
      <c r="C737" s="546"/>
      <c r="D737" s="546"/>
      <c r="E737" s="546"/>
      <c r="F737" s="546"/>
      <c r="G737" s="546"/>
      <c r="H737" s="546"/>
      <c r="I737" s="546"/>
      <c r="J737" s="546"/>
      <c r="K737" s="546"/>
      <c r="L737" s="546"/>
      <c r="M737" s="378"/>
    </row>
    <row r="738" spans="2:13" hidden="1">
      <c r="B738" s="375"/>
      <c r="C738" s="546"/>
      <c r="D738" s="546"/>
      <c r="E738" s="546"/>
      <c r="F738" s="546"/>
      <c r="G738" s="546"/>
      <c r="H738" s="546"/>
      <c r="I738" s="546"/>
      <c r="J738" s="546"/>
      <c r="K738" s="546"/>
      <c r="L738" s="546"/>
      <c r="M738" s="378"/>
    </row>
    <row r="739" spans="2:13" hidden="1">
      <c r="B739" s="375"/>
      <c r="C739" s="546"/>
      <c r="D739" s="546"/>
      <c r="E739" s="546"/>
      <c r="F739" s="546"/>
      <c r="G739" s="546"/>
      <c r="H739" s="546"/>
      <c r="I739" s="546"/>
      <c r="J739" s="546"/>
      <c r="K739" s="546"/>
      <c r="L739" s="546"/>
      <c r="M739" s="378"/>
    </row>
    <row r="740" spans="2:13" hidden="1">
      <c r="B740" s="375"/>
      <c r="C740" s="546"/>
      <c r="D740" s="546"/>
      <c r="E740" s="546"/>
      <c r="F740" s="546"/>
      <c r="G740" s="546"/>
      <c r="H740" s="546"/>
      <c r="I740" s="546"/>
      <c r="J740" s="546"/>
      <c r="K740" s="546"/>
      <c r="L740" s="546"/>
      <c r="M740" s="378"/>
    </row>
    <row r="741" spans="2:13" hidden="1">
      <c r="B741" s="375"/>
      <c r="C741" s="546"/>
      <c r="D741" s="546"/>
      <c r="E741" s="546"/>
      <c r="F741" s="546"/>
      <c r="G741" s="546"/>
      <c r="H741" s="546"/>
      <c r="I741" s="546"/>
      <c r="J741" s="546"/>
      <c r="K741" s="546"/>
      <c r="L741" s="546"/>
      <c r="M741" s="378"/>
    </row>
    <row r="742" spans="2:13" hidden="1">
      <c r="B742" s="375"/>
      <c r="C742" s="546"/>
      <c r="D742" s="546"/>
      <c r="E742" s="546"/>
      <c r="F742" s="546"/>
      <c r="G742" s="546"/>
      <c r="H742" s="546"/>
      <c r="I742" s="546"/>
      <c r="J742" s="546"/>
      <c r="K742" s="546"/>
      <c r="L742" s="546"/>
      <c r="M742" s="378"/>
    </row>
    <row r="743" spans="2:13" hidden="1">
      <c r="B743" s="375"/>
      <c r="C743" s="546"/>
      <c r="D743" s="546"/>
      <c r="E743" s="546"/>
      <c r="F743" s="546"/>
      <c r="G743" s="546"/>
      <c r="H743" s="546"/>
      <c r="I743" s="546"/>
      <c r="J743" s="546"/>
      <c r="K743" s="546"/>
      <c r="L743" s="546"/>
      <c r="M743" s="378"/>
    </row>
    <row r="744" spans="2:13" hidden="1">
      <c r="B744" s="375"/>
      <c r="C744" s="546"/>
      <c r="D744" s="546"/>
      <c r="E744" s="546"/>
      <c r="F744" s="546"/>
      <c r="G744" s="546"/>
      <c r="H744" s="546"/>
      <c r="I744" s="546"/>
      <c r="J744" s="546"/>
      <c r="K744" s="546"/>
      <c r="L744" s="546"/>
      <c r="M744" s="378"/>
    </row>
    <row r="745" spans="2:13" hidden="1">
      <c r="B745" s="375"/>
      <c r="C745" s="546"/>
      <c r="D745" s="546"/>
      <c r="E745" s="546"/>
      <c r="F745" s="546"/>
      <c r="G745" s="546"/>
      <c r="H745" s="546"/>
      <c r="I745" s="546"/>
      <c r="J745" s="546"/>
      <c r="K745" s="546"/>
      <c r="L745" s="546"/>
      <c r="M745" s="378"/>
    </row>
    <row r="746" spans="2:13" hidden="1">
      <c r="B746" s="375"/>
      <c r="C746" s="546"/>
      <c r="D746" s="546"/>
      <c r="E746" s="546"/>
      <c r="F746" s="546"/>
      <c r="G746" s="546"/>
      <c r="H746" s="546"/>
      <c r="I746" s="546"/>
      <c r="J746" s="546"/>
      <c r="K746" s="546"/>
      <c r="L746" s="546"/>
      <c r="M746" s="378"/>
    </row>
    <row r="747" spans="2:13" hidden="1">
      <c r="B747" s="375"/>
      <c r="C747" s="546"/>
      <c r="D747" s="546"/>
      <c r="E747" s="546"/>
      <c r="F747" s="546"/>
      <c r="G747" s="546"/>
      <c r="H747" s="546"/>
      <c r="I747" s="546"/>
      <c r="J747" s="546"/>
      <c r="K747" s="546"/>
      <c r="L747" s="546"/>
      <c r="M747" s="378"/>
    </row>
    <row r="748" spans="2:13" hidden="1">
      <c r="B748" s="375"/>
      <c r="C748" s="546"/>
      <c r="D748" s="546"/>
      <c r="E748" s="546"/>
      <c r="F748" s="546"/>
      <c r="G748" s="546"/>
      <c r="H748" s="546"/>
      <c r="I748" s="546"/>
      <c r="J748" s="546"/>
      <c r="K748" s="546"/>
      <c r="L748" s="546"/>
      <c r="M748" s="378"/>
    </row>
    <row r="749" spans="2:13" hidden="1">
      <c r="B749" s="375"/>
      <c r="C749" s="546"/>
      <c r="D749" s="546"/>
      <c r="E749" s="546"/>
      <c r="F749" s="546"/>
      <c r="G749" s="546"/>
      <c r="H749" s="546"/>
      <c r="I749" s="546"/>
      <c r="J749" s="546"/>
      <c r="K749" s="546"/>
      <c r="L749" s="546"/>
      <c r="M749" s="378"/>
    </row>
    <row r="750" spans="2:13" hidden="1">
      <c r="B750" s="375"/>
      <c r="C750" s="546"/>
      <c r="D750" s="546"/>
      <c r="E750" s="546"/>
      <c r="F750" s="546"/>
      <c r="G750" s="546"/>
      <c r="H750" s="546"/>
      <c r="I750" s="546"/>
      <c r="J750" s="546"/>
      <c r="K750" s="546"/>
      <c r="L750" s="546"/>
      <c r="M750" s="378"/>
    </row>
    <row r="751" spans="2:13" hidden="1">
      <c r="B751" s="375"/>
      <c r="C751" s="546"/>
      <c r="D751" s="546"/>
      <c r="E751" s="546"/>
      <c r="F751" s="546"/>
      <c r="G751" s="546"/>
      <c r="H751" s="546"/>
      <c r="I751" s="546"/>
      <c r="J751" s="546"/>
      <c r="K751" s="546"/>
      <c r="L751" s="546"/>
      <c r="M751" s="378"/>
    </row>
    <row r="752" spans="2:13" hidden="1">
      <c r="B752" s="375"/>
      <c r="C752" s="546"/>
      <c r="D752" s="546"/>
      <c r="E752" s="546"/>
      <c r="F752" s="546"/>
      <c r="G752" s="546"/>
      <c r="H752" s="546"/>
      <c r="I752" s="546"/>
      <c r="J752" s="546"/>
      <c r="K752" s="546"/>
      <c r="L752" s="546"/>
      <c r="M752" s="378"/>
    </row>
    <row r="753" spans="1:13" hidden="1">
      <c r="B753" s="375"/>
      <c r="C753" s="546"/>
      <c r="D753" s="546"/>
      <c r="E753" s="546"/>
      <c r="F753" s="546"/>
      <c r="G753" s="546"/>
      <c r="H753" s="546"/>
      <c r="I753" s="546"/>
      <c r="J753" s="546"/>
      <c r="K753" s="546"/>
      <c r="L753" s="546"/>
      <c r="M753" s="378"/>
    </row>
    <row r="754" spans="1:13" hidden="1">
      <c r="A754" s="153"/>
      <c r="B754" s="375"/>
      <c r="C754" s="546"/>
      <c r="D754" s="546"/>
      <c r="E754" s="546"/>
      <c r="F754" s="546"/>
      <c r="G754" s="546"/>
      <c r="H754" s="546"/>
      <c r="I754" s="546"/>
      <c r="J754" s="546"/>
      <c r="K754" s="546"/>
      <c r="L754" s="546"/>
      <c r="M754" s="378"/>
    </row>
    <row r="755" spans="1:13" hidden="1">
      <c r="A755" s="153"/>
      <c r="B755" s="375"/>
      <c r="C755" s="546"/>
      <c r="D755" s="546"/>
      <c r="E755" s="546"/>
      <c r="F755" s="546"/>
      <c r="G755" s="546"/>
      <c r="H755" s="546"/>
      <c r="I755" s="546"/>
      <c r="J755" s="546"/>
      <c r="K755" s="546"/>
      <c r="L755" s="546"/>
      <c r="M755" s="378"/>
    </row>
    <row r="756" spans="1:13">
      <c r="B756" s="375"/>
      <c r="C756" s="551" t="s">
        <v>2795</v>
      </c>
      <c r="D756" s="546"/>
      <c r="E756" s="546"/>
      <c r="F756" s="546"/>
      <c r="G756" s="546"/>
      <c r="H756" s="546"/>
      <c r="I756" s="546"/>
      <c r="J756" s="546"/>
      <c r="K756" s="546"/>
      <c r="L756" s="546"/>
      <c r="M756" s="378"/>
    </row>
    <row r="757" spans="1:13" s="40" customFormat="1" ht="4.5" customHeight="1">
      <c r="B757" s="558"/>
      <c r="C757" s="559"/>
      <c r="D757" s="559"/>
      <c r="E757" s="559"/>
      <c r="F757" s="559"/>
      <c r="G757" s="559"/>
      <c r="H757" s="559"/>
      <c r="I757" s="559"/>
      <c r="J757" s="559"/>
      <c r="K757" s="559"/>
      <c r="L757" s="559"/>
      <c r="M757" s="560"/>
    </row>
    <row r="758" spans="1:13" ht="13.5" thickBot="1">
      <c r="B758" s="581"/>
      <c r="C758" s="582"/>
      <c r="D758" s="582"/>
      <c r="E758" s="582"/>
      <c r="F758" s="582"/>
      <c r="G758" s="582"/>
      <c r="H758" s="582"/>
      <c r="I758" s="582"/>
      <c r="J758" s="582"/>
      <c r="K758" s="582"/>
      <c r="L758" s="582"/>
      <c r="M758" s="583"/>
    </row>
    <row r="759" spans="1:13" ht="13.5" thickTop="1"/>
    <row r="760" spans="1:13"/>
    <row r="761" spans="1:13"/>
    <row r="762" spans="1:13"/>
    <row r="763" spans="1:13"/>
    <row r="764" spans="1:13"/>
    <row r="765" spans="1:13"/>
    <row r="766" spans="1:13"/>
    <row r="767" spans="1:13"/>
    <row r="768" spans="1:13"/>
    <row r="769"/>
    <row r="770"/>
    <row r="771"/>
    <row r="772"/>
    <row r="773"/>
    <row r="774"/>
    <row r="775"/>
    <row r="776"/>
    <row r="777"/>
    <row r="778"/>
    <row r="779"/>
    <row r="780"/>
    <row r="781"/>
    <row r="782"/>
    <row r="783"/>
    <row r="784"/>
    <row r="785"/>
    <row r="786"/>
    <row r="787"/>
    <row r="788"/>
    <row r="789"/>
    <row r="790"/>
    <row r="791"/>
    <row r="792"/>
    <row r="793"/>
    <row r="794"/>
    <row r="795"/>
    <row r="796"/>
    <row r="797"/>
    <row r="798"/>
    <row r="799"/>
    <row r="800"/>
    <row r="801"/>
    <row r="802"/>
    <row r="803"/>
    <row r="804"/>
    <row r="805"/>
    <row r="806"/>
    <row r="807"/>
    <row r="808"/>
    <row r="809"/>
    <row r="810"/>
  </sheetData>
  <sheetProtection algorithmName="SHA-512" hashValue="uc7jHrm3r9USzWk1wuAFw5JdOdyldFkJLYC9jzo5Ag4Z7Rg8vB7/3BdxG1958FtYlJaQy9ayXsjYEiREX6WBng==" saltValue="4OYMVDHc8J0vz9EHq2UK0A==" spinCount="100000" sheet="1" objects="1" scenarios="1" selectLockedCells="1"/>
  <mergeCells count="57">
    <mergeCell ref="D36:E36"/>
    <mergeCell ref="B37:M37"/>
    <mergeCell ref="B33:M33"/>
    <mergeCell ref="K30:L30"/>
    <mergeCell ref="D30:H30"/>
    <mergeCell ref="B35:M35"/>
    <mergeCell ref="F34:L34"/>
    <mergeCell ref="B757:M757"/>
    <mergeCell ref="B47:M47"/>
    <mergeCell ref="B48:M48"/>
    <mergeCell ref="B45:M45"/>
    <mergeCell ref="B38:M38"/>
    <mergeCell ref="D44:F44"/>
    <mergeCell ref="B39:M39"/>
    <mergeCell ref="B41:M41"/>
    <mergeCell ref="D42:F42"/>
    <mergeCell ref="B43:M43"/>
    <mergeCell ref="G40:K40"/>
    <mergeCell ref="D40:E40"/>
    <mergeCell ref="B758:M758"/>
    <mergeCell ref="B31:M31"/>
    <mergeCell ref="I42:J42"/>
    <mergeCell ref="H5:K5"/>
    <mergeCell ref="D11:F11"/>
    <mergeCell ref="D5:G5"/>
    <mergeCell ref="D17:F17"/>
    <mergeCell ref="D19:F19"/>
    <mergeCell ref="B7:M7"/>
    <mergeCell ref="B10:M10"/>
    <mergeCell ref="B12:M12"/>
    <mergeCell ref="B16:M16"/>
    <mergeCell ref="B18:M18"/>
    <mergeCell ref="I13:J13"/>
    <mergeCell ref="I15:J15"/>
    <mergeCell ref="K15:L15"/>
    <mergeCell ref="D15:E15"/>
    <mergeCell ref="D32:F32"/>
    <mergeCell ref="I32:J32"/>
    <mergeCell ref="K32:L32"/>
    <mergeCell ref="C3:M3"/>
    <mergeCell ref="I17:J17"/>
    <mergeCell ref="B14:M14"/>
    <mergeCell ref="K17:L17"/>
    <mergeCell ref="B8:M8"/>
    <mergeCell ref="B9:M9"/>
    <mergeCell ref="D21:F21"/>
    <mergeCell ref="B24:M24"/>
    <mergeCell ref="B28:M28"/>
    <mergeCell ref="B29:M29"/>
    <mergeCell ref="B20:M20"/>
    <mergeCell ref="H26:J26"/>
    <mergeCell ref="B23:M23"/>
    <mergeCell ref="B22:M22"/>
    <mergeCell ref="I21:J21"/>
    <mergeCell ref="B25:M25"/>
    <mergeCell ref="B27:M27"/>
    <mergeCell ref="D26:F26"/>
  </mergeCells>
  <phoneticPr fontId="0" type="noConversion"/>
  <dataValidations count="4">
    <dataValidation type="whole" operator="greaterThan" allowBlank="1" showInputMessage="1" showErrorMessage="1" errorTitle="ERROR EN DIGITACION" error="Este campo es unicamente unicamente_x000a_" sqref="K19 H44 H19 H42 K42" xr:uid="{00000000-0002-0000-0200-000000000000}">
      <formula1>0</formula1>
    </dataValidation>
    <dataValidation type="list" allowBlank="1" showInputMessage="1" showErrorMessage="1" sqref="H17 H15 H32" xr:uid="{00000000-0002-0000-0200-000001000000}">
      <formula1>Departamentos</formula1>
    </dataValidation>
    <dataValidation type="list" allowBlank="1" showInputMessage="1" showErrorMessage="1" sqref="D40:E40" xr:uid="{00000000-0002-0000-0200-000002000000}">
      <formula1>REGIONALES</formula1>
    </dataValidation>
    <dataValidation type="list" allowBlank="1" showInputMessage="1" showErrorMessage="1" sqref="G40:K40 K32 K15 K17" xr:uid="{00000000-0002-0000-0200-000003000000}">
      <formula1>INDIRECT(D15)</formula1>
    </dataValidation>
  </dataValidations>
  <hyperlinks>
    <hyperlink ref="D21" r:id="rId1" display="pab@correo.com" xr:uid="{00000000-0004-0000-0200-000000000000}"/>
  </hyperlinks>
  <printOptions horizontalCentered="1" verticalCentered="1"/>
  <pageMargins left="0.15748031496062992" right="0.51181102362204722" top="0.47244094488188981" bottom="0.27559055118110237" header="0" footer="0"/>
  <pageSetup scale="68" orientation="landscape" r:id="rId2"/>
  <headerFooter alignWithMargins="0">
    <oddHeader>&amp;COtras Fuentes de Financiación
Datos del Plan de Negocio o Unidad Productiva&amp;R&amp;G</oddHeader>
    <oddFooter>&amp;L&amp;D&amp;C&amp;P</oddFooter>
  </headerFooter>
  <drawing r:id="rId3"/>
  <legacyDrawing r:id="rId4"/>
  <legacyDrawingHF r:id="rId5"/>
  <controls>
    <mc:AlternateContent xmlns:mc="http://schemas.openxmlformats.org/markup-compatibility/2006">
      <mc:Choice Requires="x14">
        <control shapeId="9249" r:id="rId6" name="CommandButton1">
          <controlPr defaultSize="0" print="0" autoFill="0" autoLine="0" r:id="rId7">
            <anchor moveWithCells="1">
              <from>
                <xdr:col>13</xdr:col>
                <xdr:colOff>85725</xdr:colOff>
                <xdr:row>7</xdr:row>
                <xdr:rowOff>47625</xdr:rowOff>
              </from>
              <to>
                <xdr:col>13</xdr:col>
                <xdr:colOff>676275</xdr:colOff>
                <xdr:row>12</xdr:row>
                <xdr:rowOff>161925</xdr:rowOff>
              </to>
            </anchor>
          </controlPr>
        </control>
      </mc:Choice>
      <mc:Fallback>
        <control shapeId="9249" r:id="rId6" name="CommandButton1"/>
      </mc:Fallback>
    </mc:AlternateContent>
  </controls>
  <extLst>
    <ext xmlns:x14="http://schemas.microsoft.com/office/spreadsheetml/2009/9/main" uri="{CCE6A557-97BC-4b89-ADB6-D9C93CAAB3DF}">
      <x14:dataValidations xmlns:xm="http://schemas.microsoft.com/office/excel/2006/main" count="7">
        <x14:dataValidation type="list" operator="greaterThan" allowBlank="1" showInputMessage="1" showErrorMessage="1" errorTitle="ERROR EN DIGITACION" error="Este campo es unicamente unicamente_x000a_" xr:uid="{00000000-0002-0000-0200-000004000000}">
          <x14:formula1>
            <xm:f>Validaciones!$G$6:$G$8</xm:f>
          </x14:formula1>
          <xm:sqref>H11</xm:sqref>
        </x14:dataValidation>
        <x14:dataValidation type="list" allowBlank="1" showInputMessage="1" showErrorMessage="1" xr:uid="{00000000-0002-0000-0200-000005000000}">
          <x14:formula1>
            <xm:f>Validaciones!$J$6:$J$8</xm:f>
          </x14:formula1>
          <xm:sqref>H21</xm:sqref>
        </x14:dataValidation>
        <x14:dataValidation type="list" allowBlank="1" showInputMessage="1" showErrorMessage="1" xr:uid="{00000000-0002-0000-0200-000006000000}">
          <x14:formula1>
            <xm:f>Validaciones!$B$6:$B$13</xm:f>
          </x14:formula1>
          <xm:sqref>D26:F26</xm:sqref>
        </x14:dataValidation>
        <x14:dataValidation type="list" allowBlank="1" showInputMessage="1" showErrorMessage="1" xr:uid="{00000000-0002-0000-0200-000007000000}">
          <x14:formula1>
            <xm:f>Validaciones!$F$6:$F$11</xm:f>
          </x14:formula1>
          <xm:sqref>D13</xm:sqref>
        </x14:dataValidation>
        <x14:dataValidation type="list" allowBlank="1" showInputMessage="1" showErrorMessage="1" xr:uid="{00000000-0002-0000-0200-000008000000}">
          <x14:formula1>
            <xm:f>Validaciones!$C$6:$C$8</xm:f>
          </x14:formula1>
          <xm:sqref>H13</xm:sqref>
        </x14:dataValidation>
        <x14:dataValidation type="list" allowBlank="1" showInputMessage="1" showErrorMessage="1" xr:uid="{00000000-0002-0000-0200-000009000000}">
          <x14:formula1>
            <xm:f>Validaciones!$K$6:$K$14</xm:f>
          </x14:formula1>
          <xm:sqref>K30</xm:sqref>
        </x14:dataValidation>
        <x14:dataValidation type="list" allowBlank="1" showInputMessage="1" showErrorMessage="1" xr:uid="{00000000-0002-0000-0200-00000A000000}">
          <x14:formula1>
            <xm:f>Validaciones!$M$6:$M$505</xm:f>
          </x14:formula1>
          <xm:sqref>F34:L34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15">
    <pageSetUpPr fitToPage="1"/>
  </sheetPr>
  <dimension ref="A1:N70"/>
  <sheetViews>
    <sheetView showGridLines="0" showRowColHeaders="0" zoomScale="90" zoomScaleNormal="90" workbookViewId="0"/>
  </sheetViews>
  <sheetFormatPr baseColWidth="10" defaultRowHeight="12.75"/>
  <cols>
    <col min="1" max="1" width="1.5703125" customWidth="1"/>
    <col min="2" max="2" width="4.28515625" customWidth="1"/>
    <col min="3" max="3" width="28" customWidth="1"/>
    <col min="4" max="6" width="14.28515625" customWidth="1"/>
    <col min="7" max="7" width="24.28515625" customWidth="1"/>
    <col min="8" max="8" width="22.85546875" customWidth="1"/>
    <col min="9" max="9" width="13.140625" customWidth="1"/>
    <col min="11" max="11" width="22.5703125" customWidth="1"/>
    <col min="12" max="12" width="21.42578125" customWidth="1"/>
    <col min="13" max="13" width="4.28515625" customWidth="1"/>
  </cols>
  <sheetData>
    <row r="1" spans="1:14" ht="9" customHeight="1" thickBot="1">
      <c r="A1" s="245"/>
      <c r="B1" s="36"/>
      <c r="C1" s="36"/>
      <c r="D1" s="36"/>
      <c r="E1" s="36"/>
      <c r="F1" s="36"/>
      <c r="G1" s="36"/>
      <c r="H1" s="36"/>
      <c r="I1" s="36"/>
      <c r="J1" s="36"/>
      <c r="K1" s="36"/>
      <c r="L1" s="36"/>
      <c r="M1" s="36"/>
      <c r="N1" s="36"/>
    </row>
    <row r="2" spans="1:14" ht="7.5" customHeight="1" thickTop="1" thickBot="1">
      <c r="A2" s="36"/>
      <c r="B2" s="37"/>
      <c r="C2" s="38"/>
      <c r="D2" s="38"/>
      <c r="E2" s="38"/>
      <c r="F2" s="38"/>
      <c r="G2" s="38"/>
      <c r="H2" s="38"/>
      <c r="I2" s="38"/>
      <c r="J2" s="38"/>
      <c r="K2" s="38"/>
      <c r="L2" s="38"/>
      <c r="M2" s="180"/>
      <c r="N2" s="36"/>
    </row>
    <row r="3" spans="1:14" ht="21" thickBot="1">
      <c r="A3" s="36"/>
      <c r="B3" s="165"/>
      <c r="C3" s="573" t="s">
        <v>2797</v>
      </c>
      <c r="D3" s="573"/>
      <c r="E3" s="573"/>
      <c r="F3" s="573"/>
      <c r="G3" s="573"/>
      <c r="H3" s="573"/>
      <c r="I3" s="573"/>
      <c r="J3" s="573"/>
      <c r="K3" s="573"/>
      <c r="L3" s="573"/>
      <c r="M3" s="574"/>
      <c r="N3" s="36"/>
    </row>
    <row r="4" spans="1:14" ht="6" customHeight="1" thickBot="1">
      <c r="A4" s="36"/>
      <c r="B4" s="169"/>
      <c r="C4" s="41"/>
      <c r="D4" s="41"/>
      <c r="E4" s="41"/>
      <c r="F4" s="41"/>
      <c r="G4" s="41"/>
      <c r="H4" s="41"/>
      <c r="I4" s="41"/>
      <c r="J4" s="41"/>
      <c r="K4" s="41"/>
      <c r="L4" s="164"/>
      <c r="M4" s="158"/>
      <c r="N4" s="36"/>
    </row>
    <row r="5" spans="1:14" ht="16.5" thickTop="1" thickBot="1">
      <c r="A5" s="40"/>
      <c r="B5" s="163"/>
      <c r="C5" s="41"/>
      <c r="D5" s="589" t="s">
        <v>2510</v>
      </c>
      <c r="E5" s="589"/>
      <c r="F5" s="589"/>
      <c r="G5" s="590"/>
      <c r="H5" s="607" t="str">
        <f>'1-Datos Generales'!H5:K5</f>
        <v>SEGI</v>
      </c>
      <c r="I5" s="608"/>
      <c r="J5" s="608"/>
      <c r="K5" s="609"/>
      <c r="L5" s="44"/>
      <c r="M5" s="159"/>
      <c r="N5" s="40"/>
    </row>
    <row r="6" spans="1:14" ht="4.5" customHeight="1" thickTop="1" thickBot="1">
      <c r="A6" s="40"/>
      <c r="B6" s="163"/>
      <c r="C6" s="41"/>
      <c r="D6" s="41"/>
      <c r="E6" s="41"/>
      <c r="F6" s="41"/>
      <c r="G6" s="41"/>
      <c r="H6" s="41"/>
      <c r="I6" s="41"/>
      <c r="J6" s="41"/>
      <c r="K6" s="41"/>
      <c r="L6" s="41"/>
      <c r="M6" s="158"/>
      <c r="N6" s="40"/>
    </row>
    <row r="7" spans="1:14" ht="25.5" customHeight="1" thickBot="1">
      <c r="A7" s="161"/>
      <c r="B7" s="575" t="s">
        <v>2515</v>
      </c>
      <c r="C7" s="576"/>
      <c r="D7" s="576"/>
      <c r="E7" s="576"/>
      <c r="F7" s="576"/>
      <c r="G7" s="576"/>
      <c r="H7" s="576"/>
      <c r="I7" s="576"/>
      <c r="J7" s="576"/>
      <c r="K7" s="576"/>
      <c r="L7" s="576"/>
      <c r="M7" s="577"/>
      <c r="N7" s="160"/>
    </row>
    <row r="8" spans="1:14" ht="6" customHeight="1" thickBot="1">
      <c r="A8" s="40"/>
      <c r="B8" s="558"/>
      <c r="C8" s="559"/>
      <c r="D8" s="559"/>
      <c r="E8" s="559"/>
      <c r="F8" s="559"/>
      <c r="G8" s="559"/>
      <c r="H8" s="559"/>
      <c r="I8" s="559"/>
      <c r="J8" s="559"/>
      <c r="K8" s="559"/>
      <c r="L8" s="559"/>
      <c r="M8" s="560"/>
      <c r="N8" s="40"/>
    </row>
    <row r="9" spans="1:14" ht="15" customHeight="1" thickBot="1">
      <c r="A9" s="42"/>
      <c r="B9" s="575" t="s">
        <v>2514</v>
      </c>
      <c r="C9" s="576"/>
      <c r="D9" s="576"/>
      <c r="E9" s="576"/>
      <c r="F9" s="576"/>
      <c r="G9" s="576"/>
      <c r="H9" s="576"/>
      <c r="I9" s="576"/>
      <c r="J9" s="576"/>
      <c r="K9" s="576"/>
      <c r="L9" s="576"/>
      <c r="M9" s="577"/>
      <c r="N9" s="42"/>
    </row>
    <row r="10" spans="1:14" ht="4.5" customHeight="1" thickBot="1">
      <c r="A10" s="40"/>
      <c r="B10" s="558"/>
      <c r="C10" s="559"/>
      <c r="D10" s="559"/>
      <c r="E10" s="559"/>
      <c r="F10" s="559"/>
      <c r="G10" s="559"/>
      <c r="H10" s="559"/>
      <c r="I10" s="559"/>
      <c r="J10" s="559"/>
      <c r="K10" s="559"/>
      <c r="L10" s="559"/>
      <c r="M10" s="560"/>
      <c r="N10" s="40"/>
    </row>
    <row r="11" spans="1:14" ht="14.25" customHeight="1" thickTop="1" thickBot="1">
      <c r="A11" s="42"/>
      <c r="B11" s="43"/>
      <c r="C11" s="172" t="s">
        <v>27</v>
      </c>
      <c r="D11" s="601">
        <f>+'1-Datos Generales'!D11:F11</f>
        <v>0</v>
      </c>
      <c r="E11" s="602"/>
      <c r="F11" s="603"/>
      <c r="G11" s="542" t="s">
        <v>252</v>
      </c>
      <c r="H11" s="544" t="str">
        <f>+'1-Datos Generales'!H11</f>
        <v>C.C.</v>
      </c>
      <c r="I11" s="44"/>
      <c r="J11" s="543" t="s">
        <v>2522</v>
      </c>
      <c r="K11" s="545">
        <f>+'1-Datos Generales'!K11</f>
        <v>1032468634</v>
      </c>
      <c r="L11" s="44"/>
      <c r="M11" s="46"/>
      <c r="N11" s="42"/>
    </row>
    <row r="12" spans="1:14" ht="3.75" customHeight="1" thickTop="1" thickBot="1">
      <c r="A12" s="40"/>
      <c r="B12" s="558"/>
      <c r="C12" s="559"/>
      <c r="D12" s="559"/>
      <c r="E12" s="559"/>
      <c r="F12" s="559"/>
      <c r="G12" s="559"/>
      <c r="H12" s="559"/>
      <c r="I12" s="559"/>
      <c r="J12" s="559"/>
      <c r="K12" s="559"/>
      <c r="L12" s="559"/>
      <c r="M12" s="560"/>
      <c r="N12" s="40"/>
    </row>
    <row r="13" spans="1:14" ht="25.5" customHeight="1" thickBot="1">
      <c r="A13" s="42"/>
      <c r="B13" s="575" t="s">
        <v>2793</v>
      </c>
      <c r="C13" s="576"/>
      <c r="D13" s="576"/>
      <c r="E13" s="576"/>
      <c r="F13" s="576"/>
      <c r="G13" s="576"/>
      <c r="H13" s="576"/>
      <c r="I13" s="576"/>
      <c r="J13" s="576"/>
      <c r="K13" s="576"/>
      <c r="L13" s="576"/>
      <c r="M13" s="577"/>
      <c r="N13" s="42"/>
    </row>
    <row r="14" spans="1:14" ht="6" customHeight="1" thickBot="1">
      <c r="A14" s="40"/>
      <c r="B14" s="558"/>
      <c r="C14" s="559"/>
      <c r="D14" s="559"/>
      <c r="E14" s="559"/>
      <c r="F14" s="559"/>
      <c r="G14" s="559"/>
      <c r="H14" s="559"/>
      <c r="I14" s="559"/>
      <c r="J14" s="559"/>
      <c r="K14" s="559"/>
      <c r="L14" s="559"/>
      <c r="M14" s="560"/>
      <c r="N14" s="40"/>
    </row>
    <row r="15" spans="1:14" ht="14.25" customHeight="1" thickTop="1" thickBot="1">
      <c r="A15" s="42"/>
      <c r="B15" s="43"/>
      <c r="C15" s="132" t="s">
        <v>2527</v>
      </c>
      <c r="D15" s="562" t="s">
        <v>185</v>
      </c>
      <c r="E15" s="564"/>
      <c r="F15" s="44"/>
      <c r="G15" s="543" t="s">
        <v>2523</v>
      </c>
      <c r="H15" s="610">
        <v>2500000</v>
      </c>
      <c r="I15" s="611"/>
      <c r="J15" s="44"/>
      <c r="K15" s="543" t="s">
        <v>2644</v>
      </c>
      <c r="L15" s="282">
        <v>1200000</v>
      </c>
      <c r="M15" s="46"/>
      <c r="N15" s="42"/>
    </row>
    <row r="16" spans="1:14" ht="6" customHeight="1" thickTop="1" thickBot="1">
      <c r="A16" s="40"/>
      <c r="B16" s="558"/>
      <c r="C16" s="559"/>
      <c r="D16" s="559"/>
      <c r="E16" s="559"/>
      <c r="F16" s="559"/>
      <c r="G16" s="559"/>
      <c r="H16" s="559"/>
      <c r="I16" s="559"/>
      <c r="J16" s="559"/>
      <c r="K16" s="559"/>
      <c r="L16" s="559"/>
      <c r="M16" s="560"/>
      <c r="N16" s="40"/>
    </row>
    <row r="17" spans="1:14" ht="14.25" customHeight="1" thickTop="1" thickBot="1">
      <c r="A17" s="42"/>
      <c r="B17" s="43"/>
      <c r="C17" s="45" t="s">
        <v>24</v>
      </c>
      <c r="D17" s="610">
        <v>20000000</v>
      </c>
      <c r="E17" s="611"/>
      <c r="F17" s="44"/>
      <c r="G17" s="542" t="s">
        <v>203</v>
      </c>
      <c r="H17" s="610">
        <v>1500000</v>
      </c>
      <c r="I17" s="611"/>
      <c r="J17" s="44"/>
      <c r="K17" s="44"/>
      <c r="L17" s="44"/>
      <c r="M17" s="46"/>
      <c r="N17" s="42"/>
    </row>
    <row r="18" spans="1:14" ht="6" customHeight="1" thickTop="1" thickBot="1">
      <c r="A18" s="40"/>
      <c r="B18" s="558"/>
      <c r="C18" s="559"/>
      <c r="D18" s="559"/>
      <c r="E18" s="559"/>
      <c r="F18" s="559"/>
      <c r="G18" s="559"/>
      <c r="H18" s="559"/>
      <c r="I18" s="559"/>
      <c r="J18" s="559"/>
      <c r="K18" s="559"/>
      <c r="L18" s="559"/>
      <c r="M18" s="560"/>
      <c r="N18" s="40"/>
    </row>
    <row r="19" spans="1:14" ht="14.25" customHeight="1" thickTop="1" thickBot="1">
      <c r="A19" s="42"/>
      <c r="B19" s="43"/>
      <c r="C19" s="45" t="s">
        <v>202</v>
      </c>
      <c r="D19" s="610">
        <v>1000000</v>
      </c>
      <c r="E19" s="611"/>
      <c r="F19" s="44"/>
      <c r="G19" s="543" t="s">
        <v>204</v>
      </c>
      <c r="H19" s="610" t="s">
        <v>207</v>
      </c>
      <c r="I19" s="611"/>
      <c r="J19" s="44"/>
      <c r="K19" s="44"/>
      <c r="L19" s="44"/>
      <c r="M19" s="46"/>
      <c r="N19" s="42"/>
    </row>
    <row r="20" spans="1:14" ht="6" customHeight="1" thickTop="1" thickBot="1">
      <c r="A20" s="40"/>
      <c r="B20" s="558"/>
      <c r="C20" s="559"/>
      <c r="D20" s="559"/>
      <c r="E20" s="559"/>
      <c r="F20" s="559"/>
      <c r="G20" s="559"/>
      <c r="H20" s="559"/>
      <c r="I20" s="559"/>
      <c r="J20" s="559"/>
      <c r="K20" s="559"/>
      <c r="L20" s="559"/>
      <c r="M20" s="560"/>
      <c r="N20" s="40"/>
    </row>
    <row r="21" spans="1:14" ht="14.25" customHeight="1" thickTop="1" thickBot="1">
      <c r="A21" s="42"/>
      <c r="B21" s="43"/>
      <c r="C21" s="132" t="s">
        <v>2516</v>
      </c>
      <c r="D21" s="45"/>
      <c r="E21" s="45"/>
      <c r="F21" s="250" t="s">
        <v>2519</v>
      </c>
      <c r="G21" s="45"/>
      <c r="H21" s="45"/>
      <c r="I21" s="45"/>
      <c r="J21" s="45"/>
      <c r="K21" s="45"/>
      <c r="L21" s="44"/>
      <c r="M21" s="46"/>
      <c r="N21" s="42"/>
    </row>
    <row r="22" spans="1:14" ht="6" customHeight="1" thickTop="1" thickBot="1">
      <c r="A22" s="40"/>
      <c r="B22" s="558"/>
      <c r="C22" s="559"/>
      <c r="D22" s="559"/>
      <c r="E22" s="559"/>
      <c r="F22" s="559"/>
      <c r="G22" s="559"/>
      <c r="H22" s="559"/>
      <c r="I22" s="559"/>
      <c r="J22" s="559"/>
      <c r="K22" s="559"/>
      <c r="L22" s="559"/>
      <c r="M22" s="560"/>
      <c r="N22" s="40"/>
    </row>
    <row r="23" spans="1:14" ht="15" customHeight="1" thickBot="1">
      <c r="A23" s="42"/>
      <c r="B23" s="575" t="s">
        <v>2526</v>
      </c>
      <c r="C23" s="576"/>
      <c r="D23" s="576"/>
      <c r="E23" s="576"/>
      <c r="F23" s="576"/>
      <c r="G23" s="576"/>
      <c r="H23" s="576"/>
      <c r="I23" s="576"/>
      <c r="J23" s="576"/>
      <c r="K23" s="576"/>
      <c r="L23" s="576"/>
      <c r="M23" s="577"/>
      <c r="N23" s="42"/>
    </row>
    <row r="24" spans="1:14" ht="6" customHeight="1" thickBot="1">
      <c r="A24" s="40"/>
      <c r="B24" s="558"/>
      <c r="C24" s="559"/>
      <c r="D24" s="559"/>
      <c r="E24" s="559"/>
      <c r="F24" s="559"/>
      <c r="G24" s="559"/>
      <c r="H24" s="559"/>
      <c r="I24" s="559"/>
      <c r="J24" s="559"/>
      <c r="K24" s="559"/>
      <c r="L24" s="559"/>
      <c r="M24" s="560"/>
      <c r="N24" s="40"/>
    </row>
    <row r="25" spans="1:14" ht="14.25" customHeight="1" thickTop="1" thickBot="1">
      <c r="A25" s="42"/>
      <c r="B25" s="43"/>
      <c r="C25" s="132" t="s">
        <v>2552</v>
      </c>
      <c r="D25" s="562" t="s">
        <v>261</v>
      </c>
      <c r="E25" s="563"/>
      <c r="F25" s="564"/>
      <c r="G25" s="543" t="s">
        <v>2554</v>
      </c>
      <c r="H25" s="166">
        <v>3019876543</v>
      </c>
      <c r="I25" s="543"/>
      <c r="J25" s="176"/>
      <c r="K25" s="543"/>
      <c r="L25" s="42"/>
      <c r="M25" s="46"/>
      <c r="N25" s="42"/>
    </row>
    <row r="26" spans="1:14" ht="6" customHeight="1" thickTop="1" thickBot="1">
      <c r="A26" s="40"/>
      <c r="B26" s="558"/>
      <c r="C26" s="559"/>
      <c r="D26" s="559"/>
      <c r="E26" s="559"/>
      <c r="F26" s="559"/>
      <c r="G26" s="559"/>
      <c r="H26" s="559"/>
      <c r="I26" s="559"/>
      <c r="J26" s="559"/>
      <c r="K26" s="559"/>
      <c r="L26" s="559"/>
      <c r="M26" s="560"/>
      <c r="N26" s="40"/>
    </row>
    <row r="27" spans="1:14" ht="14.25" customHeight="1" thickTop="1" thickBot="1">
      <c r="A27" s="42"/>
      <c r="B27" s="43"/>
      <c r="C27" s="182" t="s">
        <v>2529</v>
      </c>
      <c r="D27" s="566" t="s">
        <v>263</v>
      </c>
      <c r="E27" s="567"/>
      <c r="F27" s="568"/>
      <c r="G27" s="543" t="s">
        <v>2555</v>
      </c>
      <c r="H27" s="248" t="s">
        <v>2512</v>
      </c>
      <c r="I27" s="569" t="s">
        <v>2530</v>
      </c>
      <c r="J27" s="570"/>
      <c r="K27" s="571" t="s">
        <v>2534</v>
      </c>
      <c r="L27" s="572"/>
      <c r="M27" s="46"/>
      <c r="N27" s="42"/>
    </row>
    <row r="28" spans="1:14" ht="6" customHeight="1" thickTop="1" thickBot="1">
      <c r="A28" s="40"/>
      <c r="B28" s="558"/>
      <c r="C28" s="559"/>
      <c r="D28" s="559"/>
      <c r="E28" s="559"/>
      <c r="F28" s="559"/>
      <c r="G28" s="559"/>
      <c r="H28" s="559"/>
      <c r="I28" s="559"/>
      <c r="J28" s="559"/>
      <c r="K28" s="559"/>
      <c r="L28" s="559"/>
      <c r="M28" s="560"/>
      <c r="N28" s="40"/>
    </row>
    <row r="29" spans="1:14" ht="14.25" customHeight="1" thickTop="1" thickBot="1">
      <c r="A29" s="42"/>
      <c r="B29" s="43"/>
      <c r="C29" s="132" t="s">
        <v>2553</v>
      </c>
      <c r="D29" s="562" t="s">
        <v>262</v>
      </c>
      <c r="E29" s="563"/>
      <c r="F29" s="564"/>
      <c r="G29" s="543" t="s">
        <v>2556</v>
      </c>
      <c r="H29" s="166">
        <v>3112348976</v>
      </c>
      <c r="I29" s="543"/>
      <c r="J29" s="543"/>
      <c r="K29" s="543"/>
      <c r="L29" s="42"/>
      <c r="M29" s="46"/>
      <c r="N29" s="42"/>
    </row>
    <row r="30" spans="1:14" ht="6" customHeight="1" thickTop="1" thickBot="1">
      <c r="A30" s="40"/>
      <c r="B30" s="558"/>
      <c r="C30" s="559"/>
      <c r="D30" s="559"/>
      <c r="E30" s="559"/>
      <c r="F30" s="559"/>
      <c r="G30" s="559"/>
      <c r="H30" s="559"/>
      <c r="I30" s="559"/>
      <c r="J30" s="559"/>
      <c r="K30" s="559"/>
      <c r="L30" s="559"/>
      <c r="M30" s="560"/>
      <c r="N30" s="40"/>
    </row>
    <row r="31" spans="1:14" ht="14.25" customHeight="1" thickTop="1" thickBot="1">
      <c r="A31" s="42"/>
      <c r="B31" s="43"/>
      <c r="C31" s="182" t="s">
        <v>2531</v>
      </c>
      <c r="D31" s="566" t="s">
        <v>2528</v>
      </c>
      <c r="E31" s="567"/>
      <c r="F31" s="568"/>
      <c r="G31" s="543" t="s">
        <v>2557</v>
      </c>
      <c r="H31" s="248" t="s">
        <v>2512</v>
      </c>
      <c r="I31" s="569" t="s">
        <v>2530</v>
      </c>
      <c r="J31" s="570"/>
      <c r="K31" s="571" t="s">
        <v>2535</v>
      </c>
      <c r="L31" s="572"/>
      <c r="M31" s="46"/>
      <c r="N31" s="42"/>
    </row>
    <row r="32" spans="1:14" ht="6" customHeight="1" thickTop="1" thickBot="1">
      <c r="A32" s="40"/>
      <c r="B32" s="558"/>
      <c r="C32" s="559"/>
      <c r="D32" s="559"/>
      <c r="E32" s="559"/>
      <c r="F32" s="559"/>
      <c r="G32" s="559"/>
      <c r="H32" s="559"/>
      <c r="I32" s="559"/>
      <c r="J32" s="559"/>
      <c r="K32" s="559"/>
      <c r="L32" s="559"/>
      <c r="M32" s="560"/>
      <c r="N32" s="40"/>
    </row>
    <row r="33" spans="1:14" ht="25.5" customHeight="1" thickBot="1">
      <c r="A33" s="162"/>
      <c r="B33" s="575" t="s">
        <v>2577</v>
      </c>
      <c r="C33" s="576"/>
      <c r="D33" s="576"/>
      <c r="E33" s="576"/>
      <c r="F33" s="576"/>
      <c r="G33" s="576"/>
      <c r="H33" s="576"/>
      <c r="I33" s="576"/>
      <c r="J33" s="576"/>
      <c r="K33" s="576"/>
      <c r="L33" s="576"/>
      <c r="M33" s="577"/>
      <c r="N33" s="162"/>
    </row>
    <row r="34" spans="1:14" ht="6" customHeight="1" thickBot="1">
      <c r="A34" s="40"/>
      <c r="B34" s="558"/>
      <c r="C34" s="559"/>
      <c r="D34" s="559"/>
      <c r="E34" s="559"/>
      <c r="F34" s="559"/>
      <c r="G34" s="559"/>
      <c r="H34" s="559"/>
      <c r="I34" s="559"/>
      <c r="J34" s="559"/>
      <c r="K34" s="559"/>
      <c r="L34" s="559"/>
      <c r="M34" s="560"/>
      <c r="N34" s="40"/>
    </row>
    <row r="35" spans="1:14" ht="25.5" customHeight="1" thickBot="1">
      <c r="A35" s="42"/>
      <c r="B35" s="575" t="s">
        <v>2794</v>
      </c>
      <c r="C35" s="576"/>
      <c r="D35" s="576"/>
      <c r="E35" s="576"/>
      <c r="F35" s="576"/>
      <c r="G35" s="576"/>
      <c r="H35" s="576"/>
      <c r="I35" s="576"/>
      <c r="J35" s="576"/>
      <c r="K35" s="576"/>
      <c r="L35" s="576"/>
      <c r="M35" s="577"/>
      <c r="N35" s="42"/>
    </row>
    <row r="36" spans="1:14" ht="6" customHeight="1" thickBot="1">
      <c r="A36" s="40"/>
      <c r="B36" s="558"/>
      <c r="C36" s="559"/>
      <c r="D36" s="559"/>
      <c r="E36" s="559"/>
      <c r="F36" s="559"/>
      <c r="G36" s="559"/>
      <c r="H36" s="559"/>
      <c r="I36" s="559"/>
      <c r="J36" s="559"/>
      <c r="K36" s="559"/>
      <c r="L36" s="559"/>
      <c r="M36" s="560"/>
      <c r="N36" s="40"/>
    </row>
    <row r="37" spans="1:14" ht="15" customHeight="1" thickBot="1">
      <c r="A37" s="42"/>
      <c r="B37" s="575" t="s">
        <v>2559</v>
      </c>
      <c r="C37" s="576"/>
      <c r="D37" s="576"/>
      <c r="E37" s="576"/>
      <c r="F37" s="576"/>
      <c r="G37" s="576"/>
      <c r="H37" s="576"/>
      <c r="I37" s="576"/>
      <c r="J37" s="576"/>
      <c r="K37" s="576"/>
      <c r="L37" s="576"/>
      <c r="M37" s="577"/>
      <c r="N37" s="42"/>
    </row>
    <row r="38" spans="1:14" ht="6" customHeight="1" thickBot="1">
      <c r="A38" s="40"/>
      <c r="B38" s="558"/>
      <c r="C38" s="559"/>
      <c r="D38" s="559"/>
      <c r="E38" s="559"/>
      <c r="F38" s="559"/>
      <c r="G38" s="559"/>
      <c r="H38" s="559"/>
      <c r="I38" s="559"/>
      <c r="J38" s="559"/>
      <c r="K38" s="559"/>
      <c r="L38" s="559"/>
      <c r="M38" s="560"/>
      <c r="N38" s="40"/>
    </row>
    <row r="39" spans="1:14" ht="14.25" customHeight="1" thickTop="1" thickBot="1">
      <c r="A39" s="42"/>
      <c r="B39" s="43"/>
      <c r="C39" s="45" t="s">
        <v>27</v>
      </c>
      <c r="D39" s="562" t="s">
        <v>264</v>
      </c>
      <c r="E39" s="563"/>
      <c r="F39" s="564"/>
      <c r="G39" s="542" t="s">
        <v>252</v>
      </c>
      <c r="H39" s="166" t="s">
        <v>253</v>
      </c>
      <c r="I39" s="44"/>
      <c r="J39" s="176" t="s">
        <v>2522</v>
      </c>
      <c r="K39" s="170">
        <v>76775432</v>
      </c>
      <c r="L39" s="44"/>
      <c r="M39" s="46"/>
      <c r="N39" s="42"/>
    </row>
    <row r="40" spans="1:14" ht="6" customHeight="1" thickTop="1" thickBot="1">
      <c r="A40" s="40"/>
      <c r="B40" s="558"/>
      <c r="C40" s="559"/>
      <c r="D40" s="559"/>
      <c r="E40" s="559"/>
      <c r="F40" s="559"/>
      <c r="G40" s="559"/>
      <c r="H40" s="559"/>
      <c r="I40" s="559"/>
      <c r="J40" s="559"/>
      <c r="K40" s="559"/>
      <c r="L40" s="559"/>
      <c r="M40" s="560"/>
      <c r="N40" s="40"/>
    </row>
    <row r="41" spans="1:14" ht="14.25" customHeight="1" thickTop="1" thickBot="1">
      <c r="A41" s="42"/>
      <c r="B41" s="43"/>
      <c r="C41" s="45" t="s">
        <v>21</v>
      </c>
      <c r="D41" s="562" t="s">
        <v>189</v>
      </c>
      <c r="E41" s="563"/>
      <c r="F41" s="564"/>
      <c r="G41" s="186"/>
      <c r="H41" s="186"/>
      <c r="I41" s="44"/>
      <c r="J41" s="543" t="s">
        <v>2524</v>
      </c>
      <c r="K41" s="181">
        <v>21499</v>
      </c>
      <c r="L41" s="171" t="s">
        <v>2521</v>
      </c>
      <c r="M41" s="46"/>
      <c r="N41" s="42"/>
    </row>
    <row r="42" spans="1:14" ht="6" customHeight="1" thickTop="1" thickBot="1">
      <c r="A42" s="40"/>
      <c r="B42" s="558"/>
      <c r="C42" s="559"/>
      <c r="D42" s="559"/>
      <c r="E42" s="559"/>
      <c r="F42" s="559"/>
      <c r="G42" s="559"/>
      <c r="H42" s="559"/>
      <c r="I42" s="559"/>
      <c r="J42" s="559"/>
      <c r="K42" s="559"/>
      <c r="L42" s="559"/>
      <c r="M42" s="560"/>
      <c r="N42" s="40"/>
    </row>
    <row r="43" spans="1:14" ht="14.25" customHeight="1" thickTop="1" thickBot="1">
      <c r="A43" s="42"/>
      <c r="B43" s="43"/>
      <c r="C43" s="182" t="s">
        <v>2532</v>
      </c>
      <c r="D43" s="566" t="s">
        <v>265</v>
      </c>
      <c r="E43" s="567"/>
      <c r="F43" s="568"/>
      <c r="G43" s="543" t="s">
        <v>2533</v>
      </c>
      <c r="H43" s="248" t="s">
        <v>2512</v>
      </c>
      <c r="I43" s="569" t="s">
        <v>2530</v>
      </c>
      <c r="J43" s="570"/>
      <c r="K43" s="571" t="s">
        <v>2513</v>
      </c>
      <c r="L43" s="572"/>
      <c r="M43" s="46"/>
      <c r="N43" s="42"/>
    </row>
    <row r="44" spans="1:14" ht="6" customHeight="1" thickTop="1" thickBot="1">
      <c r="A44" s="40"/>
      <c r="B44" s="558"/>
      <c r="C44" s="559"/>
      <c r="D44" s="559"/>
      <c r="E44" s="559"/>
      <c r="F44" s="559"/>
      <c r="G44" s="559"/>
      <c r="H44" s="559"/>
      <c r="I44" s="559"/>
      <c r="J44" s="559"/>
      <c r="K44" s="559"/>
      <c r="L44" s="559"/>
      <c r="M44" s="560"/>
      <c r="N44" s="40"/>
    </row>
    <row r="45" spans="1:14" ht="14.25" customHeight="1" thickTop="1" thickBot="1">
      <c r="A45" s="42"/>
      <c r="B45" s="43"/>
      <c r="C45" s="132" t="s">
        <v>2545</v>
      </c>
      <c r="D45" s="562" t="s">
        <v>266</v>
      </c>
      <c r="E45" s="563"/>
      <c r="F45" s="564"/>
      <c r="G45" s="543" t="s">
        <v>2551</v>
      </c>
      <c r="H45" s="166">
        <v>4562345</v>
      </c>
      <c r="I45" s="44"/>
      <c r="J45" s="543" t="s">
        <v>2511</v>
      </c>
      <c r="K45" s="166">
        <v>3157890908</v>
      </c>
      <c r="L45" s="44"/>
      <c r="M45" s="46"/>
      <c r="N45" s="42"/>
    </row>
    <row r="46" spans="1:14" ht="6" customHeight="1" thickTop="1" thickBot="1">
      <c r="A46" s="40"/>
      <c r="B46" s="558"/>
      <c r="C46" s="559"/>
      <c r="D46" s="559"/>
      <c r="E46" s="559"/>
      <c r="F46" s="559"/>
      <c r="G46" s="559"/>
      <c r="H46" s="559"/>
      <c r="I46" s="559"/>
      <c r="J46" s="559"/>
      <c r="K46" s="559"/>
      <c r="L46" s="559"/>
      <c r="M46" s="560"/>
      <c r="N46" s="40"/>
    </row>
    <row r="47" spans="1:14" ht="14.25" customHeight="1" thickTop="1" thickBot="1">
      <c r="A47" s="42"/>
      <c r="B47" s="43"/>
      <c r="C47" s="132" t="s">
        <v>2549</v>
      </c>
      <c r="D47" s="562" t="s">
        <v>267</v>
      </c>
      <c r="E47" s="563"/>
      <c r="F47" s="564"/>
      <c r="G47" s="543" t="s">
        <v>2546</v>
      </c>
      <c r="H47" s="248" t="s">
        <v>2512</v>
      </c>
      <c r="I47" s="569" t="s">
        <v>2530</v>
      </c>
      <c r="J47" s="570"/>
      <c r="K47" s="571" t="s">
        <v>2547</v>
      </c>
      <c r="L47" s="572"/>
      <c r="M47" s="46"/>
      <c r="N47" s="42"/>
    </row>
    <row r="48" spans="1:14" ht="6" customHeight="1" thickTop="1" thickBot="1">
      <c r="A48" s="40"/>
      <c r="B48" s="558"/>
      <c r="C48" s="559"/>
      <c r="D48" s="559"/>
      <c r="E48" s="559"/>
      <c r="F48" s="559"/>
      <c r="G48" s="559"/>
      <c r="H48" s="559"/>
      <c r="I48" s="559"/>
      <c r="J48" s="559"/>
      <c r="K48" s="559"/>
      <c r="L48" s="559"/>
      <c r="M48" s="560"/>
      <c r="N48" s="40"/>
    </row>
    <row r="49" spans="1:14" ht="14.25" customHeight="1" thickTop="1" thickBot="1">
      <c r="A49" s="42"/>
      <c r="B49" s="43"/>
      <c r="C49" s="175" t="s">
        <v>2550</v>
      </c>
      <c r="D49" s="562">
        <v>7890909</v>
      </c>
      <c r="E49" s="563"/>
      <c r="F49" s="564"/>
      <c r="G49" s="543" t="s">
        <v>2548</v>
      </c>
      <c r="H49" s="612" t="s">
        <v>268</v>
      </c>
      <c r="I49" s="613"/>
      <c r="J49" s="614"/>
      <c r="K49" s="186"/>
      <c r="L49" s="44"/>
      <c r="M49" s="46"/>
      <c r="N49" s="42"/>
    </row>
    <row r="50" spans="1:14" ht="6" customHeight="1" thickTop="1" thickBot="1">
      <c r="A50" s="40"/>
      <c r="B50" s="558"/>
      <c r="C50" s="559"/>
      <c r="D50" s="559"/>
      <c r="E50" s="559"/>
      <c r="F50" s="559"/>
      <c r="G50" s="559"/>
      <c r="H50" s="559"/>
      <c r="I50" s="559"/>
      <c r="J50" s="559"/>
      <c r="K50" s="559"/>
      <c r="L50" s="559"/>
      <c r="M50" s="560"/>
      <c r="N50" s="40"/>
    </row>
    <row r="51" spans="1:14" ht="14.25" customHeight="1" thickTop="1" thickBot="1">
      <c r="A51" s="42"/>
      <c r="B51" s="43"/>
      <c r="C51" s="132" t="s">
        <v>2516</v>
      </c>
      <c r="D51" s="45"/>
      <c r="E51" s="45"/>
      <c r="F51" s="250" t="s">
        <v>2519</v>
      </c>
      <c r="G51" s="543"/>
      <c r="H51" s="615"/>
      <c r="I51" s="616"/>
      <c r="J51" s="616"/>
      <c r="K51" s="186"/>
      <c r="L51" s="44"/>
      <c r="M51" s="46"/>
      <c r="N51" s="42"/>
    </row>
    <row r="52" spans="1:14" ht="6" customHeight="1" thickTop="1" thickBot="1">
      <c r="A52" s="40"/>
      <c r="B52" s="558"/>
      <c r="C52" s="559"/>
      <c r="D52" s="559"/>
      <c r="E52" s="559"/>
      <c r="F52" s="559"/>
      <c r="G52" s="559"/>
      <c r="H52" s="559"/>
      <c r="I52" s="559"/>
      <c r="J52" s="559"/>
      <c r="K52" s="559"/>
      <c r="L52" s="559"/>
      <c r="M52" s="560"/>
      <c r="N52" s="40"/>
    </row>
    <row r="53" spans="1:14" ht="15" customHeight="1" thickBot="1">
      <c r="A53" s="42"/>
      <c r="B53" s="575" t="s">
        <v>2558</v>
      </c>
      <c r="C53" s="576"/>
      <c r="D53" s="576"/>
      <c r="E53" s="576"/>
      <c r="F53" s="576"/>
      <c r="G53" s="576"/>
      <c r="H53" s="576"/>
      <c r="I53" s="576"/>
      <c r="J53" s="576"/>
      <c r="K53" s="576"/>
      <c r="L53" s="576"/>
      <c r="M53" s="577"/>
      <c r="N53" s="42"/>
    </row>
    <row r="54" spans="1:14" ht="6" customHeight="1" thickBot="1">
      <c r="A54" s="40"/>
      <c r="B54" s="558"/>
      <c r="C54" s="559"/>
      <c r="D54" s="559"/>
      <c r="E54" s="559"/>
      <c r="F54" s="559"/>
      <c r="G54" s="559"/>
      <c r="H54" s="559"/>
      <c r="I54" s="559"/>
      <c r="J54" s="559"/>
      <c r="K54" s="559"/>
      <c r="L54" s="559"/>
      <c r="M54" s="560"/>
      <c r="N54" s="40"/>
    </row>
    <row r="55" spans="1:14" ht="14.25" customHeight="1" thickTop="1" thickBot="1">
      <c r="A55" s="42"/>
      <c r="B55" s="43"/>
      <c r="C55" s="132" t="s">
        <v>2527</v>
      </c>
      <c r="D55" s="562" t="s">
        <v>183</v>
      </c>
      <c r="E55" s="564"/>
      <c r="F55" s="44"/>
      <c r="G55" s="543" t="s">
        <v>2523</v>
      </c>
      <c r="H55" s="610">
        <v>2500000</v>
      </c>
      <c r="I55" s="611"/>
      <c r="J55" s="44"/>
      <c r="K55" s="44"/>
      <c r="L55" s="44"/>
      <c r="M55" s="46"/>
      <c r="N55" s="42"/>
    </row>
    <row r="56" spans="1:14" ht="6" customHeight="1" thickTop="1" thickBot="1">
      <c r="A56" s="40"/>
      <c r="B56" s="558"/>
      <c r="C56" s="559"/>
      <c r="D56" s="559"/>
      <c r="E56" s="559"/>
      <c r="F56" s="559"/>
      <c r="G56" s="559"/>
      <c r="H56" s="559"/>
      <c r="I56" s="559"/>
      <c r="J56" s="559"/>
      <c r="K56" s="559"/>
      <c r="L56" s="559"/>
      <c r="M56" s="560"/>
      <c r="N56" s="40"/>
    </row>
    <row r="57" spans="1:14" ht="14.25" customHeight="1" thickTop="1" thickBot="1">
      <c r="A57" s="42"/>
      <c r="B57" s="43"/>
      <c r="C57" s="45" t="s">
        <v>24</v>
      </c>
      <c r="D57" s="610">
        <v>100000000</v>
      </c>
      <c r="E57" s="611"/>
      <c r="F57" s="44"/>
      <c r="G57" s="542" t="s">
        <v>203</v>
      </c>
      <c r="H57" s="610">
        <v>666</v>
      </c>
      <c r="I57" s="611"/>
      <c r="J57" s="44"/>
      <c r="K57" s="44"/>
      <c r="L57" s="44"/>
      <c r="M57" s="46"/>
      <c r="N57" s="42"/>
    </row>
    <row r="58" spans="1:14" ht="6" customHeight="1" thickTop="1" thickBot="1">
      <c r="A58" s="40"/>
      <c r="B58" s="558"/>
      <c r="C58" s="559"/>
      <c r="D58" s="559"/>
      <c r="E58" s="559"/>
      <c r="F58" s="559"/>
      <c r="G58" s="559"/>
      <c r="H58" s="559"/>
      <c r="I58" s="559"/>
      <c r="J58" s="559"/>
      <c r="K58" s="559"/>
      <c r="L58" s="559"/>
      <c r="M58" s="560"/>
      <c r="N58" s="40"/>
    </row>
    <row r="59" spans="1:14" ht="14.25" customHeight="1" thickTop="1" thickBot="1">
      <c r="A59" s="42"/>
      <c r="B59" s="43"/>
      <c r="C59" s="45" t="s">
        <v>202</v>
      </c>
      <c r="D59" s="610">
        <v>35000000</v>
      </c>
      <c r="E59" s="611"/>
      <c r="F59" s="44"/>
      <c r="G59" s="542" t="s">
        <v>204</v>
      </c>
      <c r="H59" s="610" t="s">
        <v>205</v>
      </c>
      <c r="I59" s="611"/>
      <c r="J59" s="44"/>
      <c r="K59" s="44"/>
      <c r="L59" s="44"/>
      <c r="M59" s="46"/>
      <c r="N59" s="42"/>
    </row>
    <row r="60" spans="1:14" ht="6" customHeight="1" thickTop="1" thickBot="1">
      <c r="A60" s="40"/>
      <c r="B60" s="558"/>
      <c r="C60" s="559"/>
      <c r="D60" s="559"/>
      <c r="E60" s="559"/>
      <c r="F60" s="559"/>
      <c r="G60" s="559"/>
      <c r="H60" s="559"/>
      <c r="I60" s="559"/>
      <c r="J60" s="559"/>
      <c r="K60" s="559"/>
      <c r="L60" s="559"/>
      <c r="M60" s="560"/>
      <c r="N60" s="40"/>
    </row>
    <row r="61" spans="1:14" ht="15" customHeight="1" thickBot="1">
      <c r="A61" s="42"/>
      <c r="B61" s="575" t="s">
        <v>2561</v>
      </c>
      <c r="C61" s="576"/>
      <c r="D61" s="576"/>
      <c r="E61" s="576"/>
      <c r="F61" s="576"/>
      <c r="G61" s="576"/>
      <c r="H61" s="576"/>
      <c r="I61" s="576"/>
      <c r="J61" s="576"/>
      <c r="K61" s="576"/>
      <c r="L61" s="576"/>
      <c r="M61" s="577"/>
      <c r="N61" s="42"/>
    </row>
    <row r="62" spans="1:14" ht="6" customHeight="1" thickBot="1">
      <c r="A62" s="40"/>
      <c r="B62" s="558"/>
      <c r="C62" s="559"/>
      <c r="D62" s="559"/>
      <c r="E62" s="559"/>
      <c r="F62" s="559"/>
      <c r="G62" s="559"/>
      <c r="H62" s="559"/>
      <c r="I62" s="559"/>
      <c r="J62" s="559"/>
      <c r="K62" s="559"/>
      <c r="L62" s="559"/>
      <c r="M62" s="560"/>
      <c r="N62" s="40"/>
    </row>
    <row r="63" spans="1:14" ht="14.25" customHeight="1" thickTop="1" thickBot="1">
      <c r="A63" s="42"/>
      <c r="B63" s="43"/>
      <c r="C63" s="132" t="s">
        <v>2560</v>
      </c>
      <c r="D63" s="562" t="s">
        <v>269</v>
      </c>
      <c r="E63" s="563"/>
      <c r="F63" s="564"/>
      <c r="G63" s="543" t="s">
        <v>2511</v>
      </c>
      <c r="H63" s="166">
        <v>3135674532</v>
      </c>
      <c r="I63" s="542"/>
      <c r="J63" s="542"/>
      <c r="K63" s="542"/>
      <c r="L63" s="542"/>
      <c r="M63" s="168"/>
      <c r="N63" s="42"/>
    </row>
    <row r="64" spans="1:14" ht="6" customHeight="1" thickTop="1" thickBot="1">
      <c r="A64" s="40"/>
      <c r="B64" s="558"/>
      <c r="C64" s="559"/>
      <c r="D64" s="559"/>
      <c r="E64" s="559"/>
      <c r="F64" s="559"/>
      <c r="G64" s="559"/>
      <c r="H64" s="559"/>
      <c r="I64" s="559"/>
      <c r="J64" s="559"/>
      <c r="K64" s="559"/>
      <c r="L64" s="559"/>
      <c r="M64" s="560"/>
      <c r="N64" s="40"/>
    </row>
    <row r="65" spans="1:14" ht="14.25" customHeight="1" thickTop="1" thickBot="1">
      <c r="A65" s="42"/>
      <c r="B65" s="43"/>
      <c r="C65" s="182" t="s">
        <v>2532</v>
      </c>
      <c r="D65" s="566" t="s">
        <v>270</v>
      </c>
      <c r="E65" s="567"/>
      <c r="F65" s="568"/>
      <c r="G65" s="543" t="s">
        <v>2533</v>
      </c>
      <c r="H65" s="248" t="s">
        <v>2512</v>
      </c>
      <c r="I65" s="569" t="s">
        <v>2530</v>
      </c>
      <c r="J65" s="570"/>
      <c r="K65" s="571" t="s">
        <v>2562</v>
      </c>
      <c r="L65" s="572"/>
      <c r="M65" s="168"/>
      <c r="N65" s="42"/>
    </row>
    <row r="66" spans="1:14" ht="6" customHeight="1" thickTop="1" thickBot="1">
      <c r="A66" s="40"/>
      <c r="B66" s="558"/>
      <c r="C66" s="559"/>
      <c r="D66" s="559"/>
      <c r="E66" s="559"/>
      <c r="F66" s="559"/>
      <c r="G66" s="559"/>
      <c r="H66" s="559"/>
      <c r="I66" s="559"/>
      <c r="J66" s="559"/>
      <c r="K66" s="559"/>
      <c r="L66" s="559"/>
      <c r="M66" s="560"/>
      <c r="N66" s="40"/>
    </row>
    <row r="67" spans="1:14" ht="14.25" customHeight="1" thickTop="1" thickBot="1">
      <c r="A67" s="42"/>
      <c r="B67" s="43"/>
      <c r="C67" s="132" t="s">
        <v>2572</v>
      </c>
      <c r="D67" s="562" t="s">
        <v>271</v>
      </c>
      <c r="E67" s="563"/>
      <c r="F67" s="564"/>
      <c r="G67" s="543" t="s">
        <v>2573</v>
      </c>
      <c r="H67" s="166">
        <v>3112348978</v>
      </c>
      <c r="I67" s="44"/>
      <c r="J67" s="44"/>
      <c r="K67" s="44"/>
      <c r="L67" s="44"/>
      <c r="M67" s="46"/>
      <c r="N67" s="42"/>
    </row>
    <row r="68" spans="1:14" ht="6" customHeight="1" thickTop="1">
      <c r="A68" s="40"/>
      <c r="B68" s="558"/>
      <c r="C68" s="559"/>
      <c r="D68" s="559"/>
      <c r="E68" s="559"/>
      <c r="F68" s="559"/>
      <c r="G68" s="559"/>
      <c r="H68" s="559"/>
      <c r="I68" s="559"/>
      <c r="J68" s="559"/>
      <c r="K68" s="559"/>
      <c r="L68" s="559"/>
      <c r="M68" s="560"/>
      <c r="N68" s="40"/>
    </row>
    <row r="69" spans="1:14" ht="12.75" customHeight="1" thickBot="1">
      <c r="A69" s="42"/>
      <c r="B69" s="177"/>
      <c r="C69" s="178"/>
      <c r="D69" s="178"/>
      <c r="E69" s="178"/>
      <c r="F69" s="178"/>
      <c r="G69" s="178"/>
      <c r="H69" s="178"/>
      <c r="I69" s="178"/>
      <c r="J69" s="178"/>
      <c r="K69" s="178"/>
      <c r="L69" s="178"/>
      <c r="M69" s="179"/>
      <c r="N69" s="42"/>
    </row>
    <row r="70" spans="1:14" ht="13.5" thickTop="1">
      <c r="A70" s="40"/>
      <c r="B70" s="40"/>
      <c r="C70" s="42"/>
      <c r="D70" s="42"/>
      <c r="E70" s="42"/>
      <c r="F70" s="42"/>
      <c r="G70" s="42"/>
      <c r="H70" s="42"/>
      <c r="I70" s="42"/>
      <c r="J70" s="42"/>
      <c r="K70" s="42"/>
      <c r="L70" s="42"/>
      <c r="M70" s="42"/>
      <c r="N70" s="40"/>
    </row>
  </sheetData>
  <sheetProtection algorithmName="SHA-512" hashValue="BnhENtYae40Qe7rE3GlsSQSGX/jwQv3PDRTSkdo5/0IC73pqY3CUaiH53IosIElxGKowSsLqcZNT6q0Va9LgDg==" saltValue="++xL6ICeDhWB7lIqXw8i2A==" spinCount="100000" sheet="1" objects="1" scenarios="1" selectLockedCells="1"/>
  <mergeCells count="81">
    <mergeCell ref="D67:F67"/>
    <mergeCell ref="B68:M68"/>
    <mergeCell ref="B34:M34"/>
    <mergeCell ref="B35:M35"/>
    <mergeCell ref="D63:F63"/>
    <mergeCell ref="B64:M64"/>
    <mergeCell ref="D65:F65"/>
    <mergeCell ref="I65:J65"/>
    <mergeCell ref="K65:L65"/>
    <mergeCell ref="B66:M66"/>
    <mergeCell ref="B58:M58"/>
    <mergeCell ref="D59:E59"/>
    <mergeCell ref="H59:I59"/>
    <mergeCell ref="B60:M60"/>
    <mergeCell ref="B61:M61"/>
    <mergeCell ref="B62:M62"/>
    <mergeCell ref="D57:E57"/>
    <mergeCell ref="H57:I57"/>
    <mergeCell ref="B48:M48"/>
    <mergeCell ref="D49:F49"/>
    <mergeCell ref="H49:J49"/>
    <mergeCell ref="B50:M50"/>
    <mergeCell ref="H51:J51"/>
    <mergeCell ref="B52:M52"/>
    <mergeCell ref="B53:M53"/>
    <mergeCell ref="B54:M54"/>
    <mergeCell ref="D55:E55"/>
    <mergeCell ref="H55:I55"/>
    <mergeCell ref="B56:M56"/>
    <mergeCell ref="B44:M44"/>
    <mergeCell ref="D45:F45"/>
    <mergeCell ref="B46:M46"/>
    <mergeCell ref="D47:F47"/>
    <mergeCell ref="I47:J47"/>
    <mergeCell ref="K47:L47"/>
    <mergeCell ref="B40:M40"/>
    <mergeCell ref="D41:F41"/>
    <mergeCell ref="B42:M42"/>
    <mergeCell ref="D43:F43"/>
    <mergeCell ref="I43:J43"/>
    <mergeCell ref="K43:L43"/>
    <mergeCell ref="D39:F39"/>
    <mergeCell ref="B28:M28"/>
    <mergeCell ref="D29:F29"/>
    <mergeCell ref="B30:M30"/>
    <mergeCell ref="D31:F31"/>
    <mergeCell ref="I31:J31"/>
    <mergeCell ref="K31:L31"/>
    <mergeCell ref="B32:M32"/>
    <mergeCell ref="B33:M33"/>
    <mergeCell ref="B36:M36"/>
    <mergeCell ref="B37:M37"/>
    <mergeCell ref="B38:M38"/>
    <mergeCell ref="B23:M23"/>
    <mergeCell ref="B24:M24"/>
    <mergeCell ref="D25:F25"/>
    <mergeCell ref="B26:M26"/>
    <mergeCell ref="D27:F27"/>
    <mergeCell ref="I27:J27"/>
    <mergeCell ref="K27:L27"/>
    <mergeCell ref="D19:E19"/>
    <mergeCell ref="H19:I19"/>
    <mergeCell ref="B20:M20"/>
    <mergeCell ref="B22:M22"/>
    <mergeCell ref="D15:E15"/>
    <mergeCell ref="H15:I15"/>
    <mergeCell ref="B16:M16"/>
    <mergeCell ref="D17:E17"/>
    <mergeCell ref="H17:I17"/>
    <mergeCell ref="B18:M18"/>
    <mergeCell ref="B12:M12"/>
    <mergeCell ref="B13:M13"/>
    <mergeCell ref="B14:M14"/>
    <mergeCell ref="B10:M10"/>
    <mergeCell ref="D11:F11"/>
    <mergeCell ref="B9:M9"/>
    <mergeCell ref="C3:M3"/>
    <mergeCell ref="D5:G5"/>
    <mergeCell ref="H5:K5"/>
    <mergeCell ref="B7:M7"/>
    <mergeCell ref="B8:M8"/>
  </mergeCells>
  <dataValidations count="4">
    <dataValidation type="list" allowBlank="1" showInputMessage="1" showErrorMessage="1" sqref="K27 K65 K47 K43 K31" xr:uid="{00000000-0002-0000-0300-000000000000}">
      <formula1>INDIRECT(H27)</formula1>
    </dataValidation>
    <dataValidation type="whole" operator="greaterThanOrEqual" allowBlank="1" showInputMessage="1" showErrorMessage="1" errorTitle="ERROR EN DIGITACION" error="Este campo es unicamente unicamente_x000a_" sqref="H15:I15 D17:E17 H57 H17:I17 D19:E19" xr:uid="{00000000-0002-0000-0300-000001000000}">
      <formula1>0</formula1>
    </dataValidation>
    <dataValidation type="list" allowBlank="1" showInputMessage="1" showErrorMessage="1" sqref="H31 H27 H43 H47 H65" xr:uid="{00000000-0002-0000-0300-000002000000}">
      <formula1>Departamentos</formula1>
    </dataValidation>
    <dataValidation type="whole" operator="greaterThan" allowBlank="1" showInputMessage="1" showErrorMessage="1" errorTitle="ERROR EN DIGITACION" error="Este campo es unicamente unicamente_x000a_" sqref="H67 H25 H29 K45 D57:E57 D59:E59 H45 M65 H63 M63" xr:uid="{00000000-0002-0000-0300-000003000000}">
      <formula1>0</formula1>
    </dataValidation>
  </dataValidations>
  <hyperlinks>
    <hyperlink ref="H49" r:id="rId1" xr:uid="{00000000-0004-0000-0300-000000000000}"/>
    <hyperlink ref="H51" r:id="rId2" display="mailcode@correo.com" xr:uid="{00000000-0004-0000-0300-000001000000}"/>
  </hyperlinks>
  <pageMargins left="0.70866141732283472" right="0.70866141732283472" top="0.74803149606299213" bottom="0.74803149606299213" header="0.31496062992125984" footer="0.31496062992125984"/>
  <pageSetup scale="63" orientation="landscape" r:id="rId3"/>
  <drawing r:id="rId4"/>
  <legacyDrawing r:id="rId5"/>
  <controls>
    <mc:AlternateContent xmlns:mc="http://schemas.openxmlformats.org/markup-compatibility/2006">
      <mc:Choice Requires="x14">
        <control shapeId="27652" r:id="rId6" name="CommandButton1">
          <controlPr defaultSize="0" print="0" autoFill="0" autoLine="0" r:id="rId7">
            <anchor moveWithCells="1">
              <from>
                <xdr:col>13</xdr:col>
                <xdr:colOff>85725</xdr:colOff>
                <xdr:row>8</xdr:row>
                <xdr:rowOff>47625</xdr:rowOff>
              </from>
              <to>
                <xdr:col>13</xdr:col>
                <xdr:colOff>676275</xdr:colOff>
                <xdr:row>12</xdr:row>
                <xdr:rowOff>228600</xdr:rowOff>
              </to>
            </anchor>
          </controlPr>
        </control>
      </mc:Choice>
      <mc:Fallback>
        <control shapeId="27652" r:id="rId6" name="CommandButton1"/>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4000000}">
          <x14:formula1>
            <xm:f>Validaciones!$H$6:$H$9</xm:f>
          </x14:formula1>
          <xm:sqref>H19:I19 H59:I59</xm:sqref>
        </x14:dataValidation>
        <x14:dataValidation type="list" allowBlank="1" showInputMessage="1" showErrorMessage="1" xr:uid="{00000000-0002-0000-0300-000005000000}">
          <x14:formula1>
            <xm:f>Validaciones!$D$6:$D$12</xm:f>
          </x14:formula1>
          <xm:sqref>D15:E15 D55:E55</xm:sqref>
        </x14:dataValidation>
        <x14:dataValidation type="list" allowBlank="1" showInputMessage="1" showErrorMessage="1" xr:uid="{00000000-0002-0000-0300-000006000000}">
          <x14:formula1>
            <xm:f>Validaciones!$E$6:$E$8</xm:f>
          </x14:formula1>
          <xm:sqref>F21 F51</xm:sqref>
        </x14:dataValidation>
        <x14:dataValidation type="list" operator="greaterThan" allowBlank="1" showInputMessage="1" showErrorMessage="1" errorTitle="ERROR EN DIGITACION" error="Este campo es unicamente unicamente_x000a_" xr:uid="{00000000-0002-0000-0300-000007000000}">
          <x14:formula1>
            <xm:f>Validaciones!$G$6:$G$8</xm:f>
          </x14:formula1>
          <xm:sqref>H39</xm:sqref>
        </x14:dataValidation>
        <x14:dataValidation type="list" allowBlank="1" showInputMessage="1" showErrorMessage="1" xr:uid="{00000000-0002-0000-0300-000008000000}">
          <x14:formula1>
            <xm:f>Validaciones!$F$6:$F$10</xm:f>
          </x14:formula1>
          <xm:sqref>D41:F41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
    <pageSetUpPr autoPageBreaks="0"/>
  </sheetPr>
  <dimension ref="A1:M98"/>
  <sheetViews>
    <sheetView showGridLines="0" showRowColHeaders="0" showZeros="0" showOutlineSymbols="0" zoomScaleNormal="100" workbookViewId="0"/>
  </sheetViews>
  <sheetFormatPr baseColWidth="10" defaultColWidth="0" defaultRowHeight="12.75" zeroHeight="1"/>
  <cols>
    <col min="1" max="1" width="2.42578125" style="56" customWidth="1"/>
    <col min="2" max="2" width="6.7109375" style="56" customWidth="1"/>
    <col min="3" max="3" width="40.7109375" style="56" customWidth="1"/>
    <col min="4" max="4" width="12.85546875" style="56" customWidth="1"/>
    <col min="5" max="5" width="11.42578125" style="56" customWidth="1"/>
    <col min="6" max="6" width="17.42578125" style="56" customWidth="1"/>
    <col min="7" max="7" width="17" style="56" bestFit="1" customWidth="1"/>
    <col min="8" max="8" width="15.7109375" style="56" customWidth="1"/>
    <col min="9" max="9" width="16" style="56" customWidth="1"/>
    <col min="10" max="10" width="13" style="56" customWidth="1"/>
    <col min="11" max="11" width="4.28515625" style="56" customWidth="1"/>
    <col min="12" max="12" width="2.42578125" style="56" customWidth="1"/>
    <col min="13" max="13" width="12.42578125" style="56" customWidth="1"/>
    <col min="14" max="16384" width="11.42578125" style="56" hidden="1"/>
  </cols>
  <sheetData>
    <row r="1" spans="1:12" ht="13.5" thickBot="1">
      <c r="A1" s="246" t="s">
        <v>7</v>
      </c>
    </row>
    <row r="2" spans="1:12" ht="7.5" customHeight="1" thickTop="1">
      <c r="B2" s="198"/>
      <c r="C2" s="226"/>
      <c r="D2" s="199"/>
      <c r="E2" s="199"/>
      <c r="F2" s="199"/>
      <c r="G2" s="199"/>
      <c r="H2" s="199"/>
      <c r="I2" s="199"/>
      <c r="J2" s="199"/>
      <c r="K2" s="200"/>
      <c r="L2" s="203"/>
    </row>
    <row r="3" spans="1:12" ht="20.25" customHeight="1">
      <c r="B3" s="618" t="s">
        <v>2578</v>
      </c>
      <c r="C3" s="619"/>
      <c r="D3" s="619"/>
      <c r="E3" s="619"/>
      <c r="F3" s="619"/>
      <c r="G3" s="619"/>
      <c r="H3" s="619"/>
      <c r="I3" s="619"/>
      <c r="J3" s="619"/>
      <c r="K3" s="620"/>
      <c r="L3" s="203"/>
    </row>
    <row r="4" spans="1:12" ht="4.5" customHeight="1" thickBot="1">
      <c r="B4" s="209"/>
      <c r="C4" s="65"/>
      <c r="D4" s="65"/>
      <c r="E4" s="65"/>
      <c r="F4" s="65"/>
      <c r="G4" s="65"/>
      <c r="H4" s="65"/>
      <c r="I4" s="65"/>
      <c r="J4" s="65"/>
      <c r="K4" s="202"/>
      <c r="L4" s="203"/>
    </row>
    <row r="5" spans="1:12" ht="14.25" thickTop="1" thickBot="1">
      <c r="B5" s="210"/>
      <c r="C5" s="624" t="s">
        <v>2579</v>
      </c>
      <c r="D5" s="624"/>
      <c r="E5" s="625"/>
      <c r="F5" s="621" t="str">
        <f>+'1-Datos Generales'!$H$5</f>
        <v>SEGI</v>
      </c>
      <c r="G5" s="622"/>
      <c r="H5" s="622"/>
      <c r="I5" s="622"/>
      <c r="J5" s="623"/>
      <c r="K5" s="202"/>
      <c r="L5" s="203"/>
    </row>
    <row r="6" spans="1:12" ht="4.5" customHeight="1" thickTop="1" thickBot="1">
      <c r="B6" s="201" t="s">
        <v>212</v>
      </c>
      <c r="C6" s="65"/>
      <c r="D6" s="65" t="s">
        <v>7</v>
      </c>
      <c r="E6" s="196"/>
      <c r="F6" s="196"/>
      <c r="G6" s="65"/>
      <c r="H6" s="65"/>
      <c r="I6" s="65"/>
      <c r="J6" s="65"/>
      <c r="K6" s="202"/>
      <c r="L6" s="203"/>
    </row>
    <row r="7" spans="1:12" ht="14.25" thickTop="1" thickBot="1">
      <c r="B7" s="210"/>
      <c r="C7" s="624" t="s">
        <v>2576</v>
      </c>
      <c r="D7" s="624"/>
      <c r="E7" s="625"/>
      <c r="F7" s="621">
        <f>+'1-Datos Generales'!$D$11</f>
        <v>0</v>
      </c>
      <c r="G7" s="622"/>
      <c r="H7" s="622"/>
      <c r="I7" s="622"/>
      <c r="J7" s="623"/>
      <c r="K7" s="202"/>
      <c r="L7" s="203"/>
    </row>
    <row r="8" spans="1:12" ht="4.5" customHeight="1" thickTop="1" thickBot="1">
      <c r="B8" s="201"/>
      <c r="C8" s="65"/>
      <c r="D8" s="65"/>
      <c r="E8" s="65"/>
      <c r="F8" s="65"/>
      <c r="G8" s="65"/>
      <c r="H8" s="65"/>
      <c r="I8" s="65"/>
      <c r="J8" s="65"/>
      <c r="K8" s="202"/>
      <c r="L8" s="203"/>
    </row>
    <row r="9" spans="1:12" ht="25.5" customHeight="1" thickBot="1">
      <c r="B9" s="575" t="s">
        <v>2591</v>
      </c>
      <c r="C9" s="576"/>
      <c r="D9" s="576"/>
      <c r="E9" s="576"/>
      <c r="F9" s="576"/>
      <c r="G9" s="576"/>
      <c r="H9" s="576"/>
      <c r="I9" s="576"/>
      <c r="J9" s="576"/>
      <c r="K9" s="577"/>
      <c r="L9" s="203"/>
    </row>
    <row r="10" spans="1:12" ht="15" customHeight="1">
      <c r="B10" s="201"/>
      <c r="C10" s="65"/>
      <c r="E10" s="65"/>
      <c r="F10" s="65"/>
      <c r="G10" s="65"/>
      <c r="H10" s="65"/>
      <c r="I10" s="65"/>
      <c r="J10" s="65"/>
      <c r="K10" s="202"/>
      <c r="L10" s="203"/>
    </row>
    <row r="11" spans="1:12">
      <c r="B11" s="201"/>
      <c r="C11" s="65"/>
      <c r="E11" s="65"/>
      <c r="F11" s="65"/>
      <c r="G11" s="65"/>
      <c r="H11" s="65"/>
      <c r="I11" s="65"/>
      <c r="J11" s="65"/>
      <c r="K11" s="202"/>
      <c r="L11" s="203"/>
    </row>
    <row r="12" spans="1:12">
      <c r="B12" s="211"/>
      <c r="C12" s="227"/>
      <c r="D12" s="65"/>
      <c r="E12" s="65"/>
      <c r="F12" s="65"/>
      <c r="G12" s="65"/>
      <c r="H12" s="65"/>
      <c r="I12" s="65"/>
      <c r="J12" s="65"/>
      <c r="K12" s="202"/>
      <c r="L12" s="203"/>
    </row>
    <row r="13" spans="1:12">
      <c r="B13" s="201"/>
      <c r="C13" s="65"/>
      <c r="E13" s="65"/>
      <c r="F13" s="65"/>
      <c r="G13" s="65"/>
      <c r="H13" s="65"/>
      <c r="I13" s="65"/>
      <c r="J13" s="65"/>
      <c r="K13" s="202"/>
      <c r="L13" s="203"/>
    </row>
    <row r="14" spans="1:12" s="54" customFormat="1" ht="44.25" customHeight="1">
      <c r="B14" s="203"/>
      <c r="C14" s="66"/>
      <c r="D14" s="66"/>
      <c r="E14" s="66"/>
      <c r="F14" s="66"/>
      <c r="G14" s="66"/>
      <c r="H14" s="66"/>
      <c r="I14" s="66"/>
      <c r="J14" s="66"/>
      <c r="K14" s="204"/>
      <c r="L14" s="203"/>
    </row>
    <row r="15" spans="1:12" s="54" customFormat="1" ht="44.25" customHeight="1">
      <c r="B15" s="203"/>
      <c r="C15" s="66"/>
      <c r="D15" s="66"/>
      <c r="E15" s="66"/>
      <c r="F15" s="66"/>
      <c r="G15" s="66"/>
      <c r="H15" s="66"/>
      <c r="I15" s="66"/>
      <c r="J15" s="66"/>
      <c r="K15" s="204"/>
      <c r="L15" s="203"/>
    </row>
    <row r="16" spans="1:12" s="54" customFormat="1" ht="15.75" customHeight="1">
      <c r="A16" s="55"/>
      <c r="B16" s="205"/>
      <c r="C16" s="228"/>
      <c r="D16" s="66"/>
      <c r="E16" s="66"/>
      <c r="F16" s="66"/>
      <c r="G16" s="66"/>
      <c r="H16" s="66"/>
      <c r="I16" s="66"/>
      <c r="J16" s="66"/>
      <c r="K16" s="204"/>
      <c r="L16" s="203"/>
    </row>
    <row r="17" spans="2:12" ht="15" customHeight="1" thickBot="1">
      <c r="B17" s="201"/>
      <c r="C17" s="65"/>
      <c r="D17" s="65"/>
      <c r="E17" s="65"/>
      <c r="F17" s="65"/>
      <c r="G17" s="65"/>
      <c r="H17" s="65"/>
      <c r="I17" s="65"/>
      <c r="J17" s="65"/>
      <c r="K17" s="202"/>
      <c r="L17" s="203"/>
    </row>
    <row r="18" spans="2:12" ht="25.5" customHeight="1" thickBot="1">
      <c r="B18" s="575" t="s">
        <v>255</v>
      </c>
      <c r="C18" s="576"/>
      <c r="D18" s="576"/>
      <c r="E18" s="576"/>
      <c r="F18" s="576"/>
      <c r="G18" s="576"/>
      <c r="H18" s="576"/>
      <c r="I18" s="576"/>
      <c r="J18" s="576"/>
      <c r="K18" s="577"/>
      <c r="L18" s="203"/>
    </row>
    <row r="19" spans="2:12" ht="15" customHeight="1">
      <c r="B19" s="206"/>
      <c r="C19" s="57"/>
      <c r="D19" s="57"/>
      <c r="E19" s="57"/>
      <c r="F19" s="57"/>
      <c r="G19" s="57"/>
      <c r="H19" s="135"/>
      <c r="I19" s="65"/>
      <c r="J19" s="65"/>
      <c r="K19" s="202"/>
      <c r="L19" s="203"/>
    </row>
    <row r="20" spans="2:12" ht="36" customHeight="1">
      <c r="B20" s="201"/>
      <c r="C20" s="626" t="s">
        <v>2673</v>
      </c>
      <c r="D20" s="626"/>
      <c r="E20" s="626"/>
      <c r="F20" s="299" t="s">
        <v>2674</v>
      </c>
      <c r="G20" s="299" t="s">
        <v>2675</v>
      </c>
      <c r="H20" s="299" t="s">
        <v>2676</v>
      </c>
      <c r="I20" s="299" t="s">
        <v>2677</v>
      </c>
      <c r="J20" s="65"/>
      <c r="K20" s="202"/>
      <c r="L20" s="203"/>
    </row>
    <row r="21" spans="2:12" ht="18" customHeight="1">
      <c r="B21" s="201"/>
      <c r="C21" s="627" t="s">
        <v>2814</v>
      </c>
      <c r="D21" s="627"/>
      <c r="E21" s="627"/>
      <c r="F21" s="303">
        <v>150</v>
      </c>
      <c r="G21" s="303">
        <v>1</v>
      </c>
      <c r="H21" s="316">
        <v>125</v>
      </c>
      <c r="I21" s="317">
        <f>IFERROR(H21/(F21*G21),0)</f>
        <v>0.83333333333333337</v>
      </c>
      <c r="J21" s="65"/>
      <c r="K21" s="202"/>
      <c r="L21" s="203"/>
    </row>
    <row r="22" spans="2:12" ht="18" customHeight="1">
      <c r="B22" s="201"/>
      <c r="C22" s="627" t="s">
        <v>2815</v>
      </c>
      <c r="D22" s="627"/>
      <c r="E22" s="627"/>
      <c r="F22" s="303">
        <v>150</v>
      </c>
      <c r="G22" s="303">
        <v>2</v>
      </c>
      <c r="H22" s="316">
        <v>250</v>
      </c>
      <c r="I22" s="317">
        <f>IFERROR(H22/(F22*G22),0)</f>
        <v>0.83333333333333337</v>
      </c>
      <c r="J22" s="65"/>
      <c r="K22" s="202"/>
      <c r="L22" s="203"/>
    </row>
    <row r="23" spans="2:12" ht="18" customHeight="1">
      <c r="B23" s="201"/>
      <c r="C23" s="627"/>
      <c r="D23" s="627"/>
      <c r="E23" s="627"/>
      <c r="F23" s="303"/>
      <c r="G23" s="303"/>
      <c r="H23" s="316"/>
      <c r="I23" s="317">
        <f t="shared" ref="I23:I26" si="0">IFERROR(H23/(F23*G23),0)</f>
        <v>0</v>
      </c>
      <c r="J23" s="65"/>
      <c r="K23" s="202"/>
      <c r="L23" s="203"/>
    </row>
    <row r="24" spans="2:12" ht="18" customHeight="1">
      <c r="B24" s="201"/>
      <c r="C24" s="627"/>
      <c r="D24" s="627"/>
      <c r="E24" s="627"/>
      <c r="F24" s="303"/>
      <c r="G24" s="303"/>
      <c r="H24" s="316"/>
      <c r="I24" s="317">
        <f t="shared" si="0"/>
        <v>0</v>
      </c>
      <c r="J24" s="65"/>
      <c r="K24" s="202"/>
      <c r="L24" s="203"/>
    </row>
    <row r="25" spans="2:12" ht="18" customHeight="1">
      <c r="B25" s="201"/>
      <c r="C25" s="627"/>
      <c r="D25" s="627"/>
      <c r="E25" s="627"/>
      <c r="F25" s="303"/>
      <c r="G25" s="303"/>
      <c r="H25" s="316"/>
      <c r="I25" s="317">
        <f t="shared" si="0"/>
        <v>0</v>
      </c>
      <c r="J25" s="65"/>
      <c r="K25" s="202"/>
      <c r="L25" s="203"/>
    </row>
    <row r="26" spans="2:12" ht="18" customHeight="1">
      <c r="B26" s="201"/>
      <c r="C26" s="627"/>
      <c r="D26" s="627"/>
      <c r="E26" s="627"/>
      <c r="F26" s="303"/>
      <c r="G26" s="303"/>
      <c r="H26" s="316"/>
      <c r="I26" s="317">
        <f t="shared" si="0"/>
        <v>0</v>
      </c>
      <c r="J26" s="65"/>
      <c r="K26" s="202"/>
      <c r="L26" s="203"/>
    </row>
    <row r="27" spans="2:12" ht="18" customHeight="1">
      <c r="B27" s="201"/>
      <c r="C27" s="629" t="s">
        <v>12</v>
      </c>
      <c r="D27" s="629"/>
      <c r="E27" s="629"/>
      <c r="F27" s="58"/>
      <c r="G27" s="58"/>
      <c r="H27" s="212">
        <f>SUM(H21:H26)</f>
        <v>375</v>
      </c>
      <c r="I27" s="59"/>
      <c r="J27" s="65"/>
      <c r="K27" s="202"/>
      <c r="L27" s="203"/>
    </row>
    <row r="28" spans="2:12" ht="15" customHeight="1">
      <c r="B28" s="201"/>
      <c r="C28" s="65"/>
      <c r="D28" s="65"/>
      <c r="E28" s="65"/>
      <c r="F28" s="65"/>
      <c r="G28" s="69"/>
      <c r="H28" s="65"/>
      <c r="I28" s="39"/>
      <c r="J28" s="65"/>
      <c r="K28" s="202"/>
      <c r="L28" s="203"/>
    </row>
    <row r="29" spans="2:12" ht="15" customHeight="1">
      <c r="B29" s="201"/>
      <c r="C29" s="65"/>
      <c r="D29" s="65"/>
      <c r="E29" s="65"/>
      <c r="F29" s="65"/>
      <c r="G29" s="69"/>
      <c r="H29" s="65"/>
      <c r="I29" s="65"/>
      <c r="J29" s="65"/>
      <c r="K29" s="202"/>
      <c r="L29" s="203"/>
    </row>
    <row r="30" spans="2:12" ht="15" customHeight="1">
      <c r="B30" s="201"/>
      <c r="C30" s="65"/>
      <c r="D30" s="65"/>
      <c r="E30" s="65"/>
      <c r="F30" s="65"/>
      <c r="G30" s="69"/>
      <c r="H30" s="65"/>
      <c r="I30" s="65"/>
      <c r="J30" s="65"/>
      <c r="K30" s="202"/>
      <c r="L30" s="203"/>
    </row>
    <row r="31" spans="2:12" ht="15" customHeight="1" thickBot="1">
      <c r="B31" s="201"/>
      <c r="C31" s="65"/>
      <c r="D31" s="65"/>
      <c r="E31" s="65"/>
      <c r="F31" s="65"/>
      <c r="G31" s="69"/>
      <c r="H31" s="65"/>
      <c r="I31" s="65"/>
      <c r="J31" s="65"/>
      <c r="K31" s="202"/>
      <c r="L31" s="203"/>
    </row>
    <row r="32" spans="2:12" ht="25.5" customHeight="1" thickBot="1">
      <c r="B32" s="575" t="s">
        <v>2685</v>
      </c>
      <c r="C32" s="576"/>
      <c r="D32" s="576"/>
      <c r="E32" s="576"/>
      <c r="F32" s="576"/>
      <c r="G32" s="576"/>
      <c r="H32" s="576"/>
      <c r="I32" s="576"/>
      <c r="J32" s="576"/>
      <c r="K32" s="577"/>
      <c r="L32" s="203"/>
    </row>
    <row r="33" spans="2:12" ht="14.25" hidden="1" customHeight="1" thickTop="1" thickBot="1">
      <c r="B33" s="201"/>
      <c r="C33" s="65"/>
      <c r="D33" s="65"/>
      <c r="E33" s="65"/>
      <c r="F33" s="65"/>
      <c r="G33" s="69"/>
      <c r="H33" s="65"/>
      <c r="I33" s="65"/>
      <c r="J33" s="65"/>
      <c r="K33" s="202"/>
      <c r="L33" s="203"/>
    </row>
    <row r="34" spans="2:12" ht="15" customHeight="1">
      <c r="B34" s="201"/>
      <c r="C34" s="65"/>
      <c r="D34" s="65"/>
      <c r="E34" s="65"/>
      <c r="F34" s="65"/>
      <c r="G34" s="69"/>
      <c r="H34" s="65"/>
      <c r="I34" s="65"/>
      <c r="J34" s="65"/>
      <c r="K34" s="202"/>
      <c r="L34" s="203"/>
    </row>
    <row r="35" spans="2:12" ht="54" customHeight="1">
      <c r="B35" s="201"/>
      <c r="C35" s="626" t="str">
        <f t="shared" ref="C35:C41" si="1">+C20</f>
        <v>Nombre del Producto (Bien o Servicio)</v>
      </c>
      <c r="D35" s="626"/>
      <c r="E35" s="299" t="s">
        <v>2678</v>
      </c>
      <c r="F35" s="299" t="s">
        <v>2679</v>
      </c>
      <c r="G35" s="299" t="s">
        <v>2680</v>
      </c>
      <c r="H35" s="299" t="s">
        <v>2681</v>
      </c>
      <c r="I35" s="299" t="s">
        <v>2682</v>
      </c>
      <c r="J35" s="300" t="s">
        <v>2683</v>
      </c>
      <c r="K35" s="202"/>
      <c r="L35" s="203"/>
    </row>
    <row r="36" spans="2:12" ht="31.5" customHeight="1">
      <c r="B36" s="201"/>
      <c r="C36" s="301" t="str">
        <f t="shared" si="1"/>
        <v xml:space="preserve">software para la gestion de horarios  y aulas </v>
      </c>
      <c r="D36" s="302" t="s">
        <v>2624</v>
      </c>
      <c r="E36" s="303">
        <v>2400</v>
      </c>
      <c r="F36" s="304">
        <f t="shared" ref="F36:F41" si="2">IFERROR(((0.99*G51)/E36),0)</f>
        <v>5.1562499999999997E-2</v>
      </c>
      <c r="G36" s="305">
        <f t="shared" ref="G36:G41" si="3">+E36*F36</f>
        <v>123.75</v>
      </c>
      <c r="H36" s="306">
        <v>1</v>
      </c>
      <c r="I36" s="213">
        <f t="shared" ref="I36:I41" si="4">+G36*H36</f>
        <v>123.75</v>
      </c>
      <c r="J36" s="213">
        <f t="shared" ref="J36:J41" si="5">+H21</f>
        <v>125</v>
      </c>
      <c r="K36" s="202"/>
      <c r="L36" s="203"/>
    </row>
    <row r="37" spans="2:12" ht="31.5" customHeight="1">
      <c r="B37" s="201"/>
      <c r="C37" s="301" t="str">
        <f t="shared" si="1"/>
        <v>mantenimiento del software para la gestion de horarios y aulas</v>
      </c>
      <c r="D37" s="302" t="s">
        <v>2624</v>
      </c>
      <c r="E37" s="303">
        <v>2400</v>
      </c>
      <c r="F37" s="304">
        <f t="shared" si="2"/>
        <v>0.10312499999999999</v>
      </c>
      <c r="G37" s="213">
        <f t="shared" si="3"/>
        <v>247.5</v>
      </c>
      <c r="H37" s="306">
        <v>1</v>
      </c>
      <c r="I37" s="213">
        <f t="shared" si="4"/>
        <v>247.5</v>
      </c>
      <c r="J37" s="213">
        <f t="shared" si="5"/>
        <v>250</v>
      </c>
      <c r="K37" s="202"/>
      <c r="L37" s="203"/>
    </row>
    <row r="38" spans="2:12" ht="31.5" customHeight="1">
      <c r="B38" s="201"/>
      <c r="C38" s="301">
        <f t="shared" si="1"/>
        <v>0</v>
      </c>
      <c r="D38" s="302" t="s">
        <v>2624</v>
      </c>
      <c r="E38" s="303">
        <v>2400</v>
      </c>
      <c r="F38" s="304">
        <f t="shared" si="2"/>
        <v>0</v>
      </c>
      <c r="G38" s="213">
        <f t="shared" si="3"/>
        <v>0</v>
      </c>
      <c r="H38" s="306">
        <v>1</v>
      </c>
      <c r="I38" s="213">
        <f t="shared" si="4"/>
        <v>0</v>
      </c>
      <c r="J38" s="213">
        <f t="shared" si="5"/>
        <v>0</v>
      </c>
      <c r="K38" s="202"/>
      <c r="L38" s="203"/>
    </row>
    <row r="39" spans="2:12" ht="31.5" customHeight="1">
      <c r="B39" s="201"/>
      <c r="C39" s="301">
        <f t="shared" si="1"/>
        <v>0</v>
      </c>
      <c r="D39" s="302"/>
      <c r="E39" s="303"/>
      <c r="F39" s="304">
        <f t="shared" si="2"/>
        <v>0</v>
      </c>
      <c r="G39" s="213">
        <f t="shared" si="3"/>
        <v>0</v>
      </c>
      <c r="H39" s="306"/>
      <c r="I39" s="213">
        <f t="shared" si="4"/>
        <v>0</v>
      </c>
      <c r="J39" s="213">
        <f t="shared" si="5"/>
        <v>0</v>
      </c>
      <c r="K39" s="202"/>
      <c r="L39" s="203"/>
    </row>
    <row r="40" spans="2:12" ht="31.5" customHeight="1">
      <c r="B40" s="201"/>
      <c r="C40" s="307">
        <f t="shared" si="1"/>
        <v>0</v>
      </c>
      <c r="D40" s="302"/>
      <c r="E40" s="303"/>
      <c r="F40" s="304">
        <f t="shared" si="2"/>
        <v>0</v>
      </c>
      <c r="G40" s="213">
        <f t="shared" si="3"/>
        <v>0</v>
      </c>
      <c r="H40" s="306"/>
      <c r="I40" s="213">
        <f t="shared" si="4"/>
        <v>0</v>
      </c>
      <c r="J40" s="213">
        <f t="shared" si="5"/>
        <v>0</v>
      </c>
      <c r="K40" s="202"/>
      <c r="L40" s="203"/>
    </row>
    <row r="41" spans="2:12" ht="31.5" customHeight="1">
      <c r="B41" s="201"/>
      <c r="C41" s="308">
        <f t="shared" si="1"/>
        <v>0</v>
      </c>
      <c r="D41" s="302"/>
      <c r="E41" s="303"/>
      <c r="F41" s="304">
        <f t="shared" si="2"/>
        <v>0</v>
      </c>
      <c r="G41" s="213">
        <f t="shared" si="3"/>
        <v>0</v>
      </c>
      <c r="H41" s="306"/>
      <c r="I41" s="213">
        <f t="shared" si="4"/>
        <v>0</v>
      </c>
      <c r="J41" s="213">
        <f t="shared" si="5"/>
        <v>0</v>
      </c>
      <c r="K41" s="202"/>
      <c r="L41" s="203"/>
    </row>
    <row r="42" spans="2:12" ht="18" customHeight="1">
      <c r="B42" s="201"/>
      <c r="C42" s="628" t="s">
        <v>12</v>
      </c>
      <c r="D42" s="628"/>
      <c r="E42" s="309"/>
      <c r="F42" s="310"/>
      <c r="G42" s="212">
        <f>SUM(G36:G41)</f>
        <v>371.25</v>
      </c>
      <c r="H42" s="311"/>
      <c r="I42" s="212">
        <f>SUM(I36:I41)</f>
        <v>371.25</v>
      </c>
      <c r="J42" s="212">
        <f>SUM(J36:J41)</f>
        <v>375</v>
      </c>
      <c r="K42" s="202"/>
      <c r="L42" s="203"/>
    </row>
    <row r="43" spans="2:12" ht="15" customHeight="1">
      <c r="B43" s="201"/>
      <c r="C43" s="65"/>
      <c r="D43" s="65"/>
      <c r="E43" s="65"/>
      <c r="F43" s="65"/>
      <c r="G43" s="65"/>
      <c r="H43" s="65"/>
      <c r="I43" s="65"/>
      <c r="J43" s="65"/>
      <c r="K43" s="202"/>
      <c r="L43" s="203"/>
    </row>
    <row r="44" spans="2:12" ht="15" customHeight="1">
      <c r="B44" s="201"/>
      <c r="C44" s="65"/>
      <c r="D44" s="65"/>
      <c r="E44" s="65"/>
      <c r="F44" s="65"/>
      <c r="G44" s="65"/>
      <c r="H44" s="65"/>
      <c r="I44" s="65"/>
      <c r="J44" s="65"/>
      <c r="K44" s="202"/>
      <c r="L44" s="203"/>
    </row>
    <row r="45" spans="2:12" ht="15" customHeight="1">
      <c r="B45" s="201"/>
      <c r="C45" s="65"/>
      <c r="D45" s="65"/>
      <c r="E45" s="65"/>
      <c r="F45" s="65"/>
      <c r="G45" s="65"/>
      <c r="H45" s="65"/>
      <c r="I45" s="65"/>
      <c r="J45" s="65"/>
      <c r="K45" s="202"/>
      <c r="L45" s="203"/>
    </row>
    <row r="46" spans="2:12" ht="15" customHeight="1" thickBot="1">
      <c r="B46" s="201"/>
      <c r="C46" s="65"/>
      <c r="D46" s="65"/>
      <c r="E46" s="65"/>
      <c r="F46" s="65"/>
      <c r="G46" s="65"/>
      <c r="H46" s="65"/>
      <c r="I46" s="65"/>
      <c r="J46" s="65"/>
      <c r="K46" s="202"/>
      <c r="L46" s="203"/>
    </row>
    <row r="47" spans="2:12" ht="25.5" customHeight="1" thickBot="1">
      <c r="B47" s="575" t="s">
        <v>256</v>
      </c>
      <c r="C47" s="576"/>
      <c r="D47" s="576"/>
      <c r="E47" s="576"/>
      <c r="F47" s="576"/>
      <c r="G47" s="576"/>
      <c r="H47" s="576"/>
      <c r="I47" s="576"/>
      <c r="J47" s="576"/>
      <c r="K47" s="577"/>
      <c r="L47" s="203"/>
    </row>
    <row r="48" spans="2:12" ht="15" customHeight="1">
      <c r="B48" s="201"/>
      <c r="C48" s="65"/>
      <c r="D48" s="65"/>
      <c r="E48" s="65"/>
      <c r="F48" s="65"/>
      <c r="G48" s="65"/>
      <c r="H48" s="65"/>
      <c r="I48" s="65"/>
      <c r="J48" s="65"/>
      <c r="K48" s="202"/>
      <c r="L48" s="203"/>
    </row>
    <row r="49" spans="2:12" ht="18" customHeight="1">
      <c r="B49" s="201"/>
      <c r="C49" s="626" t="str">
        <f>+C35</f>
        <v>Nombre del Producto (Bien o Servicio)</v>
      </c>
      <c r="D49" s="626"/>
      <c r="E49" s="626"/>
      <c r="F49" s="626"/>
      <c r="G49" s="632" t="s">
        <v>2580</v>
      </c>
      <c r="H49" s="632" t="s">
        <v>2581</v>
      </c>
      <c r="I49" s="632" t="s">
        <v>2582</v>
      </c>
      <c r="J49" s="65"/>
      <c r="K49" s="202"/>
      <c r="L49" s="203"/>
    </row>
    <row r="50" spans="2:12" ht="18" customHeight="1">
      <c r="B50" s="201"/>
      <c r="C50" s="626"/>
      <c r="D50" s="626"/>
      <c r="E50" s="626"/>
      <c r="F50" s="626"/>
      <c r="G50" s="632"/>
      <c r="H50" s="632"/>
      <c r="I50" s="632"/>
      <c r="J50" s="65"/>
      <c r="K50" s="202"/>
      <c r="L50" s="203"/>
    </row>
    <row r="51" spans="2:12" ht="18" customHeight="1">
      <c r="B51" s="201"/>
      <c r="C51" s="635" t="str">
        <f>+'3-Pto Compras'!C89</f>
        <v xml:space="preserve">software para la gestion de horarios  y aulas </v>
      </c>
      <c r="D51" s="635"/>
      <c r="E51" s="635"/>
      <c r="F51" s="635"/>
      <c r="G51" s="213">
        <f t="shared" ref="G51:G56" si="6">+H21</f>
        <v>125</v>
      </c>
      <c r="H51" s="312">
        <v>1200000</v>
      </c>
      <c r="I51" s="313">
        <f t="shared" ref="I51:I56" si="7">+G51*H51</f>
        <v>150000000</v>
      </c>
      <c r="J51" s="65"/>
      <c r="K51" s="202"/>
      <c r="L51" s="203"/>
    </row>
    <row r="52" spans="2:12" ht="18" customHeight="1">
      <c r="B52" s="201"/>
      <c r="C52" s="633" t="str">
        <f>+'3-Pto Compras'!C90</f>
        <v>mantenimiento del software para la gestion de horarios y aulas</v>
      </c>
      <c r="D52" s="633"/>
      <c r="E52" s="633"/>
      <c r="F52" s="633"/>
      <c r="G52" s="213">
        <f t="shared" si="6"/>
        <v>250</v>
      </c>
      <c r="H52" s="312">
        <v>80000</v>
      </c>
      <c r="I52" s="313">
        <f t="shared" si="7"/>
        <v>20000000</v>
      </c>
      <c r="J52" s="65"/>
      <c r="K52" s="202"/>
      <c r="L52" s="203"/>
    </row>
    <row r="53" spans="2:12" ht="18" customHeight="1">
      <c r="B53" s="201"/>
      <c r="C53" s="635">
        <f>+'3-Pto Compras'!C91</f>
        <v>0</v>
      </c>
      <c r="D53" s="635"/>
      <c r="E53" s="635"/>
      <c r="F53" s="635"/>
      <c r="G53" s="213">
        <f t="shared" si="6"/>
        <v>0</v>
      </c>
      <c r="H53" s="312"/>
      <c r="I53" s="313">
        <f t="shared" si="7"/>
        <v>0</v>
      </c>
      <c r="J53" s="65"/>
      <c r="K53" s="202"/>
      <c r="L53" s="203"/>
    </row>
    <row r="54" spans="2:12" ht="18" customHeight="1">
      <c r="B54" s="201"/>
      <c r="C54" s="635">
        <f>+'3-Pto Compras'!C92</f>
        <v>0</v>
      </c>
      <c r="D54" s="635"/>
      <c r="E54" s="635"/>
      <c r="F54" s="635"/>
      <c r="G54" s="213">
        <f t="shared" si="6"/>
        <v>0</v>
      </c>
      <c r="H54" s="312"/>
      <c r="I54" s="313">
        <f t="shared" si="7"/>
        <v>0</v>
      </c>
      <c r="J54" s="65"/>
      <c r="K54" s="202"/>
      <c r="L54" s="203"/>
    </row>
    <row r="55" spans="2:12" ht="18" customHeight="1">
      <c r="B55" s="201"/>
      <c r="C55" s="633">
        <f>+'3-Pto Compras'!C93</f>
        <v>0</v>
      </c>
      <c r="D55" s="633"/>
      <c r="E55" s="633"/>
      <c r="F55" s="633"/>
      <c r="G55" s="213">
        <f t="shared" si="6"/>
        <v>0</v>
      </c>
      <c r="H55" s="312"/>
      <c r="I55" s="313">
        <f t="shared" si="7"/>
        <v>0</v>
      </c>
      <c r="J55" s="65"/>
      <c r="K55" s="202"/>
      <c r="L55" s="203"/>
    </row>
    <row r="56" spans="2:12" ht="18" customHeight="1">
      <c r="B56" s="201"/>
      <c r="C56" s="633">
        <f>+'3-Pto Compras'!C94</f>
        <v>0</v>
      </c>
      <c r="D56" s="633"/>
      <c r="E56" s="633"/>
      <c r="F56" s="633"/>
      <c r="G56" s="213">
        <f t="shared" si="6"/>
        <v>0</v>
      </c>
      <c r="H56" s="312"/>
      <c r="I56" s="313">
        <f t="shared" si="7"/>
        <v>0</v>
      </c>
      <c r="J56" s="65"/>
      <c r="K56" s="202"/>
      <c r="L56" s="203"/>
    </row>
    <row r="57" spans="2:12" ht="18" customHeight="1">
      <c r="B57" s="201"/>
      <c r="C57" s="634" t="s">
        <v>12</v>
      </c>
      <c r="D57" s="634"/>
      <c r="E57" s="634"/>
      <c r="F57" s="634"/>
      <c r="G57" s="212">
        <f>SUM(G51:G56)</f>
        <v>375</v>
      </c>
      <c r="H57" s="314">
        <f>SUM(H51:H56)</f>
        <v>1280000</v>
      </c>
      <c r="I57" s="314">
        <f>SUM(I51:I56)</f>
        <v>170000000</v>
      </c>
      <c r="J57" s="65"/>
      <c r="K57" s="202"/>
      <c r="L57" s="203"/>
    </row>
    <row r="58" spans="2:12" ht="18" customHeight="1" thickBot="1">
      <c r="B58" s="225"/>
      <c r="C58" s="222"/>
      <c r="D58" s="222"/>
      <c r="E58" s="222"/>
      <c r="F58" s="222"/>
      <c r="G58" s="223"/>
      <c r="H58" s="224"/>
      <c r="I58" s="224"/>
      <c r="J58" s="65"/>
      <c r="K58" s="202"/>
      <c r="L58" s="203"/>
    </row>
    <row r="59" spans="2:12" ht="21" customHeight="1" thickBot="1">
      <c r="B59" s="225"/>
      <c r="C59" s="222"/>
      <c r="D59" s="630" t="s">
        <v>2586</v>
      </c>
      <c r="E59" s="576"/>
      <c r="F59" s="576"/>
      <c r="G59" s="576"/>
      <c r="H59" s="631"/>
      <c r="I59" s="224"/>
      <c r="J59" s="65"/>
      <c r="K59" s="202"/>
      <c r="L59" s="203"/>
    </row>
    <row r="60" spans="2:12" s="63" customFormat="1" ht="15.75" customHeight="1">
      <c r="B60" s="207"/>
      <c r="C60" s="61"/>
      <c r="D60" s="62"/>
      <c r="E60" s="62"/>
      <c r="F60" s="62"/>
      <c r="G60" s="64"/>
      <c r="H60" s="133"/>
      <c r="I60" s="64"/>
      <c r="J60" s="64"/>
      <c r="K60" s="208"/>
      <c r="L60" s="203"/>
    </row>
    <row r="61" spans="2:12" s="63" customFormat="1" ht="18" customHeight="1">
      <c r="B61" s="216"/>
      <c r="C61" s="64"/>
      <c r="D61" s="626" t="s">
        <v>2589</v>
      </c>
      <c r="E61" s="626"/>
      <c r="F61" s="626"/>
      <c r="G61" s="626" t="s">
        <v>2616</v>
      </c>
      <c r="H61" s="626" t="s">
        <v>2617</v>
      </c>
      <c r="J61" s="64"/>
      <c r="K61" s="208"/>
      <c r="L61" s="203"/>
    </row>
    <row r="62" spans="2:12" s="63" customFormat="1" ht="18" customHeight="1">
      <c r="B62" s="216"/>
      <c r="C62" s="64"/>
      <c r="D62" s="626"/>
      <c r="E62" s="626"/>
      <c r="F62" s="626"/>
      <c r="G62" s="626"/>
      <c r="H62" s="626"/>
      <c r="J62" s="64"/>
      <c r="K62" s="208"/>
      <c r="L62" s="203"/>
    </row>
    <row r="63" spans="2:12" s="63" customFormat="1" ht="18" customHeight="1">
      <c r="B63" s="216"/>
      <c r="C63" s="64"/>
      <c r="D63" s="637" t="s">
        <v>59</v>
      </c>
      <c r="E63" s="637"/>
      <c r="F63" s="637"/>
      <c r="G63" s="315">
        <v>0.03</v>
      </c>
      <c r="H63" s="215">
        <f>+G63+1</f>
        <v>1.03</v>
      </c>
      <c r="J63" s="64"/>
      <c r="K63" s="208"/>
      <c r="L63" s="203"/>
    </row>
    <row r="64" spans="2:12" s="63" customFormat="1" ht="18" customHeight="1">
      <c r="B64" s="216"/>
      <c r="C64" s="64"/>
      <c r="D64" s="638" t="s">
        <v>60</v>
      </c>
      <c r="E64" s="638"/>
      <c r="F64" s="638"/>
      <c r="G64" s="315">
        <v>0.03</v>
      </c>
      <c r="H64" s="215">
        <f>+G64+1</f>
        <v>1.03</v>
      </c>
      <c r="J64" s="64"/>
      <c r="K64" s="208"/>
      <c r="L64" s="203"/>
    </row>
    <row r="65" spans="1:12" s="63" customFormat="1" ht="18" customHeight="1">
      <c r="B65" s="216"/>
      <c r="C65" s="64"/>
      <c r="D65" s="617" t="s">
        <v>61</v>
      </c>
      <c r="E65" s="617"/>
      <c r="F65" s="617"/>
      <c r="G65" s="315">
        <v>0.03</v>
      </c>
      <c r="H65" s="215">
        <f>+G65+1</f>
        <v>1.03</v>
      </c>
      <c r="J65" s="64"/>
      <c r="K65" s="208"/>
      <c r="L65" s="203"/>
    </row>
    <row r="66" spans="1:12" s="63" customFormat="1" ht="18" customHeight="1">
      <c r="B66" s="216"/>
      <c r="C66" s="64"/>
      <c r="D66" s="617" t="s">
        <v>62</v>
      </c>
      <c r="E66" s="617"/>
      <c r="F66" s="617"/>
      <c r="G66" s="315">
        <v>0.03</v>
      </c>
      <c r="H66" s="215">
        <f>+G66+1</f>
        <v>1.03</v>
      </c>
      <c r="J66" s="64"/>
      <c r="K66" s="208"/>
      <c r="L66" s="203"/>
    </row>
    <row r="67" spans="1:12" s="63" customFormat="1" ht="15" customHeight="1">
      <c r="B67" s="207"/>
      <c r="C67" s="61"/>
      <c r="D67" s="62"/>
      <c r="E67" s="62"/>
      <c r="F67" s="62"/>
      <c r="G67" s="64"/>
      <c r="H67" s="64"/>
      <c r="I67" s="64"/>
      <c r="J67" s="64"/>
      <c r="K67" s="208"/>
      <c r="L67" s="203"/>
    </row>
    <row r="68" spans="1:12" s="63" customFormat="1" ht="15" customHeight="1">
      <c r="B68" s="207"/>
      <c r="C68" s="61"/>
      <c r="D68" s="62"/>
      <c r="E68" s="62"/>
      <c r="F68" s="62"/>
      <c r="G68" s="64"/>
      <c r="H68" s="64"/>
      <c r="I68" s="64"/>
      <c r="J68" s="64"/>
      <c r="K68" s="208"/>
      <c r="L68" s="203"/>
    </row>
    <row r="69" spans="1:12" s="63" customFormat="1" ht="15" customHeight="1">
      <c r="B69" s="207"/>
      <c r="C69" s="61"/>
      <c r="D69" s="62"/>
      <c r="E69" s="62"/>
      <c r="F69" s="62"/>
      <c r="G69" s="64"/>
      <c r="H69" s="64"/>
      <c r="I69" s="64"/>
      <c r="J69" s="64"/>
      <c r="K69" s="208"/>
      <c r="L69" s="203"/>
    </row>
    <row r="70" spans="1:12" ht="15" customHeight="1" thickBot="1">
      <c r="B70" s="201"/>
      <c r="C70" s="65"/>
      <c r="D70" s="65"/>
      <c r="E70" s="65"/>
      <c r="F70" s="65"/>
      <c r="G70" s="65"/>
      <c r="H70" s="65"/>
      <c r="I70" s="65"/>
      <c r="J70" s="65"/>
      <c r="K70" s="202"/>
      <c r="L70" s="203"/>
    </row>
    <row r="71" spans="1:12" ht="25.5" customHeight="1" thickBot="1">
      <c r="B71" s="575" t="s">
        <v>2686</v>
      </c>
      <c r="C71" s="576"/>
      <c r="D71" s="576"/>
      <c r="E71" s="576"/>
      <c r="F71" s="576"/>
      <c r="G71" s="576"/>
      <c r="H71" s="576"/>
      <c r="I71" s="576"/>
      <c r="J71" s="576"/>
      <c r="K71" s="577"/>
      <c r="L71" s="203"/>
    </row>
    <row r="72" spans="1:12" s="65" customFormat="1" ht="15" customHeight="1">
      <c r="A72" s="56"/>
      <c r="B72" s="201"/>
      <c r="F72" s="197"/>
      <c r="K72" s="202"/>
      <c r="L72" s="203"/>
    </row>
    <row r="73" spans="1:12" ht="18" customHeight="1">
      <c r="B73" s="201"/>
      <c r="C73" s="65"/>
      <c r="E73" s="626" t="s">
        <v>2588</v>
      </c>
      <c r="F73" s="626"/>
      <c r="G73" s="626" t="s">
        <v>2587</v>
      </c>
      <c r="H73" s="65"/>
      <c r="I73" s="65"/>
      <c r="J73" s="65"/>
      <c r="K73" s="202"/>
      <c r="L73" s="203"/>
    </row>
    <row r="74" spans="1:12" ht="18" customHeight="1">
      <c r="B74" s="201"/>
      <c r="C74" s="65"/>
      <c r="E74" s="626"/>
      <c r="F74" s="626"/>
      <c r="G74" s="626"/>
      <c r="H74" s="65"/>
      <c r="I74" s="65"/>
      <c r="J74" s="65"/>
      <c r="K74" s="202"/>
      <c r="L74" s="203"/>
    </row>
    <row r="75" spans="1:12" ht="18" customHeight="1">
      <c r="B75" s="201"/>
      <c r="C75" s="65"/>
      <c r="E75" s="636" t="s">
        <v>16</v>
      </c>
      <c r="F75" s="636"/>
      <c r="G75" s="229">
        <v>9</v>
      </c>
      <c r="H75" s="65"/>
      <c r="I75" s="65"/>
      <c r="J75" s="65"/>
      <c r="K75" s="202"/>
      <c r="L75" s="203"/>
    </row>
    <row r="76" spans="1:12" ht="18" customHeight="1">
      <c r="B76" s="201"/>
      <c r="C76" s="65"/>
      <c r="E76" s="636" t="s">
        <v>17</v>
      </c>
      <c r="F76" s="636"/>
      <c r="G76" s="229">
        <v>7</v>
      </c>
      <c r="H76" s="65"/>
      <c r="I76" s="65"/>
      <c r="J76" s="65"/>
      <c r="K76" s="202"/>
      <c r="L76" s="203"/>
    </row>
    <row r="77" spans="1:12" ht="18" customHeight="1">
      <c r="B77" s="201"/>
      <c r="C77" s="65"/>
      <c r="E77" s="636" t="s">
        <v>18</v>
      </c>
      <c r="F77" s="636"/>
      <c r="G77" s="229">
        <v>5</v>
      </c>
      <c r="H77" s="65"/>
      <c r="I77" s="65"/>
      <c r="J77" s="65"/>
      <c r="K77" s="202"/>
      <c r="L77" s="203"/>
    </row>
    <row r="78" spans="1:12" ht="18" customHeight="1">
      <c r="B78" s="201"/>
      <c r="C78" s="65"/>
      <c r="E78" s="636" t="s">
        <v>19</v>
      </c>
      <c r="F78" s="636"/>
      <c r="G78" s="229">
        <v>3</v>
      </c>
      <c r="H78" s="65"/>
      <c r="I78" s="65"/>
      <c r="J78" s="65"/>
      <c r="K78" s="202"/>
      <c r="L78" s="203"/>
    </row>
    <row r="79" spans="1:12" ht="18" customHeight="1">
      <c r="B79" s="201"/>
      <c r="C79" s="65"/>
      <c r="D79" s="65"/>
      <c r="E79" s="65"/>
      <c r="F79" s="65"/>
      <c r="G79" s="65"/>
      <c r="H79" s="65"/>
      <c r="I79" s="65"/>
      <c r="J79" s="65"/>
      <c r="K79" s="202"/>
      <c r="L79" s="203"/>
    </row>
    <row r="80" spans="1:12" ht="22.5" customHeight="1">
      <c r="B80" s="201"/>
      <c r="C80" s="65"/>
      <c r="D80" s="626" t="s">
        <v>2583</v>
      </c>
      <c r="E80" s="626"/>
      <c r="F80" s="626"/>
      <c r="G80" s="626" t="s">
        <v>2584</v>
      </c>
      <c r="H80" s="626" t="s">
        <v>2585</v>
      </c>
      <c r="I80" s="65"/>
      <c r="J80" s="65"/>
      <c r="K80" s="202"/>
      <c r="L80" s="203"/>
    </row>
    <row r="81" spans="2:12" ht="22.5" customHeight="1">
      <c r="B81" s="201"/>
      <c r="C81" s="65"/>
      <c r="D81" s="626"/>
      <c r="E81" s="626"/>
      <c r="F81" s="626"/>
      <c r="G81" s="626"/>
      <c r="H81" s="626"/>
      <c r="I81" s="65"/>
      <c r="J81" s="65"/>
      <c r="K81" s="202"/>
      <c r="L81" s="203"/>
    </row>
    <row r="82" spans="2:12" ht="18" customHeight="1">
      <c r="B82" s="201"/>
      <c r="C82" s="65"/>
      <c r="D82" s="636" t="s">
        <v>215</v>
      </c>
      <c r="E82" s="636"/>
      <c r="F82" s="230">
        <v>3</v>
      </c>
      <c r="G82" s="231">
        <f t="shared" ref="G82:G93" si="8">IF($F$94&gt;0,(F82/$F$94)*$G$57,0)</f>
        <v>20.833333333333332</v>
      </c>
      <c r="H82" s="232">
        <f t="shared" ref="H82:H94" si="9">IF($G$94&gt;0,($I$57*G82)/$G$94,0)</f>
        <v>9444444.4444444459</v>
      </c>
      <c r="I82" s="65"/>
      <c r="J82" s="65"/>
      <c r="K82" s="202"/>
      <c r="L82" s="203"/>
    </row>
    <row r="83" spans="2:12" ht="18" customHeight="1">
      <c r="B83" s="201"/>
      <c r="C83" s="65"/>
      <c r="D83" s="636" t="s">
        <v>216</v>
      </c>
      <c r="E83" s="636"/>
      <c r="F83" s="230">
        <v>3</v>
      </c>
      <c r="G83" s="231">
        <f t="shared" si="8"/>
        <v>20.833333333333332</v>
      </c>
      <c r="H83" s="232">
        <f t="shared" si="9"/>
        <v>9444444.4444444459</v>
      </c>
      <c r="I83" s="65"/>
      <c r="J83" s="65"/>
      <c r="K83" s="202"/>
      <c r="L83" s="203"/>
    </row>
    <row r="84" spans="2:12" ht="18" customHeight="1">
      <c r="B84" s="201"/>
      <c r="C84" s="65"/>
      <c r="D84" s="636" t="s">
        <v>217</v>
      </c>
      <c r="E84" s="636"/>
      <c r="F84" s="230">
        <v>3</v>
      </c>
      <c r="G84" s="231">
        <f t="shared" si="8"/>
        <v>20.833333333333332</v>
      </c>
      <c r="H84" s="232">
        <f t="shared" si="9"/>
        <v>9444444.4444444459</v>
      </c>
      <c r="I84" s="65"/>
      <c r="J84" s="65"/>
      <c r="K84" s="202"/>
      <c r="L84" s="203"/>
    </row>
    <row r="85" spans="2:12" ht="18" customHeight="1">
      <c r="B85" s="201"/>
      <c r="C85" s="65"/>
      <c r="D85" s="636" t="s">
        <v>218</v>
      </c>
      <c r="E85" s="636"/>
      <c r="F85" s="230">
        <v>3</v>
      </c>
      <c r="G85" s="231">
        <f t="shared" si="8"/>
        <v>20.833333333333332</v>
      </c>
      <c r="H85" s="232">
        <f t="shared" si="9"/>
        <v>9444444.4444444459</v>
      </c>
      <c r="I85" s="65"/>
      <c r="J85" s="65"/>
      <c r="K85" s="202"/>
      <c r="L85" s="203"/>
    </row>
    <row r="86" spans="2:12" ht="18" customHeight="1">
      <c r="B86" s="201"/>
      <c r="C86" s="65"/>
      <c r="D86" s="636" t="s">
        <v>219</v>
      </c>
      <c r="E86" s="636"/>
      <c r="F86" s="230">
        <v>3</v>
      </c>
      <c r="G86" s="231">
        <f t="shared" si="8"/>
        <v>20.833333333333332</v>
      </c>
      <c r="H86" s="232">
        <f t="shared" si="9"/>
        <v>9444444.4444444459</v>
      </c>
      <c r="I86" s="65"/>
      <c r="J86" s="65"/>
      <c r="K86" s="202"/>
      <c r="L86" s="203"/>
    </row>
    <row r="87" spans="2:12" ht="18" customHeight="1">
      <c r="B87" s="201"/>
      <c r="C87" s="65"/>
      <c r="D87" s="636" t="s">
        <v>220</v>
      </c>
      <c r="E87" s="636"/>
      <c r="F87" s="230">
        <v>3</v>
      </c>
      <c r="G87" s="231">
        <f t="shared" si="8"/>
        <v>20.833333333333332</v>
      </c>
      <c r="H87" s="232">
        <f t="shared" si="9"/>
        <v>9444444.4444444459</v>
      </c>
      <c r="I87" s="65"/>
      <c r="J87" s="65"/>
      <c r="K87" s="202"/>
      <c r="L87" s="203"/>
    </row>
    <row r="88" spans="2:12" ht="18" customHeight="1">
      <c r="B88" s="201"/>
      <c r="C88" s="65"/>
      <c r="D88" s="636" t="s">
        <v>221</v>
      </c>
      <c r="E88" s="636"/>
      <c r="F88" s="230">
        <v>5</v>
      </c>
      <c r="G88" s="231">
        <f t="shared" si="8"/>
        <v>34.722222222222221</v>
      </c>
      <c r="H88" s="232">
        <f t="shared" si="9"/>
        <v>15740740.740740743</v>
      </c>
      <c r="I88" s="65"/>
      <c r="J88" s="65"/>
      <c r="K88" s="202"/>
      <c r="L88" s="203"/>
    </row>
    <row r="89" spans="2:12" ht="18" customHeight="1">
      <c r="B89" s="201"/>
      <c r="C89" s="65"/>
      <c r="D89" s="636" t="s">
        <v>222</v>
      </c>
      <c r="E89" s="636"/>
      <c r="F89" s="230">
        <v>5</v>
      </c>
      <c r="G89" s="231">
        <f t="shared" si="8"/>
        <v>34.722222222222221</v>
      </c>
      <c r="H89" s="232">
        <f t="shared" si="9"/>
        <v>15740740.740740743</v>
      </c>
      <c r="I89" s="65"/>
      <c r="J89" s="65"/>
      <c r="K89" s="202"/>
      <c r="L89" s="203"/>
    </row>
    <row r="90" spans="2:12" ht="18" customHeight="1">
      <c r="B90" s="201"/>
      <c r="C90" s="65"/>
      <c r="D90" s="636" t="s">
        <v>223</v>
      </c>
      <c r="E90" s="636"/>
      <c r="F90" s="230">
        <v>5</v>
      </c>
      <c r="G90" s="231">
        <f t="shared" si="8"/>
        <v>34.722222222222221</v>
      </c>
      <c r="H90" s="232">
        <f t="shared" si="9"/>
        <v>15740740.740740743</v>
      </c>
      <c r="I90" s="65"/>
      <c r="J90" s="65"/>
      <c r="K90" s="202"/>
      <c r="L90" s="203"/>
    </row>
    <row r="91" spans="2:12" ht="18" customHeight="1">
      <c r="B91" s="201"/>
      <c r="C91" s="65"/>
      <c r="D91" s="636" t="s">
        <v>224</v>
      </c>
      <c r="E91" s="636"/>
      <c r="F91" s="230">
        <v>7</v>
      </c>
      <c r="G91" s="231">
        <f t="shared" si="8"/>
        <v>48.611111111111107</v>
      </c>
      <c r="H91" s="232">
        <f t="shared" si="9"/>
        <v>22037037.037037037</v>
      </c>
      <c r="I91" s="65"/>
      <c r="J91" s="65"/>
      <c r="K91" s="202"/>
      <c r="L91" s="203"/>
    </row>
    <row r="92" spans="2:12" ht="18" customHeight="1">
      <c r="B92" s="201"/>
      <c r="C92" s="65"/>
      <c r="D92" s="636" t="s">
        <v>225</v>
      </c>
      <c r="E92" s="636"/>
      <c r="F92" s="230">
        <v>7</v>
      </c>
      <c r="G92" s="231">
        <f t="shared" si="8"/>
        <v>48.611111111111107</v>
      </c>
      <c r="H92" s="232">
        <f t="shared" si="9"/>
        <v>22037037.037037037</v>
      </c>
      <c r="I92" s="65"/>
      <c r="J92" s="65"/>
      <c r="K92" s="202"/>
      <c r="L92" s="203"/>
    </row>
    <row r="93" spans="2:12" ht="18" customHeight="1">
      <c r="B93" s="201"/>
      <c r="C93" s="65"/>
      <c r="D93" s="636" t="s">
        <v>226</v>
      </c>
      <c r="E93" s="636"/>
      <c r="F93" s="230">
        <v>7</v>
      </c>
      <c r="G93" s="231">
        <f t="shared" si="8"/>
        <v>48.611111111111107</v>
      </c>
      <c r="H93" s="232">
        <f t="shared" si="9"/>
        <v>22037037.037037037</v>
      </c>
      <c r="I93" s="65"/>
      <c r="J93" s="65"/>
      <c r="K93" s="202"/>
      <c r="L93" s="203"/>
    </row>
    <row r="94" spans="2:12" ht="18" customHeight="1">
      <c r="B94" s="201"/>
      <c r="C94" s="65"/>
      <c r="D94" s="634" t="s">
        <v>12</v>
      </c>
      <c r="E94" s="634"/>
      <c r="F94" s="217">
        <f>SUM(F82:F93)</f>
        <v>54</v>
      </c>
      <c r="G94" s="212">
        <f>SUM(G82:G93)</f>
        <v>374.99999999999994</v>
      </c>
      <c r="H94" s="218">
        <f t="shared" si="9"/>
        <v>170000000</v>
      </c>
      <c r="I94" s="65"/>
      <c r="J94" s="65"/>
      <c r="K94" s="202"/>
      <c r="L94" s="203"/>
    </row>
    <row r="95" spans="2:12" ht="15" customHeight="1">
      <c r="B95" s="201"/>
      <c r="C95" s="65"/>
      <c r="D95" s="65"/>
      <c r="E95" s="65"/>
      <c r="F95" s="65"/>
      <c r="G95" s="65"/>
      <c r="H95" s="65"/>
      <c r="I95" s="65"/>
      <c r="J95" s="65"/>
      <c r="K95" s="202"/>
      <c r="L95" s="203"/>
    </row>
    <row r="96" spans="2:12" ht="15" customHeight="1" thickBot="1">
      <c r="B96" s="219"/>
      <c r="C96" s="220"/>
      <c r="D96" s="220"/>
      <c r="E96" s="220"/>
      <c r="F96" s="220"/>
      <c r="G96" s="220"/>
      <c r="H96" s="220"/>
      <c r="I96" s="220"/>
      <c r="J96" s="220"/>
      <c r="K96" s="221"/>
      <c r="L96" s="203"/>
    </row>
    <row r="97" spans="2:12" ht="15" customHeight="1" thickTop="1" thickBot="1">
      <c r="B97" s="219"/>
      <c r="C97" s="220"/>
      <c r="D97" s="220"/>
      <c r="E97" s="220"/>
      <c r="F97" s="220"/>
      <c r="G97" s="220"/>
      <c r="H97" s="220"/>
      <c r="I97" s="220"/>
      <c r="J97" s="220"/>
      <c r="K97" s="221"/>
      <c r="L97" s="203"/>
    </row>
    <row r="98" spans="2:12" ht="13.5" thickTop="1"/>
  </sheetData>
  <sheetProtection algorithmName="SHA-512" hashValue="N6ODDmF8Y6xRFKiXVDFTfT/G8UXmp9pUa8wKecDFoa1nzS9poVelsOM9VMJqSYqCcY2MFw1X6epf/SeSravtDQ==" saltValue="vWZYtJhzYKJk/z9BRvXHaA==" spinCount="100000" sheet="1" objects="1" scenarios="1" selectLockedCells="1"/>
  <mergeCells count="61">
    <mergeCell ref="D63:F63"/>
    <mergeCell ref="D64:F64"/>
    <mergeCell ref="D65:F65"/>
    <mergeCell ref="E75:F75"/>
    <mergeCell ref="E76:F76"/>
    <mergeCell ref="E77:F77"/>
    <mergeCell ref="E78:F78"/>
    <mergeCell ref="G73:G74"/>
    <mergeCell ref="E73:F74"/>
    <mergeCell ref="D93:E93"/>
    <mergeCell ref="D94:E94"/>
    <mergeCell ref="D80:F81"/>
    <mergeCell ref="G80:G81"/>
    <mergeCell ref="D92:E92"/>
    <mergeCell ref="H80:H81"/>
    <mergeCell ref="D88:E88"/>
    <mergeCell ref="D89:E89"/>
    <mergeCell ref="D90:E90"/>
    <mergeCell ref="D91:E91"/>
    <mergeCell ref="D83:E83"/>
    <mergeCell ref="D84:E84"/>
    <mergeCell ref="D85:E85"/>
    <mergeCell ref="D86:E86"/>
    <mergeCell ref="D87:E87"/>
    <mergeCell ref="D82:E82"/>
    <mergeCell ref="H61:H62"/>
    <mergeCell ref="D59:H59"/>
    <mergeCell ref="G49:G50"/>
    <mergeCell ref="H49:H50"/>
    <mergeCell ref="B47:K47"/>
    <mergeCell ref="I49:I50"/>
    <mergeCell ref="C55:F55"/>
    <mergeCell ref="C56:F56"/>
    <mergeCell ref="C57:F57"/>
    <mergeCell ref="C49:F50"/>
    <mergeCell ref="C51:F51"/>
    <mergeCell ref="C52:F52"/>
    <mergeCell ref="C53:F53"/>
    <mergeCell ref="C54:F54"/>
    <mergeCell ref="D61:F62"/>
    <mergeCell ref="C26:E26"/>
    <mergeCell ref="C35:D35"/>
    <mergeCell ref="C42:D42"/>
    <mergeCell ref="G61:G62"/>
    <mergeCell ref="C27:E27"/>
    <mergeCell ref="B9:K9"/>
    <mergeCell ref="D66:F66"/>
    <mergeCell ref="B71:K71"/>
    <mergeCell ref="B3:K3"/>
    <mergeCell ref="F5:J5"/>
    <mergeCell ref="F7:J7"/>
    <mergeCell ref="B18:K18"/>
    <mergeCell ref="B32:K32"/>
    <mergeCell ref="C5:E5"/>
    <mergeCell ref="C7:E7"/>
    <mergeCell ref="C20:E20"/>
    <mergeCell ref="C21:E21"/>
    <mergeCell ref="C22:E22"/>
    <mergeCell ref="C23:E23"/>
    <mergeCell ref="C24:E24"/>
    <mergeCell ref="C25:E25"/>
  </mergeCells>
  <phoneticPr fontId="0" type="noConversion"/>
  <pageMargins left="0.75" right="0.75" top="0.78" bottom="1" header="0" footer="0"/>
  <pageSetup scale="75" orientation="landscape" verticalDpi="300"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Validaciones!$A$6:$A$18</xm:f>
          </x14:formula1>
          <xm:sqref>D36:D41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2">
    <pageSetUpPr autoPageBreaks="0"/>
  </sheetPr>
  <dimension ref="A1:N136"/>
  <sheetViews>
    <sheetView showGridLines="0" showRowColHeaders="0" showZeros="0" showOutlineSymbols="0" zoomScaleNormal="100" workbookViewId="0"/>
  </sheetViews>
  <sheetFormatPr baseColWidth="10" defaultColWidth="0" defaultRowHeight="12.75" zeroHeight="1"/>
  <cols>
    <col min="1" max="1" width="2.28515625" style="56" customWidth="1"/>
    <col min="2" max="2" width="25.7109375" style="56" customWidth="1"/>
    <col min="3" max="6" width="12.85546875" style="56" customWidth="1"/>
    <col min="7" max="7" width="12.85546875" style="63" customWidth="1"/>
    <col min="8" max="8" width="25.7109375" style="56" customWidth="1"/>
    <col min="9" max="12" width="12.85546875" style="56" customWidth="1"/>
    <col min="13" max="13" width="2.28515625" style="56" customWidth="1"/>
    <col min="14" max="14" width="12.7109375" style="56" customWidth="1"/>
    <col min="15" max="16384" width="11.42578125" style="56" hidden="1"/>
  </cols>
  <sheetData>
    <row r="1" spans="1:13" ht="13.5" thickBot="1">
      <c r="A1" s="246"/>
    </row>
    <row r="2" spans="1:13" ht="7.5" customHeight="1" thickTop="1">
      <c r="B2" s="37"/>
      <c r="C2" s="38"/>
      <c r="D2" s="233"/>
      <c r="E2" s="233"/>
      <c r="F2" s="233"/>
      <c r="G2" s="233"/>
      <c r="H2" s="233"/>
      <c r="I2" s="233"/>
      <c r="J2" s="233"/>
      <c r="K2" s="233"/>
      <c r="L2" s="234"/>
      <c r="M2" s="203"/>
    </row>
    <row r="3" spans="1:13" ht="20.25">
      <c r="B3" s="618" t="s">
        <v>2592</v>
      </c>
      <c r="C3" s="619"/>
      <c r="D3" s="619"/>
      <c r="E3" s="619"/>
      <c r="F3" s="619"/>
      <c r="G3" s="619"/>
      <c r="H3" s="619"/>
      <c r="I3" s="619"/>
      <c r="J3" s="619"/>
      <c r="K3" s="619"/>
      <c r="L3" s="620"/>
      <c r="M3" s="203"/>
    </row>
    <row r="4" spans="1:13" ht="4.5" customHeight="1" thickBot="1">
      <c r="B4" s="201"/>
      <c r="C4" s="65"/>
      <c r="D4" s="65"/>
      <c r="E4" s="65"/>
      <c r="F4" s="65"/>
      <c r="G4" s="65"/>
      <c r="H4" s="65"/>
      <c r="I4" s="65"/>
      <c r="J4" s="65"/>
      <c r="K4" s="65"/>
      <c r="L4" s="202"/>
      <c r="M4" s="203"/>
    </row>
    <row r="5" spans="1:13" ht="14.25" thickTop="1" thickBot="1">
      <c r="B5" s="210"/>
      <c r="C5" s="691" t="s">
        <v>2579</v>
      </c>
      <c r="D5" s="691"/>
      <c r="E5" s="691"/>
      <c r="F5" s="692"/>
      <c r="G5" s="621" t="str">
        <f>+'1-Datos Generales'!$H$5</f>
        <v>SEGI</v>
      </c>
      <c r="H5" s="622"/>
      <c r="I5" s="622"/>
      <c r="J5" s="622"/>
      <c r="K5" s="623"/>
      <c r="L5" s="202"/>
      <c r="M5" s="203"/>
    </row>
    <row r="6" spans="1:13" ht="4.5" customHeight="1" thickTop="1" thickBot="1">
      <c r="B6" s="201" t="s">
        <v>212</v>
      </c>
      <c r="C6" s="65"/>
      <c r="D6" s="65" t="s">
        <v>7</v>
      </c>
      <c r="E6" s="196"/>
      <c r="F6" s="196"/>
      <c r="G6" s="196"/>
      <c r="H6" s="65"/>
      <c r="I6" s="65"/>
      <c r="J6" s="65"/>
      <c r="K6" s="65"/>
      <c r="L6" s="202"/>
      <c r="M6" s="203"/>
    </row>
    <row r="7" spans="1:13" ht="14.25" thickTop="1" thickBot="1">
      <c r="B7" s="210"/>
      <c r="C7" s="691" t="s">
        <v>2576</v>
      </c>
      <c r="D7" s="691"/>
      <c r="E7" s="691"/>
      <c r="F7" s="692"/>
      <c r="G7" s="621">
        <f>+'1-Datos Generales'!$D$11</f>
        <v>0</v>
      </c>
      <c r="H7" s="622"/>
      <c r="I7" s="622"/>
      <c r="J7" s="622"/>
      <c r="K7" s="623"/>
      <c r="L7" s="202"/>
      <c r="M7" s="203"/>
    </row>
    <row r="8" spans="1:13" ht="4.5" customHeight="1" thickTop="1" thickBot="1">
      <c r="B8" s="201"/>
      <c r="C8" s="65"/>
      <c r="D8" s="65"/>
      <c r="E8" s="65"/>
      <c r="F8" s="65"/>
      <c r="G8" s="64"/>
      <c r="H8" s="65"/>
      <c r="I8" s="65"/>
      <c r="J8" s="65"/>
      <c r="K8" s="65"/>
      <c r="L8" s="202"/>
      <c r="M8" s="203"/>
    </row>
    <row r="9" spans="1:13" ht="25.5" customHeight="1" thickBot="1">
      <c r="B9" s="575" t="s">
        <v>2591</v>
      </c>
      <c r="C9" s="576"/>
      <c r="D9" s="576"/>
      <c r="E9" s="576"/>
      <c r="F9" s="576"/>
      <c r="G9" s="576"/>
      <c r="H9" s="576"/>
      <c r="I9" s="576"/>
      <c r="J9" s="576"/>
      <c r="K9" s="576"/>
      <c r="L9" s="577"/>
      <c r="M9" s="203"/>
    </row>
    <row r="10" spans="1:13" ht="15" customHeight="1">
      <c r="B10" s="210"/>
      <c r="C10" s="65"/>
      <c r="D10" s="196"/>
      <c r="E10" s="65"/>
      <c r="F10" s="64"/>
      <c r="G10" s="64"/>
      <c r="H10" s="65"/>
      <c r="I10" s="65"/>
      <c r="J10" s="65"/>
      <c r="K10" s="65"/>
      <c r="L10" s="202"/>
      <c r="M10" s="203"/>
    </row>
    <row r="11" spans="1:13" s="63" customFormat="1" ht="12.75" customHeight="1">
      <c r="B11" s="210"/>
      <c r="D11" s="72"/>
      <c r="L11" s="202"/>
      <c r="M11" s="203"/>
    </row>
    <row r="12" spans="1:13" s="63" customFormat="1" ht="15" customHeight="1">
      <c r="B12" s="210"/>
      <c r="D12" s="73"/>
      <c r="L12" s="202"/>
      <c r="M12" s="203"/>
    </row>
    <row r="13" spans="1:13" s="63" customFormat="1" ht="15" customHeight="1">
      <c r="B13" s="210"/>
      <c r="L13" s="202"/>
      <c r="M13" s="203"/>
    </row>
    <row r="14" spans="1:13" s="63" customFormat="1" ht="15" customHeight="1">
      <c r="B14" s="210"/>
      <c r="L14" s="202"/>
      <c r="M14" s="203"/>
    </row>
    <row r="15" spans="1:13" s="63" customFormat="1" ht="15" customHeight="1">
      <c r="B15" s="210"/>
      <c r="L15" s="202"/>
      <c r="M15" s="203"/>
    </row>
    <row r="16" spans="1:13" s="63" customFormat="1" ht="15" customHeight="1">
      <c r="B16" s="210"/>
      <c r="L16" s="202"/>
      <c r="M16" s="203"/>
    </row>
    <row r="17" spans="2:13" s="63" customFormat="1" ht="15" customHeight="1">
      <c r="B17" s="210"/>
      <c r="L17" s="202"/>
      <c r="M17" s="203"/>
    </row>
    <row r="18" spans="2:13" s="63" customFormat="1" ht="15" customHeight="1">
      <c r="B18" s="210"/>
      <c r="L18" s="202"/>
      <c r="M18" s="203"/>
    </row>
    <row r="19" spans="2:13" s="63" customFormat="1" ht="19.5" customHeight="1">
      <c r="B19" s="210"/>
      <c r="L19" s="202"/>
      <c r="M19" s="203"/>
    </row>
    <row r="20" spans="2:13" s="63" customFormat="1" ht="19.5" customHeight="1" thickBot="1">
      <c r="B20" s="210"/>
      <c r="C20" s="64"/>
      <c r="D20" s="64"/>
      <c r="E20" s="64"/>
      <c r="F20" s="64"/>
      <c r="G20" s="64"/>
      <c r="H20" s="64"/>
      <c r="I20" s="64"/>
      <c r="J20" s="64"/>
      <c r="K20" s="64"/>
      <c r="L20" s="202"/>
      <c r="M20" s="203"/>
    </row>
    <row r="21" spans="2:13" s="63" customFormat="1" ht="25.5" customHeight="1" thickBot="1">
      <c r="B21" s="575" t="s">
        <v>2593</v>
      </c>
      <c r="C21" s="576"/>
      <c r="D21" s="576"/>
      <c r="E21" s="576"/>
      <c r="F21" s="576"/>
      <c r="G21" s="576"/>
      <c r="H21" s="576"/>
      <c r="I21" s="576"/>
      <c r="J21" s="576"/>
      <c r="K21" s="576"/>
      <c r="L21" s="577"/>
      <c r="M21" s="203"/>
    </row>
    <row r="22" spans="2:13" s="63" customFormat="1" ht="15" customHeight="1">
      <c r="B22" s="216"/>
      <c r="C22" s="64"/>
      <c r="D22" s="64"/>
      <c r="E22" s="64"/>
      <c r="F22" s="64"/>
      <c r="G22" s="253"/>
      <c r="H22" s="64"/>
      <c r="I22" s="64"/>
      <c r="J22" s="64"/>
      <c r="K22" s="64"/>
      <c r="L22" s="208"/>
      <c r="M22" s="203"/>
    </row>
    <row r="23" spans="2:13" ht="31.5" customHeight="1">
      <c r="B23" s="318" t="s">
        <v>2</v>
      </c>
      <c r="C23" s="666" t="str">
        <f>+'2-Pto Ventas'!C21</f>
        <v xml:space="preserve">software para la gestion de horarios  y aulas </v>
      </c>
      <c r="D23" s="666"/>
      <c r="E23" s="666"/>
      <c r="F23" s="666"/>
      <c r="H23" s="318" t="s">
        <v>15</v>
      </c>
      <c r="I23" s="667" t="str">
        <f>+'2-Pto Ventas'!C22</f>
        <v>mantenimiento del software para la gestion de horarios y aulas</v>
      </c>
      <c r="J23" s="667"/>
      <c r="K23" s="667"/>
      <c r="L23" s="667"/>
      <c r="M23" s="66"/>
    </row>
    <row r="24" spans="2:13" ht="18" customHeight="1">
      <c r="B24" s="318" t="s">
        <v>2595</v>
      </c>
      <c r="C24" s="664" t="str">
        <f>+'2-Pto Ventas'!D36</f>
        <v>Hora</v>
      </c>
      <c r="D24" s="665"/>
      <c r="E24" s="665"/>
      <c r="F24" s="319"/>
      <c r="H24" s="318" t="s">
        <v>2595</v>
      </c>
      <c r="I24" s="664" t="str">
        <f>+'2-Pto Ventas'!D37</f>
        <v>Hora</v>
      </c>
      <c r="J24" s="665"/>
      <c r="K24" s="665"/>
      <c r="L24" s="319"/>
      <c r="M24" s="66"/>
    </row>
    <row r="25" spans="2:13" ht="15" customHeight="1">
      <c r="B25" s="319"/>
      <c r="C25" s="319"/>
      <c r="D25" s="319"/>
      <c r="E25" s="319"/>
      <c r="F25" s="319"/>
      <c r="H25" s="319"/>
      <c r="I25" s="334"/>
      <c r="J25" s="319"/>
      <c r="K25" s="319"/>
      <c r="L25" s="319"/>
      <c r="M25" s="66"/>
    </row>
    <row r="26" spans="2:13" ht="18" customHeight="1">
      <c r="B26" s="634" t="s">
        <v>2596</v>
      </c>
      <c r="C26" s="626" t="s">
        <v>2597</v>
      </c>
      <c r="D26" s="626" t="s">
        <v>2598</v>
      </c>
      <c r="E26" s="626" t="s">
        <v>2599</v>
      </c>
      <c r="F26" s="626" t="s">
        <v>2600</v>
      </c>
      <c r="H26" s="634" t="s">
        <v>2596</v>
      </c>
      <c r="I26" s="626" t="s">
        <v>2597</v>
      </c>
      <c r="J26" s="626" t="s">
        <v>2598</v>
      </c>
      <c r="K26" s="626" t="s">
        <v>2599</v>
      </c>
      <c r="L26" s="626" t="s">
        <v>2600</v>
      </c>
      <c r="M26" s="66"/>
    </row>
    <row r="27" spans="2:13" ht="18" customHeight="1">
      <c r="B27" s="634"/>
      <c r="C27" s="626"/>
      <c r="D27" s="626"/>
      <c r="E27" s="626"/>
      <c r="F27" s="626"/>
      <c r="H27" s="634"/>
      <c r="I27" s="626"/>
      <c r="J27" s="626"/>
      <c r="K27" s="626"/>
      <c r="L27" s="626"/>
      <c r="M27" s="66"/>
    </row>
    <row r="28" spans="2:13" ht="18" customHeight="1">
      <c r="B28" s="320"/>
      <c r="C28" s="321"/>
      <c r="D28" s="322"/>
      <c r="E28" s="323"/>
      <c r="F28" s="284">
        <f>+D28*E28</f>
        <v>0</v>
      </c>
      <c r="H28" s="320"/>
      <c r="I28" s="321"/>
      <c r="J28" s="322"/>
      <c r="K28" s="323"/>
      <c r="L28" s="284">
        <f>+J28*K28</f>
        <v>0</v>
      </c>
      <c r="M28" s="66"/>
    </row>
    <row r="29" spans="2:13" ht="18" customHeight="1">
      <c r="B29" s="320"/>
      <c r="C29" s="321"/>
      <c r="D29" s="322"/>
      <c r="E29" s="323"/>
      <c r="F29" s="284">
        <f t="shared" ref="F29:F31" si="0">+D29*E29</f>
        <v>0</v>
      </c>
      <c r="H29" s="320"/>
      <c r="I29" s="321"/>
      <c r="J29" s="322"/>
      <c r="K29" s="323"/>
      <c r="L29" s="284">
        <f t="shared" ref="L29:L31" si="1">+J29*K29</f>
        <v>0</v>
      </c>
      <c r="M29" s="66"/>
    </row>
    <row r="30" spans="2:13" ht="18" customHeight="1">
      <c r="B30" s="320"/>
      <c r="C30" s="321"/>
      <c r="D30" s="322"/>
      <c r="E30" s="323"/>
      <c r="F30" s="284">
        <f t="shared" si="0"/>
        <v>0</v>
      </c>
      <c r="H30" s="320"/>
      <c r="I30" s="321"/>
      <c r="J30" s="322"/>
      <c r="K30" s="323"/>
      <c r="L30" s="284">
        <f t="shared" si="1"/>
        <v>0</v>
      </c>
      <c r="M30" s="66"/>
    </row>
    <row r="31" spans="2:13" ht="18" customHeight="1">
      <c r="B31" s="320"/>
      <c r="C31" s="321"/>
      <c r="D31" s="322"/>
      <c r="E31" s="323"/>
      <c r="F31" s="324">
        <f t="shared" si="0"/>
        <v>0</v>
      </c>
      <c r="H31" s="320"/>
      <c r="I31" s="321"/>
      <c r="J31" s="322"/>
      <c r="K31" s="323"/>
      <c r="L31" s="324">
        <f t="shared" si="1"/>
        <v>0</v>
      </c>
      <c r="M31" s="66"/>
    </row>
    <row r="32" spans="2:13" ht="18" customHeight="1">
      <c r="B32" s="325" t="s">
        <v>2684</v>
      </c>
      <c r="C32" s="326"/>
      <c r="D32" s="327"/>
      <c r="E32" s="328"/>
      <c r="F32" s="329">
        <f>SUM(F28:F31)</f>
        <v>0</v>
      </c>
      <c r="H32" s="325" t="s">
        <v>2684</v>
      </c>
      <c r="I32" s="326"/>
      <c r="J32" s="327"/>
      <c r="K32" s="328"/>
      <c r="L32" s="329">
        <f>SUM(L28:L31)</f>
        <v>0</v>
      </c>
      <c r="M32" s="66"/>
    </row>
    <row r="33" spans="2:13" ht="18" customHeight="1">
      <c r="B33" s="325" t="s">
        <v>2607</v>
      </c>
      <c r="C33" s="330"/>
      <c r="D33" s="330"/>
      <c r="E33" s="330"/>
      <c r="F33" s="331"/>
      <c r="H33" s="325" t="s">
        <v>2607</v>
      </c>
      <c r="I33" s="330"/>
      <c r="J33" s="330"/>
      <c r="K33" s="330"/>
      <c r="L33" s="331"/>
      <c r="M33" s="66"/>
    </row>
    <row r="34" spans="2:13" ht="18" customHeight="1">
      <c r="B34" s="320"/>
      <c r="C34" s="321"/>
      <c r="D34" s="322"/>
      <c r="E34" s="323"/>
      <c r="F34" s="284">
        <f t="shared" ref="F34:F38" si="2">+D34*E34</f>
        <v>0</v>
      </c>
      <c r="H34" s="320"/>
      <c r="I34" s="321"/>
      <c r="J34" s="322"/>
      <c r="K34" s="323"/>
      <c r="L34" s="284">
        <f t="shared" ref="L34:L38" si="3">+J34*K34</f>
        <v>0</v>
      </c>
      <c r="M34" s="66"/>
    </row>
    <row r="35" spans="2:13" ht="18" customHeight="1">
      <c r="B35" s="320"/>
      <c r="C35" s="321"/>
      <c r="D35" s="322"/>
      <c r="E35" s="323"/>
      <c r="F35" s="284">
        <f t="shared" si="2"/>
        <v>0</v>
      </c>
      <c r="H35" s="320"/>
      <c r="I35" s="321"/>
      <c r="J35" s="322"/>
      <c r="K35" s="323"/>
      <c r="L35" s="284">
        <f t="shared" si="3"/>
        <v>0</v>
      </c>
      <c r="M35" s="66"/>
    </row>
    <row r="36" spans="2:13" ht="18" customHeight="1">
      <c r="B36" s="332"/>
      <c r="C36" s="321"/>
      <c r="D36" s="322"/>
      <c r="E36" s="323"/>
      <c r="F36" s="284">
        <f t="shared" si="2"/>
        <v>0</v>
      </c>
      <c r="H36" s="332"/>
      <c r="I36" s="321"/>
      <c r="J36" s="322"/>
      <c r="K36" s="323"/>
      <c r="L36" s="284">
        <f t="shared" si="3"/>
        <v>0</v>
      </c>
      <c r="M36" s="66"/>
    </row>
    <row r="37" spans="2:13" ht="18" customHeight="1">
      <c r="B37" s="332"/>
      <c r="C37" s="321"/>
      <c r="D37" s="322"/>
      <c r="E37" s="323"/>
      <c r="F37" s="284">
        <f t="shared" si="2"/>
        <v>0</v>
      </c>
      <c r="H37" s="332"/>
      <c r="I37" s="321"/>
      <c r="J37" s="322"/>
      <c r="K37" s="323"/>
      <c r="L37" s="284">
        <f t="shared" si="3"/>
        <v>0</v>
      </c>
      <c r="M37" s="66"/>
    </row>
    <row r="38" spans="2:13" ht="18" customHeight="1">
      <c r="B38" s="332"/>
      <c r="C38" s="321"/>
      <c r="D38" s="322"/>
      <c r="E38" s="323"/>
      <c r="F38" s="284">
        <f t="shared" si="2"/>
        <v>0</v>
      </c>
      <c r="H38" s="332"/>
      <c r="I38" s="321"/>
      <c r="J38" s="322"/>
      <c r="K38" s="323"/>
      <c r="L38" s="284">
        <f t="shared" si="3"/>
        <v>0</v>
      </c>
      <c r="M38" s="66"/>
    </row>
    <row r="39" spans="2:13" ht="18" customHeight="1">
      <c r="B39" s="325" t="s">
        <v>2684</v>
      </c>
      <c r="C39" s="326"/>
      <c r="D39" s="327"/>
      <c r="E39" s="328"/>
      <c r="F39" s="329">
        <f>SUM(F34:F38)</f>
        <v>0</v>
      </c>
      <c r="H39" s="325" t="s">
        <v>2684</v>
      </c>
      <c r="I39" s="326"/>
      <c r="J39" s="327"/>
      <c r="K39" s="328"/>
      <c r="L39" s="329">
        <f>SUM(L34:L38)</f>
        <v>0</v>
      </c>
      <c r="M39" s="66"/>
    </row>
    <row r="40" spans="2:13" ht="18" customHeight="1">
      <c r="B40" s="318" t="s">
        <v>12</v>
      </c>
      <c r="C40" s="309">
        <f>+C32+C39</f>
        <v>0</v>
      </c>
      <c r="D40" s="309">
        <f>+D32+D39</f>
        <v>0</v>
      </c>
      <c r="E40" s="333">
        <f>+E32+E39</f>
        <v>0</v>
      </c>
      <c r="F40" s="266">
        <f>+F32+F39</f>
        <v>0</v>
      </c>
      <c r="H40" s="318" t="s">
        <v>12</v>
      </c>
      <c r="I40" s="309">
        <f>+I32+I39</f>
        <v>0</v>
      </c>
      <c r="J40" s="309">
        <f>+J32+J39</f>
        <v>0</v>
      </c>
      <c r="K40" s="310">
        <f>+K32+K39</f>
        <v>0</v>
      </c>
      <c r="L40" s="266">
        <f>+L32+L39</f>
        <v>0</v>
      </c>
      <c r="M40" s="66"/>
    </row>
    <row r="41" spans="2:13" ht="15" customHeight="1">
      <c r="B41" s="201"/>
      <c r="C41" s="65"/>
      <c r="D41" s="65"/>
      <c r="E41" s="65"/>
      <c r="F41" s="65"/>
      <c r="G41" s="64"/>
      <c r="H41" s="65"/>
      <c r="I41" s="66"/>
      <c r="J41" s="65"/>
      <c r="K41" s="65"/>
      <c r="L41" s="202"/>
      <c r="M41" s="203"/>
    </row>
    <row r="42" spans="2:13" ht="15" customHeight="1">
      <c r="B42" s="201"/>
      <c r="C42" s="65"/>
      <c r="D42" s="64"/>
      <c r="E42" s="65"/>
      <c r="F42" s="65"/>
      <c r="G42" s="64"/>
      <c r="H42" s="65"/>
      <c r="I42" s="66"/>
      <c r="J42" s="65"/>
      <c r="K42" s="65"/>
      <c r="L42" s="202"/>
      <c r="M42" s="203"/>
    </row>
    <row r="43" spans="2:13" ht="31.5" customHeight="1">
      <c r="B43" s="318" t="s">
        <v>3</v>
      </c>
      <c r="C43" s="667">
        <f>+'2-Pto Ventas'!C23</f>
        <v>0</v>
      </c>
      <c r="D43" s="667"/>
      <c r="E43" s="667"/>
      <c r="F43" s="667"/>
      <c r="H43" s="318" t="s">
        <v>4</v>
      </c>
      <c r="I43" s="667">
        <f>+'2-Pto Ventas'!C24</f>
        <v>0</v>
      </c>
      <c r="J43" s="667"/>
      <c r="K43" s="667"/>
      <c r="L43" s="667"/>
      <c r="M43" s="66"/>
    </row>
    <row r="44" spans="2:13" ht="18" customHeight="1">
      <c r="B44" s="318" t="s">
        <v>2595</v>
      </c>
      <c r="C44" s="664" t="str">
        <f>+'2-Pto Ventas'!D38</f>
        <v>Hora</v>
      </c>
      <c r="D44" s="665"/>
      <c r="E44" s="665"/>
      <c r="F44" s="319"/>
      <c r="H44" s="318" t="s">
        <v>2595</v>
      </c>
      <c r="I44" s="664">
        <f>+'2-Pto Ventas'!D39</f>
        <v>0</v>
      </c>
      <c r="J44" s="665"/>
      <c r="K44" s="665"/>
      <c r="L44" s="319"/>
      <c r="M44" s="66"/>
    </row>
    <row r="45" spans="2:13" ht="15" customHeight="1">
      <c r="B45" s="319"/>
      <c r="C45" s="319"/>
      <c r="D45" s="319"/>
      <c r="E45" s="319"/>
      <c r="F45" s="319"/>
      <c r="G45" s="64"/>
      <c r="H45" s="319"/>
      <c r="I45" s="334"/>
      <c r="J45" s="319"/>
      <c r="K45" s="319"/>
      <c r="L45" s="319"/>
      <c r="M45" s="66"/>
    </row>
    <row r="46" spans="2:13" ht="18" customHeight="1">
      <c r="B46" s="634" t="s">
        <v>2596</v>
      </c>
      <c r="C46" s="626" t="s">
        <v>2597</v>
      </c>
      <c r="D46" s="626" t="s">
        <v>2598</v>
      </c>
      <c r="E46" s="626" t="s">
        <v>2599</v>
      </c>
      <c r="F46" s="626" t="s">
        <v>2600</v>
      </c>
      <c r="H46" s="634" t="s">
        <v>2596</v>
      </c>
      <c r="I46" s="626" t="s">
        <v>2597</v>
      </c>
      <c r="J46" s="626" t="s">
        <v>2598</v>
      </c>
      <c r="K46" s="626" t="s">
        <v>2599</v>
      </c>
      <c r="L46" s="626" t="s">
        <v>2600</v>
      </c>
      <c r="M46" s="66"/>
    </row>
    <row r="47" spans="2:13" ht="18" customHeight="1">
      <c r="B47" s="634"/>
      <c r="C47" s="626"/>
      <c r="D47" s="626"/>
      <c r="E47" s="626"/>
      <c r="F47" s="626"/>
      <c r="H47" s="634"/>
      <c r="I47" s="626"/>
      <c r="J47" s="626"/>
      <c r="K47" s="626"/>
      <c r="L47" s="626"/>
      <c r="M47" s="66"/>
    </row>
    <row r="48" spans="2:13" ht="18" customHeight="1">
      <c r="B48" s="320"/>
      <c r="C48" s="321"/>
      <c r="D48" s="322"/>
      <c r="E48" s="323"/>
      <c r="F48" s="284">
        <f>+D48*E48</f>
        <v>0</v>
      </c>
      <c r="H48" s="320"/>
      <c r="I48" s="321"/>
      <c r="J48" s="322"/>
      <c r="K48" s="323"/>
      <c r="L48" s="284">
        <f>+J48*K48</f>
        <v>0</v>
      </c>
      <c r="M48" s="66"/>
    </row>
    <row r="49" spans="2:13" ht="18" customHeight="1">
      <c r="B49" s="320"/>
      <c r="C49" s="321"/>
      <c r="D49" s="322"/>
      <c r="E49" s="323"/>
      <c r="F49" s="284">
        <f t="shared" ref="F49:F51" si="4">+D49*E49</f>
        <v>0</v>
      </c>
      <c r="H49" s="320"/>
      <c r="I49" s="321"/>
      <c r="J49" s="322"/>
      <c r="K49" s="323"/>
      <c r="L49" s="284">
        <f t="shared" ref="L49:L51" si="5">+J49*K49</f>
        <v>0</v>
      </c>
      <c r="M49" s="66"/>
    </row>
    <row r="50" spans="2:13" ht="18" customHeight="1">
      <c r="B50" s="320"/>
      <c r="C50" s="321"/>
      <c r="D50" s="322"/>
      <c r="E50" s="323"/>
      <c r="F50" s="284">
        <f t="shared" si="4"/>
        <v>0</v>
      </c>
      <c r="H50" s="320"/>
      <c r="I50" s="321"/>
      <c r="J50" s="322"/>
      <c r="K50" s="323"/>
      <c r="L50" s="284">
        <f t="shared" si="5"/>
        <v>0</v>
      </c>
      <c r="M50" s="66"/>
    </row>
    <row r="51" spans="2:13" ht="18" customHeight="1">
      <c r="B51" s="320"/>
      <c r="C51" s="321"/>
      <c r="D51" s="322"/>
      <c r="E51" s="323"/>
      <c r="F51" s="324">
        <f t="shared" si="4"/>
        <v>0</v>
      </c>
      <c r="H51" s="320"/>
      <c r="I51" s="321"/>
      <c r="J51" s="322"/>
      <c r="K51" s="323"/>
      <c r="L51" s="324">
        <f t="shared" si="5"/>
        <v>0</v>
      </c>
      <c r="M51" s="66"/>
    </row>
    <row r="52" spans="2:13" ht="18" customHeight="1">
      <c r="B52" s="325" t="s">
        <v>2684</v>
      </c>
      <c r="C52" s="326"/>
      <c r="D52" s="327"/>
      <c r="E52" s="328"/>
      <c r="F52" s="329">
        <f>SUM(F48:F51)</f>
        <v>0</v>
      </c>
      <c r="H52" s="325" t="s">
        <v>2684</v>
      </c>
      <c r="I52" s="326"/>
      <c r="J52" s="327"/>
      <c r="K52" s="328"/>
      <c r="L52" s="329">
        <f>SUM(L48:L51)</f>
        <v>0</v>
      </c>
      <c r="M52" s="66"/>
    </row>
    <row r="53" spans="2:13" ht="18" customHeight="1">
      <c r="B53" s="325" t="s">
        <v>2607</v>
      </c>
      <c r="C53" s="330"/>
      <c r="D53" s="330"/>
      <c r="E53" s="330"/>
      <c r="F53" s="331"/>
      <c r="H53" s="325" t="s">
        <v>2607</v>
      </c>
      <c r="I53" s="330"/>
      <c r="J53" s="330"/>
      <c r="K53" s="330"/>
      <c r="L53" s="331"/>
      <c r="M53" s="66"/>
    </row>
    <row r="54" spans="2:13" ht="18" customHeight="1">
      <c r="B54" s="320"/>
      <c r="C54" s="321"/>
      <c r="D54" s="322"/>
      <c r="E54" s="323"/>
      <c r="F54" s="284">
        <f t="shared" ref="F54:F58" si="6">+D54*E54</f>
        <v>0</v>
      </c>
      <c r="H54" s="320"/>
      <c r="I54" s="321"/>
      <c r="J54" s="322"/>
      <c r="K54" s="323"/>
      <c r="L54" s="284">
        <f t="shared" ref="L54:L58" si="7">+J54*K54</f>
        <v>0</v>
      </c>
      <c r="M54" s="66"/>
    </row>
    <row r="55" spans="2:13" ht="18" customHeight="1">
      <c r="B55" s="320"/>
      <c r="C55" s="321"/>
      <c r="D55" s="322"/>
      <c r="E55" s="323"/>
      <c r="F55" s="284">
        <f t="shared" si="6"/>
        <v>0</v>
      </c>
      <c r="H55" s="320"/>
      <c r="I55" s="321"/>
      <c r="J55" s="322"/>
      <c r="K55" s="323"/>
      <c r="L55" s="284">
        <f t="shared" si="7"/>
        <v>0</v>
      </c>
      <c r="M55" s="66"/>
    </row>
    <row r="56" spans="2:13" ht="18" customHeight="1">
      <c r="B56" s="332"/>
      <c r="C56" s="321"/>
      <c r="D56" s="322"/>
      <c r="E56" s="323"/>
      <c r="F56" s="284">
        <f t="shared" si="6"/>
        <v>0</v>
      </c>
      <c r="H56" s="332"/>
      <c r="I56" s="321"/>
      <c r="J56" s="322"/>
      <c r="K56" s="323"/>
      <c r="L56" s="284">
        <f t="shared" si="7"/>
        <v>0</v>
      </c>
      <c r="M56" s="66"/>
    </row>
    <row r="57" spans="2:13" ht="18" customHeight="1">
      <c r="B57" s="332"/>
      <c r="C57" s="321"/>
      <c r="D57" s="322"/>
      <c r="E57" s="323"/>
      <c r="F57" s="284">
        <f t="shared" si="6"/>
        <v>0</v>
      </c>
      <c r="H57" s="332"/>
      <c r="I57" s="321"/>
      <c r="J57" s="322"/>
      <c r="K57" s="323"/>
      <c r="L57" s="284">
        <f t="shared" si="7"/>
        <v>0</v>
      </c>
      <c r="M57" s="66"/>
    </row>
    <row r="58" spans="2:13" ht="18" customHeight="1">
      <c r="B58" s="332"/>
      <c r="C58" s="321"/>
      <c r="D58" s="322"/>
      <c r="E58" s="323"/>
      <c r="F58" s="284">
        <f t="shared" si="6"/>
        <v>0</v>
      </c>
      <c r="H58" s="332"/>
      <c r="I58" s="321"/>
      <c r="J58" s="322"/>
      <c r="K58" s="323"/>
      <c r="L58" s="284">
        <f t="shared" si="7"/>
        <v>0</v>
      </c>
      <c r="M58" s="66"/>
    </row>
    <row r="59" spans="2:13" ht="18" customHeight="1">
      <c r="B59" s="325" t="s">
        <v>2684</v>
      </c>
      <c r="C59" s="326"/>
      <c r="D59" s="327"/>
      <c r="E59" s="328"/>
      <c r="F59" s="329">
        <f>SUM(F54:F58)</f>
        <v>0</v>
      </c>
      <c r="H59" s="325" t="s">
        <v>2684</v>
      </c>
      <c r="I59" s="326"/>
      <c r="J59" s="327"/>
      <c r="K59" s="328"/>
      <c r="L59" s="329">
        <f>SUM(L54:L58)</f>
        <v>0</v>
      </c>
      <c r="M59" s="66"/>
    </row>
    <row r="60" spans="2:13" ht="18" customHeight="1">
      <c r="B60" s="318" t="s">
        <v>12</v>
      </c>
      <c r="C60" s="309">
        <f>+C52+C59</f>
        <v>0</v>
      </c>
      <c r="D60" s="309">
        <f>+D52+D59</f>
        <v>0</v>
      </c>
      <c r="E60" s="310">
        <f>+E52+E59</f>
        <v>0</v>
      </c>
      <c r="F60" s="266">
        <f>+F52+F59</f>
        <v>0</v>
      </c>
      <c r="H60" s="318" t="s">
        <v>12</v>
      </c>
      <c r="I60" s="309">
        <f>+I52+I59</f>
        <v>0</v>
      </c>
      <c r="J60" s="309">
        <f>+J52+J59</f>
        <v>0</v>
      </c>
      <c r="K60" s="310">
        <f>+K52+K59</f>
        <v>0</v>
      </c>
      <c r="L60" s="266">
        <f>+L52+L59</f>
        <v>0</v>
      </c>
      <c r="M60" s="66"/>
    </row>
    <row r="61" spans="2:13" ht="15" customHeight="1">
      <c r="B61" s="201"/>
      <c r="C61" s="65"/>
      <c r="D61" s="65"/>
      <c r="E61" s="65"/>
      <c r="F61" s="65"/>
      <c r="G61" s="64"/>
      <c r="H61" s="65"/>
      <c r="I61" s="66"/>
      <c r="J61" s="65"/>
      <c r="K61" s="65"/>
      <c r="L61" s="202"/>
      <c r="M61" s="203"/>
    </row>
    <row r="62" spans="2:13" ht="15" customHeight="1">
      <c r="B62" s="201"/>
      <c r="C62" s="65"/>
      <c r="D62" s="65"/>
      <c r="E62" s="65"/>
      <c r="F62" s="65"/>
      <c r="G62" s="64"/>
      <c r="H62" s="65"/>
      <c r="I62" s="66"/>
      <c r="J62" s="65"/>
      <c r="K62" s="65"/>
      <c r="L62" s="202"/>
      <c r="M62" s="203"/>
    </row>
    <row r="63" spans="2:13" ht="31.5" customHeight="1">
      <c r="B63" s="318" t="s">
        <v>5</v>
      </c>
      <c r="C63" s="667">
        <f>+'2-Pto Ventas'!C25</f>
        <v>0</v>
      </c>
      <c r="D63" s="667"/>
      <c r="E63" s="667"/>
      <c r="F63" s="667"/>
      <c r="H63" s="318" t="s">
        <v>6</v>
      </c>
      <c r="I63" s="667">
        <f>+'2-Pto Ventas'!C26</f>
        <v>0</v>
      </c>
      <c r="J63" s="667"/>
      <c r="K63" s="667"/>
      <c r="L63" s="667"/>
      <c r="M63" s="66"/>
    </row>
    <row r="64" spans="2:13" ht="18" customHeight="1">
      <c r="B64" s="318" t="s">
        <v>2595</v>
      </c>
      <c r="C64" s="664">
        <f>+'2-Pto Ventas'!D40</f>
        <v>0</v>
      </c>
      <c r="D64" s="665"/>
      <c r="E64" s="665"/>
      <c r="F64" s="319"/>
      <c r="H64" s="318" t="s">
        <v>2595</v>
      </c>
      <c r="I64" s="664">
        <f>+'2-Pto Ventas'!D41</f>
        <v>0</v>
      </c>
      <c r="J64" s="665"/>
      <c r="K64" s="665"/>
      <c r="L64" s="319"/>
      <c r="M64" s="66"/>
    </row>
    <row r="65" spans="2:13" ht="15" customHeight="1">
      <c r="B65" s="319"/>
      <c r="C65" s="319"/>
      <c r="D65" s="319"/>
      <c r="E65" s="319"/>
      <c r="F65" s="319"/>
      <c r="G65" s="64"/>
      <c r="H65" s="319"/>
      <c r="I65" s="334"/>
      <c r="J65" s="319"/>
      <c r="K65" s="319"/>
      <c r="L65" s="319"/>
      <c r="M65" s="66"/>
    </row>
    <row r="66" spans="2:13" ht="18" customHeight="1">
      <c r="B66" s="634" t="s">
        <v>2596</v>
      </c>
      <c r="C66" s="626" t="s">
        <v>2597</v>
      </c>
      <c r="D66" s="626" t="s">
        <v>2598</v>
      </c>
      <c r="E66" s="626" t="s">
        <v>2599</v>
      </c>
      <c r="F66" s="626" t="s">
        <v>2600</v>
      </c>
      <c r="H66" s="634" t="s">
        <v>2596</v>
      </c>
      <c r="I66" s="626" t="s">
        <v>2597</v>
      </c>
      <c r="J66" s="626" t="s">
        <v>2598</v>
      </c>
      <c r="K66" s="626" t="s">
        <v>2599</v>
      </c>
      <c r="L66" s="626" t="s">
        <v>2600</v>
      </c>
      <c r="M66" s="66"/>
    </row>
    <row r="67" spans="2:13" ht="18" customHeight="1">
      <c r="B67" s="634"/>
      <c r="C67" s="626"/>
      <c r="D67" s="626"/>
      <c r="E67" s="626"/>
      <c r="F67" s="626"/>
      <c r="H67" s="634"/>
      <c r="I67" s="626"/>
      <c r="J67" s="626"/>
      <c r="K67" s="626"/>
      <c r="L67" s="626"/>
      <c r="M67" s="66"/>
    </row>
    <row r="68" spans="2:13" ht="18" customHeight="1">
      <c r="B68" s="320"/>
      <c r="C68" s="321"/>
      <c r="D68" s="322"/>
      <c r="E68" s="323"/>
      <c r="F68" s="284">
        <f>+D68*E68</f>
        <v>0</v>
      </c>
      <c r="H68" s="320"/>
      <c r="I68" s="321"/>
      <c r="J68" s="322"/>
      <c r="K68" s="323"/>
      <c r="L68" s="284">
        <f>+J68*K68</f>
        <v>0</v>
      </c>
      <c r="M68" s="66"/>
    </row>
    <row r="69" spans="2:13" ht="18" customHeight="1">
      <c r="B69" s="320"/>
      <c r="C69" s="321"/>
      <c r="D69" s="322"/>
      <c r="E69" s="323"/>
      <c r="F69" s="284">
        <f t="shared" ref="F69:F71" si="8">+D69*E69</f>
        <v>0</v>
      </c>
      <c r="H69" s="320"/>
      <c r="I69" s="321"/>
      <c r="J69" s="322"/>
      <c r="K69" s="323"/>
      <c r="L69" s="284">
        <f t="shared" ref="L69:L71" si="9">+J69*K69</f>
        <v>0</v>
      </c>
      <c r="M69" s="66"/>
    </row>
    <row r="70" spans="2:13" ht="18" customHeight="1">
      <c r="B70" s="320"/>
      <c r="C70" s="321"/>
      <c r="D70" s="322"/>
      <c r="E70" s="323"/>
      <c r="F70" s="284">
        <f t="shared" si="8"/>
        <v>0</v>
      </c>
      <c r="H70" s="320"/>
      <c r="I70" s="321"/>
      <c r="J70" s="322"/>
      <c r="K70" s="323"/>
      <c r="L70" s="284">
        <f t="shared" si="9"/>
        <v>0</v>
      </c>
      <c r="M70" s="66"/>
    </row>
    <row r="71" spans="2:13" ht="18" customHeight="1">
      <c r="B71" s="320"/>
      <c r="C71" s="321"/>
      <c r="D71" s="322"/>
      <c r="E71" s="323"/>
      <c r="F71" s="324">
        <f t="shared" si="8"/>
        <v>0</v>
      </c>
      <c r="H71" s="320"/>
      <c r="I71" s="321"/>
      <c r="J71" s="322"/>
      <c r="K71" s="323"/>
      <c r="L71" s="324">
        <f t="shared" si="9"/>
        <v>0</v>
      </c>
      <c r="M71" s="66"/>
    </row>
    <row r="72" spans="2:13" ht="18" customHeight="1">
      <c r="B72" s="325" t="s">
        <v>2684</v>
      </c>
      <c r="C72" s="326"/>
      <c r="D72" s="327"/>
      <c r="E72" s="328"/>
      <c r="F72" s="329">
        <f>SUM(F68:F71)</f>
        <v>0</v>
      </c>
      <c r="H72" s="325" t="s">
        <v>2684</v>
      </c>
      <c r="I72" s="326"/>
      <c r="J72" s="327"/>
      <c r="K72" s="328"/>
      <c r="L72" s="329">
        <f>SUM(L68:L71)</f>
        <v>0</v>
      </c>
      <c r="M72" s="66"/>
    </row>
    <row r="73" spans="2:13" ht="18" customHeight="1">
      <c r="B73" s="325" t="s">
        <v>2607</v>
      </c>
      <c r="C73" s="330"/>
      <c r="D73" s="330"/>
      <c r="E73" s="330"/>
      <c r="F73" s="331"/>
      <c r="H73" s="325" t="s">
        <v>2607</v>
      </c>
      <c r="I73" s="330"/>
      <c r="J73" s="330"/>
      <c r="K73" s="330"/>
      <c r="L73" s="331"/>
      <c r="M73" s="66"/>
    </row>
    <row r="74" spans="2:13" ht="18" customHeight="1">
      <c r="B74" s="320"/>
      <c r="C74" s="321"/>
      <c r="D74" s="322"/>
      <c r="E74" s="323"/>
      <c r="F74" s="284">
        <f t="shared" ref="F74:F78" si="10">+D74*E74</f>
        <v>0</v>
      </c>
      <c r="H74" s="320"/>
      <c r="I74" s="321"/>
      <c r="J74" s="322"/>
      <c r="K74" s="323"/>
      <c r="L74" s="284">
        <f t="shared" ref="L74:L78" si="11">+J74*K74</f>
        <v>0</v>
      </c>
      <c r="M74" s="66"/>
    </row>
    <row r="75" spans="2:13" ht="18" customHeight="1">
      <c r="B75" s="320"/>
      <c r="C75" s="321"/>
      <c r="D75" s="322"/>
      <c r="E75" s="323"/>
      <c r="F75" s="284">
        <f t="shared" si="10"/>
        <v>0</v>
      </c>
      <c r="H75" s="320"/>
      <c r="I75" s="321"/>
      <c r="J75" s="322"/>
      <c r="K75" s="323"/>
      <c r="L75" s="284">
        <f t="shared" si="11"/>
        <v>0</v>
      </c>
      <c r="M75" s="66"/>
    </row>
    <row r="76" spans="2:13" ht="18" customHeight="1">
      <c r="B76" s="332"/>
      <c r="C76" s="321"/>
      <c r="D76" s="322"/>
      <c r="E76" s="323"/>
      <c r="F76" s="284">
        <f t="shared" si="10"/>
        <v>0</v>
      </c>
      <c r="H76" s="332"/>
      <c r="I76" s="321"/>
      <c r="J76" s="322"/>
      <c r="K76" s="323"/>
      <c r="L76" s="284">
        <f t="shared" si="11"/>
        <v>0</v>
      </c>
      <c r="M76" s="66"/>
    </row>
    <row r="77" spans="2:13" ht="18" customHeight="1">
      <c r="B77" s="332"/>
      <c r="C77" s="321"/>
      <c r="D77" s="322"/>
      <c r="E77" s="323"/>
      <c r="F77" s="284">
        <f t="shared" si="10"/>
        <v>0</v>
      </c>
      <c r="H77" s="332"/>
      <c r="I77" s="321"/>
      <c r="J77" s="322"/>
      <c r="K77" s="323"/>
      <c r="L77" s="284">
        <f t="shared" si="11"/>
        <v>0</v>
      </c>
      <c r="M77" s="66"/>
    </row>
    <row r="78" spans="2:13" ht="18" customHeight="1">
      <c r="B78" s="332"/>
      <c r="C78" s="321"/>
      <c r="D78" s="322"/>
      <c r="E78" s="323"/>
      <c r="F78" s="284">
        <f t="shared" si="10"/>
        <v>0</v>
      </c>
      <c r="H78" s="332"/>
      <c r="I78" s="321"/>
      <c r="J78" s="322"/>
      <c r="K78" s="323"/>
      <c r="L78" s="284">
        <f t="shared" si="11"/>
        <v>0</v>
      </c>
      <c r="M78" s="66"/>
    </row>
    <row r="79" spans="2:13" ht="18" customHeight="1">
      <c r="B79" s="325" t="s">
        <v>2684</v>
      </c>
      <c r="C79" s="326"/>
      <c r="D79" s="327"/>
      <c r="E79" s="328"/>
      <c r="F79" s="329">
        <f>SUM(F74:F78)</f>
        <v>0</v>
      </c>
      <c r="H79" s="325" t="s">
        <v>2684</v>
      </c>
      <c r="I79" s="326"/>
      <c r="J79" s="327"/>
      <c r="K79" s="328"/>
      <c r="L79" s="329">
        <f>SUM(L74:L78)</f>
        <v>0</v>
      </c>
      <c r="M79" s="66"/>
    </row>
    <row r="80" spans="2:13" ht="18" customHeight="1">
      <c r="B80" s="318" t="s">
        <v>12</v>
      </c>
      <c r="C80" s="309">
        <f>+C72+C79</f>
        <v>0</v>
      </c>
      <c r="D80" s="309">
        <f>+D72+D79</f>
        <v>0</v>
      </c>
      <c r="E80" s="310">
        <f>+E72+E79</f>
        <v>0</v>
      </c>
      <c r="F80" s="266">
        <f>+F72+F79</f>
        <v>0</v>
      </c>
      <c r="H80" s="318" t="s">
        <v>12</v>
      </c>
      <c r="I80" s="309">
        <f>+I72+I79</f>
        <v>0</v>
      </c>
      <c r="J80" s="309">
        <f>+J72+J79</f>
        <v>0</v>
      </c>
      <c r="K80" s="310">
        <f>+K72+K79</f>
        <v>0</v>
      </c>
      <c r="L80" s="266">
        <f>+L72+L79</f>
        <v>0</v>
      </c>
      <c r="M80" s="66"/>
    </row>
    <row r="81" spans="2:13" ht="15" customHeight="1">
      <c r="B81" s="201"/>
      <c r="C81" s="65"/>
      <c r="D81" s="65"/>
      <c r="E81" s="65"/>
      <c r="F81" s="65"/>
      <c r="G81" s="64"/>
      <c r="H81" s="65"/>
      <c r="I81" s="66"/>
      <c r="J81" s="65"/>
      <c r="K81" s="65"/>
      <c r="L81" s="202"/>
      <c r="M81" s="203"/>
    </row>
    <row r="82" spans="2:13" ht="15" customHeight="1">
      <c r="B82" s="201"/>
      <c r="C82" s="65"/>
      <c r="D82" s="65"/>
      <c r="E82" s="65"/>
      <c r="F82" s="197"/>
      <c r="G82" s="64"/>
      <c r="H82" s="65"/>
      <c r="I82" s="66"/>
      <c r="J82" s="65"/>
      <c r="K82" s="65"/>
      <c r="L82" s="202"/>
      <c r="M82" s="203"/>
    </row>
    <row r="83" spans="2:13" ht="15" customHeight="1">
      <c r="B83" s="201"/>
      <c r="C83" s="65"/>
      <c r="D83" s="65"/>
      <c r="E83" s="65"/>
      <c r="F83" s="197"/>
      <c r="G83" s="64"/>
      <c r="H83" s="65"/>
      <c r="I83" s="66"/>
      <c r="J83" s="65"/>
      <c r="K83" s="65"/>
      <c r="L83" s="202"/>
      <c r="M83" s="203"/>
    </row>
    <row r="84" spans="2:13" ht="15" customHeight="1" thickBot="1">
      <c r="B84" s="201"/>
      <c r="C84" s="65"/>
      <c r="D84" s="65"/>
      <c r="E84" s="65"/>
      <c r="F84" s="197"/>
      <c r="G84" s="64"/>
      <c r="H84" s="65"/>
      <c r="I84" s="66"/>
      <c r="J84" s="65"/>
      <c r="K84" s="65"/>
      <c r="L84" s="202"/>
      <c r="M84" s="203"/>
    </row>
    <row r="85" spans="2:13" ht="25.5" customHeight="1" thickBot="1">
      <c r="B85" s="575" t="s">
        <v>2594</v>
      </c>
      <c r="C85" s="576"/>
      <c r="D85" s="576"/>
      <c r="E85" s="576"/>
      <c r="F85" s="576"/>
      <c r="G85" s="576"/>
      <c r="H85" s="576"/>
      <c r="I85" s="576"/>
      <c r="J85" s="576"/>
      <c r="K85" s="576"/>
      <c r="L85" s="577"/>
      <c r="M85" s="203"/>
    </row>
    <row r="86" spans="2:13" ht="15" customHeight="1" thickBot="1">
      <c r="B86" s="201"/>
      <c r="C86" s="65"/>
      <c r="D86" s="65"/>
      <c r="E86" s="65"/>
      <c r="F86" s="65"/>
      <c r="G86" s="253"/>
      <c r="H86" s="65"/>
      <c r="I86" s="65"/>
      <c r="J86" s="65"/>
      <c r="K86" s="65"/>
      <c r="L86" s="202"/>
      <c r="M86" s="203"/>
    </row>
    <row r="87" spans="2:13" ht="18" customHeight="1">
      <c r="B87" s="201"/>
      <c r="C87" s="655" t="s">
        <v>8</v>
      </c>
      <c r="D87" s="682"/>
      <c r="E87" s="682"/>
      <c r="F87" s="656"/>
      <c r="G87" s="659" t="s">
        <v>2601</v>
      </c>
      <c r="H87" s="659" t="s">
        <v>2602</v>
      </c>
      <c r="I87" s="639" t="s">
        <v>2629</v>
      </c>
      <c r="J87" s="650"/>
      <c r="K87" s="64"/>
      <c r="L87" s="202"/>
      <c r="M87" s="203"/>
    </row>
    <row r="88" spans="2:13" ht="18" customHeight="1">
      <c r="B88" s="201"/>
      <c r="C88" s="657"/>
      <c r="D88" s="683"/>
      <c r="E88" s="683"/>
      <c r="F88" s="658"/>
      <c r="G88" s="660"/>
      <c r="H88" s="660"/>
      <c r="I88" s="626"/>
      <c r="J88" s="651"/>
      <c r="K88" s="64"/>
      <c r="L88" s="202"/>
      <c r="M88" s="203"/>
    </row>
    <row r="89" spans="2:13" ht="31.5" customHeight="1">
      <c r="B89" s="201"/>
      <c r="C89" s="640" t="str">
        <f>+C23</f>
        <v xml:space="preserve">software para la gestion de horarios  y aulas </v>
      </c>
      <c r="D89" s="641"/>
      <c r="E89" s="641"/>
      <c r="F89" s="642"/>
      <c r="G89" s="235">
        <f>+'2-Pto Ventas'!H21</f>
        <v>125</v>
      </c>
      <c r="H89" s="256">
        <f>+F40</f>
        <v>0</v>
      </c>
      <c r="I89" s="687">
        <f t="shared" ref="I89:I94" si="12">+G89*H89</f>
        <v>0</v>
      </c>
      <c r="J89" s="688"/>
      <c r="K89" s="64"/>
      <c r="L89" s="202"/>
      <c r="M89" s="203"/>
    </row>
    <row r="90" spans="2:13" ht="31.5" customHeight="1">
      <c r="B90" s="201"/>
      <c r="C90" s="640" t="str">
        <f>+I23</f>
        <v>mantenimiento del software para la gestion de horarios y aulas</v>
      </c>
      <c r="D90" s="641"/>
      <c r="E90" s="641"/>
      <c r="F90" s="642"/>
      <c r="G90" s="236">
        <f>+'2-Pto Ventas'!H22</f>
        <v>250</v>
      </c>
      <c r="H90" s="256">
        <f>+L40</f>
        <v>0</v>
      </c>
      <c r="I90" s="687">
        <f t="shared" si="12"/>
        <v>0</v>
      </c>
      <c r="J90" s="688"/>
      <c r="K90" s="64"/>
      <c r="L90" s="202"/>
      <c r="M90" s="203"/>
    </row>
    <row r="91" spans="2:13" ht="31.5" customHeight="1">
      <c r="B91" s="201"/>
      <c r="C91" s="640">
        <f>+C43</f>
        <v>0</v>
      </c>
      <c r="D91" s="641"/>
      <c r="E91" s="641"/>
      <c r="F91" s="642"/>
      <c r="G91" s="236">
        <f>+'2-Pto Ventas'!H23</f>
        <v>0</v>
      </c>
      <c r="H91" s="256">
        <f>+F60</f>
        <v>0</v>
      </c>
      <c r="I91" s="687">
        <f t="shared" si="12"/>
        <v>0</v>
      </c>
      <c r="J91" s="688"/>
      <c r="K91" s="64"/>
      <c r="L91" s="202"/>
      <c r="M91" s="203"/>
    </row>
    <row r="92" spans="2:13" ht="31.5" customHeight="1">
      <c r="B92" s="201"/>
      <c r="C92" s="640">
        <f>+I43</f>
        <v>0</v>
      </c>
      <c r="D92" s="641"/>
      <c r="E92" s="641"/>
      <c r="F92" s="642"/>
      <c r="G92" s="236">
        <f>+'2-Pto Ventas'!H24</f>
        <v>0</v>
      </c>
      <c r="H92" s="256">
        <f>+L60</f>
        <v>0</v>
      </c>
      <c r="I92" s="687">
        <f t="shared" si="12"/>
        <v>0</v>
      </c>
      <c r="J92" s="688"/>
      <c r="K92" s="64"/>
      <c r="L92" s="202"/>
      <c r="M92" s="203"/>
    </row>
    <row r="93" spans="2:13" ht="31.5" customHeight="1">
      <c r="B93" s="201"/>
      <c r="C93" s="640">
        <f>+C63</f>
        <v>0</v>
      </c>
      <c r="D93" s="641"/>
      <c r="E93" s="641"/>
      <c r="F93" s="642"/>
      <c r="G93" s="236">
        <f>+'2-Pto Ventas'!H25</f>
        <v>0</v>
      </c>
      <c r="H93" s="256">
        <f>+F80</f>
        <v>0</v>
      </c>
      <c r="I93" s="687">
        <f t="shared" si="12"/>
        <v>0</v>
      </c>
      <c r="J93" s="688"/>
      <c r="K93" s="64"/>
      <c r="L93" s="202"/>
      <c r="M93" s="203"/>
    </row>
    <row r="94" spans="2:13" ht="31.5" customHeight="1">
      <c r="B94" s="201"/>
      <c r="C94" s="640">
        <f>+I63</f>
        <v>0</v>
      </c>
      <c r="D94" s="641"/>
      <c r="E94" s="641"/>
      <c r="F94" s="642"/>
      <c r="G94" s="235">
        <f>+'2-Pto Ventas'!H26</f>
        <v>0</v>
      </c>
      <c r="H94" s="256">
        <f>+L80</f>
        <v>0</v>
      </c>
      <c r="I94" s="687">
        <f t="shared" si="12"/>
        <v>0</v>
      </c>
      <c r="J94" s="688"/>
      <c r="K94" s="64"/>
      <c r="L94" s="202"/>
      <c r="M94" s="203"/>
    </row>
    <row r="95" spans="2:13" ht="18" customHeight="1" thickBot="1">
      <c r="B95" s="201"/>
      <c r="C95" s="693" t="s">
        <v>12</v>
      </c>
      <c r="D95" s="694"/>
      <c r="E95" s="694"/>
      <c r="F95" s="695"/>
      <c r="G95" s="214">
        <f>SUM(G89:G94)</f>
        <v>375</v>
      </c>
      <c r="H95" s="214">
        <f>SUM(H89:H94)</f>
        <v>0</v>
      </c>
      <c r="I95" s="689">
        <f>SUM(I89:I94)</f>
        <v>0</v>
      </c>
      <c r="J95" s="690"/>
      <c r="K95" s="64"/>
      <c r="L95" s="202"/>
      <c r="M95" s="203"/>
    </row>
    <row r="96" spans="2:13" ht="18" customHeight="1" thickBot="1">
      <c r="B96" s="201"/>
      <c r="C96" s="65"/>
      <c r="D96" s="65"/>
      <c r="E96" s="65"/>
      <c r="F96" s="64"/>
      <c r="G96" s="64"/>
      <c r="H96" s="65"/>
      <c r="I96" s="65"/>
      <c r="J96" s="65"/>
      <c r="K96" s="65"/>
      <c r="L96" s="202"/>
      <c r="M96" s="203"/>
    </row>
    <row r="97" spans="2:13" ht="21" customHeight="1" thickBot="1">
      <c r="B97" s="225"/>
      <c r="C97" s="222"/>
      <c r="D97" s="630" t="s">
        <v>2608</v>
      </c>
      <c r="E97" s="576"/>
      <c r="F97" s="576"/>
      <c r="G97" s="576"/>
      <c r="H97" s="631"/>
      <c r="I97" s="224"/>
      <c r="J97" s="65"/>
      <c r="K97" s="65"/>
      <c r="L97" s="202"/>
      <c r="M97" s="203"/>
    </row>
    <row r="98" spans="2:13" ht="15" customHeight="1" thickBot="1">
      <c r="B98" s="201"/>
      <c r="C98" s="65"/>
      <c r="D98" s="242"/>
      <c r="E98" s="242"/>
      <c r="F98" s="244"/>
      <c r="G98" s="244"/>
      <c r="H98" s="243"/>
      <c r="I98" s="65"/>
      <c r="J98" s="65"/>
      <c r="K98" s="64"/>
      <c r="L98" s="202"/>
      <c r="M98" s="203"/>
    </row>
    <row r="99" spans="2:13" ht="18" customHeight="1">
      <c r="B99" s="201"/>
      <c r="C99" s="65"/>
      <c r="D99" s="652" t="s">
        <v>63</v>
      </c>
      <c r="E99" s="639"/>
      <c r="F99" s="639" t="s">
        <v>2628</v>
      </c>
      <c r="G99" s="639"/>
      <c r="H99" s="650" t="s">
        <v>2590</v>
      </c>
      <c r="I99" s="65"/>
      <c r="J99" s="65"/>
      <c r="K99" s="64"/>
      <c r="L99" s="202"/>
      <c r="M99" s="203"/>
    </row>
    <row r="100" spans="2:13" ht="18" customHeight="1">
      <c r="B100" s="201"/>
      <c r="C100" s="65"/>
      <c r="D100" s="653"/>
      <c r="E100" s="626"/>
      <c r="F100" s="626"/>
      <c r="G100" s="626"/>
      <c r="H100" s="651"/>
      <c r="I100" s="65"/>
      <c r="J100" s="65"/>
      <c r="K100" s="64"/>
      <c r="L100" s="202"/>
      <c r="M100" s="203"/>
    </row>
    <row r="101" spans="2:13" ht="18" customHeight="1">
      <c r="B101" s="201"/>
      <c r="C101" s="65"/>
      <c r="D101" s="645" t="s">
        <v>59</v>
      </c>
      <c r="E101" s="637"/>
      <c r="F101" s="654">
        <f>+'2-Pto Ventas'!G63</f>
        <v>0.03</v>
      </c>
      <c r="G101" s="654"/>
      <c r="H101" s="255">
        <f>+F101+1</f>
        <v>1.03</v>
      </c>
      <c r="I101" s="65"/>
      <c r="J101" s="65"/>
      <c r="K101" s="64"/>
      <c r="L101" s="202"/>
      <c r="M101" s="203"/>
    </row>
    <row r="102" spans="2:13" ht="18" customHeight="1">
      <c r="B102" s="201"/>
      <c r="C102" s="65"/>
      <c r="D102" s="646" t="s">
        <v>60</v>
      </c>
      <c r="E102" s="647"/>
      <c r="F102" s="654">
        <f>+'2-Pto Ventas'!G64</f>
        <v>0.03</v>
      </c>
      <c r="G102" s="654"/>
      <c r="H102" s="237">
        <f>+F102+1</f>
        <v>1.03</v>
      </c>
      <c r="I102" s="65"/>
      <c r="J102" s="65"/>
      <c r="K102" s="64"/>
      <c r="L102" s="202"/>
      <c r="M102" s="203"/>
    </row>
    <row r="103" spans="2:13" ht="18" customHeight="1">
      <c r="B103" s="201"/>
      <c r="C103" s="65"/>
      <c r="D103" s="644" t="s">
        <v>61</v>
      </c>
      <c r="E103" s="637"/>
      <c r="F103" s="654">
        <f>+'2-Pto Ventas'!G65</f>
        <v>0.03</v>
      </c>
      <c r="G103" s="654"/>
      <c r="H103" s="237">
        <f>+F103+1</f>
        <v>1.03</v>
      </c>
      <c r="I103" s="65"/>
      <c r="J103" s="65"/>
      <c r="K103" s="64"/>
      <c r="L103" s="202"/>
      <c r="M103" s="203"/>
    </row>
    <row r="104" spans="2:13" ht="18" customHeight="1" thickBot="1">
      <c r="B104" s="201"/>
      <c r="C104" s="65"/>
      <c r="D104" s="648" t="s">
        <v>62</v>
      </c>
      <c r="E104" s="649"/>
      <c r="F104" s="643">
        <f>+'2-Pto Ventas'!G66</f>
        <v>0.03</v>
      </c>
      <c r="G104" s="643"/>
      <c r="H104" s="238">
        <f>+F104+1</f>
        <v>1.03</v>
      </c>
      <c r="I104" s="65"/>
      <c r="J104" s="65"/>
      <c r="K104" s="64"/>
      <c r="L104" s="202"/>
      <c r="M104" s="203"/>
    </row>
    <row r="105" spans="2:13" ht="15" customHeight="1">
      <c r="B105" s="201"/>
      <c r="C105" s="65"/>
      <c r="D105" s="242"/>
      <c r="E105" s="242"/>
      <c r="F105" s="244"/>
      <c r="G105" s="244"/>
      <c r="H105" s="243"/>
      <c r="I105" s="65"/>
      <c r="J105" s="65"/>
      <c r="K105" s="64"/>
      <c r="L105" s="202"/>
      <c r="M105" s="203"/>
    </row>
    <row r="106" spans="2:13" ht="15" customHeight="1">
      <c r="B106" s="201"/>
      <c r="C106" s="65"/>
      <c r="D106" s="242"/>
      <c r="E106" s="242"/>
      <c r="F106" s="244"/>
      <c r="G106" s="244"/>
      <c r="H106" s="243"/>
      <c r="I106" s="65"/>
      <c r="J106" s="65"/>
      <c r="K106" s="64"/>
      <c r="L106" s="202"/>
      <c r="M106" s="203"/>
    </row>
    <row r="107" spans="2:13" ht="15" customHeight="1">
      <c r="B107" s="201"/>
      <c r="C107" s="65"/>
      <c r="D107" s="65"/>
      <c r="E107" s="65"/>
      <c r="F107" s="65"/>
      <c r="G107" s="64"/>
      <c r="H107" s="65"/>
      <c r="I107" s="65"/>
      <c r="J107" s="65"/>
      <c r="K107" s="65"/>
      <c r="L107" s="202"/>
      <c r="M107" s="203"/>
    </row>
    <row r="108" spans="2:13" ht="15" customHeight="1" thickBot="1">
      <c r="B108" s="201"/>
      <c r="C108" s="65"/>
      <c r="D108" s="65"/>
      <c r="E108" s="65"/>
      <c r="F108" s="65"/>
      <c r="G108" s="64"/>
      <c r="H108" s="65"/>
      <c r="I108" s="65"/>
      <c r="J108" s="65"/>
      <c r="K108" s="65"/>
      <c r="L108" s="202"/>
      <c r="M108" s="203"/>
    </row>
    <row r="109" spans="2:13" ht="25.5" customHeight="1" thickBot="1">
      <c r="B109" s="575" t="s">
        <v>2603</v>
      </c>
      <c r="C109" s="576"/>
      <c r="D109" s="576"/>
      <c r="E109" s="576"/>
      <c r="F109" s="576"/>
      <c r="G109" s="576"/>
      <c r="H109" s="576"/>
      <c r="I109" s="576"/>
      <c r="J109" s="576"/>
      <c r="K109" s="576"/>
      <c r="L109" s="577"/>
      <c r="M109" s="203"/>
    </row>
    <row r="110" spans="2:13" ht="15" customHeight="1" thickBot="1">
      <c r="B110" s="201"/>
      <c r="C110" s="65"/>
      <c r="D110" s="65"/>
      <c r="E110" s="65"/>
      <c r="F110" s="65"/>
      <c r="G110" s="64"/>
      <c r="H110" s="65"/>
      <c r="I110" s="65"/>
      <c r="J110" s="65"/>
      <c r="K110" s="65"/>
      <c r="L110" s="202"/>
      <c r="M110" s="203"/>
    </row>
    <row r="111" spans="2:13" ht="18" customHeight="1">
      <c r="B111" s="201"/>
      <c r="C111" s="65"/>
      <c r="D111" s="65"/>
      <c r="E111" s="65"/>
      <c r="F111" s="655" t="s">
        <v>2604</v>
      </c>
      <c r="G111" s="656"/>
      <c r="H111" s="659" t="s">
        <v>2587</v>
      </c>
      <c r="I111" s="65"/>
      <c r="J111" s="65"/>
      <c r="K111" s="65"/>
      <c r="L111" s="202"/>
      <c r="M111" s="203"/>
    </row>
    <row r="112" spans="2:13" ht="18" customHeight="1">
      <c r="B112" s="201"/>
      <c r="C112" s="65"/>
      <c r="D112" s="65"/>
      <c r="E112" s="65"/>
      <c r="F112" s="657"/>
      <c r="G112" s="658"/>
      <c r="H112" s="660"/>
      <c r="I112" s="65"/>
      <c r="J112" s="65"/>
      <c r="K112" s="65"/>
      <c r="L112" s="202"/>
      <c r="M112" s="203"/>
    </row>
    <row r="113" spans="2:13" ht="18" customHeight="1">
      <c r="B113" s="201"/>
      <c r="C113" s="65"/>
      <c r="D113" s="65"/>
      <c r="E113" s="65"/>
      <c r="F113" s="661" t="s">
        <v>16</v>
      </c>
      <c r="G113" s="662"/>
      <c r="H113" s="239">
        <v>9</v>
      </c>
      <c r="I113" s="65"/>
      <c r="J113" s="65"/>
      <c r="K113" s="65"/>
      <c r="L113" s="202"/>
      <c r="M113" s="203"/>
    </row>
    <row r="114" spans="2:13" ht="18" customHeight="1">
      <c r="B114" s="201"/>
      <c r="C114" s="65"/>
      <c r="D114" s="65"/>
      <c r="E114" s="65"/>
      <c r="F114" s="661" t="s">
        <v>17</v>
      </c>
      <c r="G114" s="663"/>
      <c r="H114" s="239">
        <v>7</v>
      </c>
      <c r="I114" s="65"/>
      <c r="J114" s="65"/>
      <c r="K114" s="65"/>
      <c r="L114" s="202"/>
      <c r="M114" s="203"/>
    </row>
    <row r="115" spans="2:13" ht="18" customHeight="1">
      <c r="B115" s="201"/>
      <c r="C115" s="65"/>
      <c r="D115" s="65"/>
      <c r="E115" s="65"/>
      <c r="F115" s="661" t="s">
        <v>18</v>
      </c>
      <c r="G115" s="663"/>
      <c r="H115" s="239">
        <v>5</v>
      </c>
      <c r="I115" s="65"/>
      <c r="J115" s="65"/>
      <c r="K115" s="65"/>
      <c r="L115" s="202"/>
      <c r="M115" s="203"/>
    </row>
    <row r="116" spans="2:13" ht="18" customHeight="1" thickBot="1">
      <c r="B116" s="201"/>
      <c r="C116" s="65"/>
      <c r="D116" s="65"/>
      <c r="E116" s="65"/>
      <c r="F116" s="672" t="s">
        <v>19</v>
      </c>
      <c r="G116" s="673"/>
      <c r="H116" s="240">
        <v>3</v>
      </c>
      <c r="I116" s="65"/>
      <c r="J116" s="65"/>
      <c r="K116" s="65"/>
      <c r="L116" s="202"/>
      <c r="M116" s="203"/>
    </row>
    <row r="117" spans="2:13" ht="18" customHeight="1" thickBot="1">
      <c r="B117" s="201"/>
      <c r="C117" s="65"/>
      <c r="D117" s="65"/>
      <c r="E117" s="65"/>
      <c r="F117" s="65"/>
      <c r="G117" s="253"/>
      <c r="H117" s="65"/>
      <c r="I117" s="65"/>
      <c r="J117" s="65"/>
      <c r="K117" s="65"/>
      <c r="L117" s="202"/>
      <c r="M117" s="203"/>
    </row>
    <row r="118" spans="2:13" ht="18" customHeight="1">
      <c r="B118" s="201"/>
      <c r="C118" s="65"/>
      <c r="D118" s="655" t="s">
        <v>2605</v>
      </c>
      <c r="E118" s="682"/>
      <c r="F118" s="682"/>
      <c r="G118" s="656"/>
      <c r="H118" s="639" t="s">
        <v>2584</v>
      </c>
      <c r="I118" s="676" t="s">
        <v>2606</v>
      </c>
      <c r="J118" s="677"/>
      <c r="K118" s="64"/>
      <c r="L118" s="202"/>
      <c r="M118" s="203"/>
    </row>
    <row r="119" spans="2:13" ht="18" customHeight="1">
      <c r="B119" s="201"/>
      <c r="C119" s="65"/>
      <c r="D119" s="657"/>
      <c r="E119" s="683"/>
      <c r="F119" s="683"/>
      <c r="G119" s="658"/>
      <c r="H119" s="626"/>
      <c r="I119" s="678"/>
      <c r="J119" s="679"/>
      <c r="K119" s="64"/>
      <c r="L119" s="202"/>
      <c r="M119" s="203"/>
    </row>
    <row r="120" spans="2:13" ht="18" customHeight="1">
      <c r="B120" s="201"/>
      <c r="C120" s="65"/>
      <c r="D120" s="670" t="s">
        <v>215</v>
      </c>
      <c r="E120" s="671"/>
      <c r="F120" s="684">
        <f>+'2-Pto Ventas'!F82</f>
        <v>3</v>
      </c>
      <c r="G120" s="684"/>
      <c r="H120" s="236">
        <f t="shared" ref="H120:H131" si="13">IF($F$132&gt;0,(F120/$F$132)*$G$95,0)</f>
        <v>20.833333333333332</v>
      </c>
      <c r="I120" s="674">
        <f>IF($G$95&gt;0,($I$95*H120)/$G$95,0)</f>
        <v>0</v>
      </c>
      <c r="J120" s="675"/>
      <c r="K120" s="64"/>
      <c r="L120" s="202"/>
      <c r="M120" s="203"/>
    </row>
    <row r="121" spans="2:13" ht="18" customHeight="1">
      <c r="B121" s="201"/>
      <c r="C121" s="65"/>
      <c r="D121" s="670" t="s">
        <v>216</v>
      </c>
      <c r="E121" s="671"/>
      <c r="F121" s="684">
        <f>+'2-Pto Ventas'!F83</f>
        <v>3</v>
      </c>
      <c r="G121" s="685"/>
      <c r="H121" s="236">
        <f t="shared" si="13"/>
        <v>20.833333333333332</v>
      </c>
      <c r="I121" s="674">
        <f t="shared" ref="I121:I131" si="14">IF($G$95&gt;0,($I$95*H121)/$G$95,0)</f>
        <v>0</v>
      </c>
      <c r="J121" s="675"/>
      <c r="K121" s="64"/>
      <c r="L121" s="202"/>
      <c r="M121" s="203"/>
    </row>
    <row r="122" spans="2:13" ht="18" customHeight="1">
      <c r="B122" s="201"/>
      <c r="C122" s="65"/>
      <c r="D122" s="670" t="s">
        <v>217</v>
      </c>
      <c r="E122" s="671"/>
      <c r="F122" s="684">
        <f>+'2-Pto Ventas'!F84</f>
        <v>3</v>
      </c>
      <c r="G122" s="685"/>
      <c r="H122" s="236">
        <f t="shared" si="13"/>
        <v>20.833333333333332</v>
      </c>
      <c r="I122" s="674">
        <f t="shared" si="14"/>
        <v>0</v>
      </c>
      <c r="J122" s="675"/>
      <c r="K122" s="64"/>
      <c r="L122" s="202"/>
      <c r="M122" s="203"/>
    </row>
    <row r="123" spans="2:13" ht="18" customHeight="1">
      <c r="B123" s="201"/>
      <c r="C123" s="65"/>
      <c r="D123" s="670" t="s">
        <v>218</v>
      </c>
      <c r="E123" s="671"/>
      <c r="F123" s="684">
        <f>+'2-Pto Ventas'!F85</f>
        <v>3</v>
      </c>
      <c r="G123" s="685"/>
      <c r="H123" s="236">
        <f t="shared" si="13"/>
        <v>20.833333333333332</v>
      </c>
      <c r="I123" s="674">
        <f t="shared" si="14"/>
        <v>0</v>
      </c>
      <c r="J123" s="675"/>
      <c r="K123" s="64"/>
      <c r="L123" s="202"/>
      <c r="M123" s="203"/>
    </row>
    <row r="124" spans="2:13" ht="18" customHeight="1">
      <c r="B124" s="201"/>
      <c r="C124" s="65"/>
      <c r="D124" s="670" t="s">
        <v>219</v>
      </c>
      <c r="E124" s="671"/>
      <c r="F124" s="684">
        <f>+'2-Pto Ventas'!F86</f>
        <v>3</v>
      </c>
      <c r="G124" s="685"/>
      <c r="H124" s="236">
        <f t="shared" si="13"/>
        <v>20.833333333333332</v>
      </c>
      <c r="I124" s="674">
        <f t="shared" si="14"/>
        <v>0</v>
      </c>
      <c r="J124" s="675"/>
      <c r="K124" s="64"/>
      <c r="L124" s="202"/>
      <c r="M124" s="203"/>
    </row>
    <row r="125" spans="2:13" ht="18" customHeight="1">
      <c r="B125" s="201"/>
      <c r="C125" s="65"/>
      <c r="D125" s="670" t="s">
        <v>220</v>
      </c>
      <c r="E125" s="671"/>
      <c r="F125" s="684">
        <f>+'2-Pto Ventas'!F87</f>
        <v>3</v>
      </c>
      <c r="G125" s="685"/>
      <c r="H125" s="236">
        <f t="shared" si="13"/>
        <v>20.833333333333332</v>
      </c>
      <c r="I125" s="674">
        <f t="shared" si="14"/>
        <v>0</v>
      </c>
      <c r="J125" s="675"/>
      <c r="K125" s="64"/>
      <c r="L125" s="202"/>
      <c r="M125" s="203"/>
    </row>
    <row r="126" spans="2:13" ht="18" customHeight="1">
      <c r="B126" s="201"/>
      <c r="C126" s="65"/>
      <c r="D126" s="670" t="s">
        <v>221</v>
      </c>
      <c r="E126" s="671"/>
      <c r="F126" s="684">
        <f>+'2-Pto Ventas'!F88</f>
        <v>5</v>
      </c>
      <c r="G126" s="685"/>
      <c r="H126" s="236">
        <f t="shared" si="13"/>
        <v>34.722222222222221</v>
      </c>
      <c r="I126" s="674">
        <f t="shared" si="14"/>
        <v>0</v>
      </c>
      <c r="J126" s="675"/>
      <c r="K126" s="64"/>
      <c r="L126" s="202"/>
      <c r="M126" s="203"/>
    </row>
    <row r="127" spans="2:13" ht="18" customHeight="1">
      <c r="B127" s="201"/>
      <c r="C127" s="65"/>
      <c r="D127" s="670" t="s">
        <v>222</v>
      </c>
      <c r="E127" s="671"/>
      <c r="F127" s="684">
        <f>+'2-Pto Ventas'!F89</f>
        <v>5</v>
      </c>
      <c r="G127" s="685"/>
      <c r="H127" s="236">
        <f t="shared" si="13"/>
        <v>34.722222222222221</v>
      </c>
      <c r="I127" s="674">
        <f t="shared" si="14"/>
        <v>0</v>
      </c>
      <c r="J127" s="675"/>
      <c r="K127" s="64"/>
      <c r="L127" s="202"/>
      <c r="M127" s="203"/>
    </row>
    <row r="128" spans="2:13" ht="18" customHeight="1">
      <c r="B128" s="201"/>
      <c r="C128" s="65"/>
      <c r="D128" s="670" t="s">
        <v>223</v>
      </c>
      <c r="E128" s="671"/>
      <c r="F128" s="684">
        <f>+'2-Pto Ventas'!F90</f>
        <v>5</v>
      </c>
      <c r="G128" s="685"/>
      <c r="H128" s="236">
        <f t="shared" si="13"/>
        <v>34.722222222222221</v>
      </c>
      <c r="I128" s="674">
        <f t="shared" si="14"/>
        <v>0</v>
      </c>
      <c r="J128" s="675"/>
      <c r="K128" s="64"/>
      <c r="L128" s="202"/>
      <c r="M128" s="203"/>
    </row>
    <row r="129" spans="2:13" ht="18" customHeight="1">
      <c r="B129" s="201"/>
      <c r="C129" s="65"/>
      <c r="D129" s="670" t="s">
        <v>224</v>
      </c>
      <c r="E129" s="671"/>
      <c r="F129" s="684">
        <f>+'2-Pto Ventas'!F91</f>
        <v>7</v>
      </c>
      <c r="G129" s="685"/>
      <c r="H129" s="236">
        <f t="shared" si="13"/>
        <v>48.611111111111107</v>
      </c>
      <c r="I129" s="674">
        <f t="shared" si="14"/>
        <v>0</v>
      </c>
      <c r="J129" s="675"/>
      <c r="K129" s="64"/>
      <c r="L129" s="202"/>
      <c r="M129" s="203"/>
    </row>
    <row r="130" spans="2:13" ht="18" customHeight="1">
      <c r="B130" s="201"/>
      <c r="C130" s="65"/>
      <c r="D130" s="670" t="s">
        <v>225</v>
      </c>
      <c r="E130" s="671"/>
      <c r="F130" s="684">
        <f>+'2-Pto Ventas'!F92</f>
        <v>7</v>
      </c>
      <c r="G130" s="685"/>
      <c r="H130" s="236">
        <f t="shared" si="13"/>
        <v>48.611111111111107</v>
      </c>
      <c r="I130" s="674">
        <f t="shared" si="14"/>
        <v>0</v>
      </c>
      <c r="J130" s="675"/>
      <c r="K130" s="64"/>
      <c r="L130" s="202"/>
      <c r="M130" s="203"/>
    </row>
    <row r="131" spans="2:13" ht="18" customHeight="1">
      <c r="B131" s="201"/>
      <c r="C131" s="65"/>
      <c r="D131" s="670" t="s">
        <v>226</v>
      </c>
      <c r="E131" s="671"/>
      <c r="F131" s="684">
        <f>+'2-Pto Ventas'!F93</f>
        <v>7</v>
      </c>
      <c r="G131" s="685"/>
      <c r="H131" s="236">
        <f t="shared" si="13"/>
        <v>48.611111111111107</v>
      </c>
      <c r="I131" s="674">
        <f t="shared" si="14"/>
        <v>0</v>
      </c>
      <c r="J131" s="675"/>
      <c r="K131" s="64"/>
      <c r="L131" s="202"/>
      <c r="M131" s="203"/>
    </row>
    <row r="132" spans="2:13" ht="18" customHeight="1" thickBot="1">
      <c r="B132" s="201"/>
      <c r="C132" s="65"/>
      <c r="D132" s="668" t="s">
        <v>12</v>
      </c>
      <c r="E132" s="669"/>
      <c r="F132" s="669">
        <f>SUM(F120:G131)</f>
        <v>54</v>
      </c>
      <c r="G132" s="686"/>
      <c r="H132" s="214">
        <f>SUM(H120:H131)</f>
        <v>374.99999999999994</v>
      </c>
      <c r="I132" s="680">
        <f>SUM(I120:I131)</f>
        <v>0</v>
      </c>
      <c r="J132" s="681"/>
      <c r="K132" s="64"/>
      <c r="L132" s="202"/>
      <c r="M132" s="203"/>
    </row>
    <row r="133" spans="2:13" ht="15" customHeight="1">
      <c r="B133" s="201"/>
      <c r="C133" s="65"/>
      <c r="D133" s="65"/>
      <c r="E133" s="65"/>
      <c r="F133" s="65"/>
      <c r="G133" s="64"/>
      <c r="H133" s="65"/>
      <c r="I133" s="65"/>
      <c r="J133" s="65"/>
      <c r="K133" s="65"/>
      <c r="L133" s="202"/>
      <c r="M133" s="203"/>
    </row>
    <row r="134" spans="2:13" ht="15" customHeight="1" thickBot="1">
      <c r="B134" s="219"/>
      <c r="C134" s="220"/>
      <c r="D134" s="220"/>
      <c r="E134" s="220"/>
      <c r="F134" s="220"/>
      <c r="G134" s="241"/>
      <c r="H134" s="220"/>
      <c r="I134" s="220"/>
      <c r="J134" s="220"/>
      <c r="K134" s="220"/>
      <c r="L134" s="221"/>
      <c r="M134" s="203"/>
    </row>
    <row r="135" spans="2:13" ht="15" customHeight="1" thickTop="1" thickBot="1">
      <c r="B135" s="219"/>
      <c r="C135" s="220"/>
      <c r="D135" s="220"/>
      <c r="E135" s="220"/>
      <c r="F135" s="220"/>
      <c r="G135" s="241"/>
      <c r="H135" s="220"/>
      <c r="I135" s="220"/>
      <c r="J135" s="220"/>
      <c r="K135" s="220"/>
      <c r="L135" s="221"/>
      <c r="M135" s="203"/>
    </row>
    <row r="136" spans="2:13" ht="13.5" thickTop="1">
      <c r="L136" s="65"/>
      <c r="M136" s="65"/>
    </row>
  </sheetData>
  <sheetProtection sheet="1" objects="1" scenarios="1" selectLockedCells="1"/>
  <mergeCells count="129">
    <mergeCell ref="I94:J94"/>
    <mergeCell ref="I95:J95"/>
    <mergeCell ref="C5:F5"/>
    <mergeCell ref="C7:F7"/>
    <mergeCell ref="I89:J89"/>
    <mergeCell ref="I90:J90"/>
    <mergeCell ref="I91:J91"/>
    <mergeCell ref="I92:J92"/>
    <mergeCell ref="I93:J93"/>
    <mergeCell ref="C63:F63"/>
    <mergeCell ref="I63:L63"/>
    <mergeCell ref="I43:L43"/>
    <mergeCell ref="C43:F43"/>
    <mergeCell ref="L66:L67"/>
    <mergeCell ref="B85:L85"/>
    <mergeCell ref="C87:F88"/>
    <mergeCell ref="H87:H88"/>
    <mergeCell ref="G87:G88"/>
    <mergeCell ref="I87:J88"/>
    <mergeCell ref="C94:F94"/>
    <mergeCell ref="C95:F95"/>
    <mergeCell ref="I132:J132"/>
    <mergeCell ref="D118:G119"/>
    <mergeCell ref="F120:G120"/>
    <mergeCell ref="F121:G121"/>
    <mergeCell ref="F122:G122"/>
    <mergeCell ref="F123:G123"/>
    <mergeCell ref="F124:G124"/>
    <mergeCell ref="F125:G125"/>
    <mergeCell ref="F126:G126"/>
    <mergeCell ref="F127:G127"/>
    <mergeCell ref="F128:G128"/>
    <mergeCell ref="F129:G129"/>
    <mergeCell ref="F130:G130"/>
    <mergeCell ref="F131:G131"/>
    <mergeCell ref="F132:G132"/>
    <mergeCell ref="I127:J127"/>
    <mergeCell ref="I128:J128"/>
    <mergeCell ref="I129:J129"/>
    <mergeCell ref="I130:J130"/>
    <mergeCell ref="I131:J131"/>
    <mergeCell ref="I122:J122"/>
    <mergeCell ref="I123:J123"/>
    <mergeCell ref="I124:J124"/>
    <mergeCell ref="I125:J125"/>
    <mergeCell ref="I126:J126"/>
    <mergeCell ref="H118:H119"/>
    <mergeCell ref="I118:J119"/>
    <mergeCell ref="I120:J120"/>
    <mergeCell ref="I121:J121"/>
    <mergeCell ref="D128:E128"/>
    <mergeCell ref="D129:E129"/>
    <mergeCell ref="D130:E130"/>
    <mergeCell ref="D131:E131"/>
    <mergeCell ref="D132:E132"/>
    <mergeCell ref="D123:E123"/>
    <mergeCell ref="D124:E124"/>
    <mergeCell ref="D125:E125"/>
    <mergeCell ref="D126:E126"/>
    <mergeCell ref="D127:E127"/>
    <mergeCell ref="F116:G116"/>
    <mergeCell ref="D120:E120"/>
    <mergeCell ref="D121:E121"/>
    <mergeCell ref="D122:E122"/>
    <mergeCell ref="F111:G112"/>
    <mergeCell ref="H111:H112"/>
    <mergeCell ref="F113:G113"/>
    <mergeCell ref="F114:G114"/>
    <mergeCell ref="F115:G115"/>
    <mergeCell ref="B3:L3"/>
    <mergeCell ref="B9:L9"/>
    <mergeCell ref="B21:L21"/>
    <mergeCell ref="B26:B27"/>
    <mergeCell ref="C26:C27"/>
    <mergeCell ref="D26:D27"/>
    <mergeCell ref="E26:E27"/>
    <mergeCell ref="C24:E24"/>
    <mergeCell ref="C23:F23"/>
    <mergeCell ref="I23:L23"/>
    <mergeCell ref="I24:K24"/>
    <mergeCell ref="F26:F27"/>
    <mergeCell ref="H26:H27"/>
    <mergeCell ref="G5:K5"/>
    <mergeCell ref="G7:K7"/>
    <mergeCell ref="C44:E44"/>
    <mergeCell ref="I44:K44"/>
    <mergeCell ref="C64:E64"/>
    <mergeCell ref="I64:K64"/>
    <mergeCell ref="B109:L109"/>
    <mergeCell ref="I26:I27"/>
    <mergeCell ref="J26:J27"/>
    <mergeCell ref="K26:K27"/>
    <mergeCell ref="L26:L27"/>
    <mergeCell ref="H46:H47"/>
    <mergeCell ref="I46:I47"/>
    <mergeCell ref="J46:J47"/>
    <mergeCell ref="K46:K47"/>
    <mergeCell ref="L46:L47"/>
    <mergeCell ref="B46:B47"/>
    <mergeCell ref="C46:C47"/>
    <mergeCell ref="D46:D47"/>
    <mergeCell ref="E46:E47"/>
    <mergeCell ref="F46:F47"/>
    <mergeCell ref="B66:B67"/>
    <mergeCell ref="C66:C67"/>
    <mergeCell ref="D66:D67"/>
    <mergeCell ref="E66:E67"/>
    <mergeCell ref="F66:F67"/>
    <mergeCell ref="H66:H67"/>
    <mergeCell ref="I66:I67"/>
    <mergeCell ref="J66:J67"/>
    <mergeCell ref="K66:K67"/>
    <mergeCell ref="F99:G100"/>
    <mergeCell ref="C89:F89"/>
    <mergeCell ref="C90:F90"/>
    <mergeCell ref="C91:F91"/>
    <mergeCell ref="C92:F92"/>
    <mergeCell ref="C93:F93"/>
    <mergeCell ref="D97:H97"/>
    <mergeCell ref="F104:G104"/>
    <mergeCell ref="D103:E103"/>
    <mergeCell ref="D101:E101"/>
    <mergeCell ref="D102:E102"/>
    <mergeCell ref="D104:E104"/>
    <mergeCell ref="H99:H100"/>
    <mergeCell ref="D99:E100"/>
    <mergeCell ref="F101:G101"/>
    <mergeCell ref="F102:G102"/>
    <mergeCell ref="F103:G103"/>
  </mergeCells>
  <phoneticPr fontId="0" type="noConversion"/>
  <pageMargins left="1.28" right="0.75" top="0.76" bottom="1" header="0" footer="0"/>
  <pageSetup scale="53" orientation="landscape" verticalDpi="300" r:id="rId1"/>
  <headerFooter alignWithMargins="0"/>
  <rowBreaks count="1" manualBreakCount="1">
    <brk id="18" max="16383" man="1"/>
  </rowBreak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0000000}">
          <x14:formula1>
            <xm:f>Validaciones!$A$6:$A$18</xm:f>
          </x14:formula1>
          <xm:sqref>C28:C31 I28:I31 C34:C38 I34:I38 C48:C51 I48:I51 C68:C71 I68:I71 C54:C58 I54:I58 C74:C78 I74:I78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4">
    <pageSetUpPr autoPageBreaks="0"/>
  </sheetPr>
  <dimension ref="A1:M80"/>
  <sheetViews>
    <sheetView showGridLines="0" showRowColHeaders="0" showZeros="0" tabSelected="1" showOutlineSymbols="0" zoomScaleNormal="100" workbookViewId="0">
      <selection activeCell="C64" sqref="C64"/>
    </sheetView>
  </sheetViews>
  <sheetFormatPr baseColWidth="10" defaultColWidth="0" defaultRowHeight="12.75" zeroHeight="1"/>
  <cols>
    <col min="1" max="1" width="2.42578125" style="56" customWidth="1"/>
    <col min="2" max="2" width="24.7109375" style="56" customWidth="1"/>
    <col min="3" max="3" width="14.85546875" style="56" customWidth="1"/>
    <col min="4" max="4" width="14.7109375" style="56" customWidth="1"/>
    <col min="5" max="5" width="24.7109375" style="56" customWidth="1"/>
    <col min="6" max="7" width="13" style="56" customWidth="1"/>
    <col min="8" max="8" width="24.7109375" style="56" customWidth="1"/>
    <col min="9" max="9" width="14.140625" style="56" customWidth="1"/>
    <col min="10" max="10" width="13.140625" style="65" customWidth="1"/>
    <col min="11" max="11" width="0.140625" style="65" customWidth="1"/>
    <col min="12" max="12" width="2.42578125" style="56" customWidth="1"/>
    <col min="13" max="13" width="11.42578125" style="65" customWidth="1"/>
    <col min="14" max="16384" width="11.42578125" style="56" hidden="1"/>
  </cols>
  <sheetData>
    <row r="1" spans="1:13" s="63" customFormat="1" ht="13.5" thickBot="1">
      <c r="A1" s="246"/>
      <c r="B1" s="56"/>
      <c r="C1" s="56"/>
      <c r="D1" s="56"/>
      <c r="E1" s="56"/>
      <c r="F1" s="56"/>
      <c r="H1" s="56"/>
      <c r="I1" s="56"/>
      <c r="J1" s="56"/>
      <c r="K1" s="56"/>
      <c r="L1" s="56"/>
      <c r="M1" s="64"/>
    </row>
    <row r="2" spans="1:13" s="63" customFormat="1" ht="7.5" customHeight="1" thickTop="1">
      <c r="A2" s="56"/>
      <c r="B2" s="37"/>
      <c r="C2" s="38"/>
      <c r="D2" s="233"/>
      <c r="E2" s="233"/>
      <c r="F2" s="233"/>
      <c r="G2" s="233"/>
      <c r="H2" s="233"/>
      <c r="I2" s="233"/>
      <c r="J2" s="233"/>
      <c r="K2" s="234"/>
      <c r="L2" s="56"/>
      <c r="M2" s="64"/>
    </row>
    <row r="3" spans="1:13" s="63" customFormat="1" ht="20.25">
      <c r="A3" s="56"/>
      <c r="B3" s="618" t="s">
        <v>2631</v>
      </c>
      <c r="C3" s="619"/>
      <c r="D3" s="619"/>
      <c r="E3" s="619"/>
      <c r="F3" s="619"/>
      <c r="G3" s="619"/>
      <c r="H3" s="619"/>
      <c r="I3" s="619"/>
      <c r="J3" s="619"/>
      <c r="K3" s="620"/>
      <c r="L3" s="56"/>
      <c r="M3" s="64"/>
    </row>
    <row r="4" spans="1:13" s="63" customFormat="1" ht="13.5" thickBot="1">
      <c r="A4" s="56"/>
      <c r="B4" s="201"/>
      <c r="C4" s="65"/>
      <c r="D4" s="65"/>
      <c r="E4" s="65"/>
      <c r="F4" s="65"/>
      <c r="G4" s="65"/>
      <c r="H4" s="65"/>
      <c r="I4" s="65"/>
      <c r="J4" s="65"/>
      <c r="K4" s="274"/>
      <c r="L4" s="56"/>
      <c r="M4" s="64"/>
    </row>
    <row r="5" spans="1:13" s="63" customFormat="1" ht="14.25" thickTop="1" thickBot="1">
      <c r="B5" s="210"/>
      <c r="C5" s="691" t="s">
        <v>2579</v>
      </c>
      <c r="D5" s="691"/>
      <c r="E5" s="691"/>
      <c r="F5" s="280"/>
      <c r="G5" s="621" t="str">
        <f>+'1-Datos Generales'!$H$5</f>
        <v>SEGI</v>
      </c>
      <c r="H5" s="622"/>
      <c r="I5" s="622"/>
      <c r="J5" s="623"/>
      <c r="K5" s="275"/>
      <c r="M5" s="64"/>
    </row>
    <row r="6" spans="1:13" ht="4.5" customHeight="1" thickTop="1" thickBot="1">
      <c r="B6" s="201" t="s">
        <v>212</v>
      </c>
      <c r="C6" s="65"/>
      <c r="D6" s="65" t="s">
        <v>7</v>
      </c>
      <c r="E6" s="196"/>
      <c r="F6" s="196"/>
      <c r="G6" s="196"/>
      <c r="H6" s="65"/>
      <c r="I6" s="65"/>
      <c r="K6" s="202"/>
      <c r="L6" s="65"/>
    </row>
    <row r="7" spans="1:13" s="63" customFormat="1" ht="14.25" thickTop="1" thickBot="1">
      <c r="B7" s="210"/>
      <c r="C7" s="691" t="s">
        <v>2576</v>
      </c>
      <c r="D7" s="691"/>
      <c r="E7" s="691"/>
      <c r="F7" s="280"/>
      <c r="G7" s="621">
        <f>+'1-Datos Generales'!$D$11</f>
        <v>0</v>
      </c>
      <c r="H7" s="622"/>
      <c r="I7" s="622"/>
      <c r="J7" s="623"/>
      <c r="K7" s="202"/>
      <c r="M7" s="64"/>
    </row>
    <row r="8" spans="1:13" ht="4.5" customHeight="1" thickTop="1" thickBot="1">
      <c r="B8" s="201" t="s">
        <v>212</v>
      </c>
      <c r="C8" s="65"/>
      <c r="D8" s="65" t="s">
        <v>7</v>
      </c>
      <c r="E8" s="196"/>
      <c r="F8" s="196"/>
      <c r="G8" s="196"/>
      <c r="H8" s="65"/>
      <c r="I8" s="65"/>
      <c r="K8" s="276"/>
      <c r="L8" s="65"/>
    </row>
    <row r="9" spans="1:13" ht="25.5" customHeight="1" thickBot="1">
      <c r="B9" s="575" t="s">
        <v>2591</v>
      </c>
      <c r="C9" s="576"/>
      <c r="D9" s="576"/>
      <c r="E9" s="576"/>
      <c r="F9" s="576"/>
      <c r="G9" s="576"/>
      <c r="H9" s="576"/>
      <c r="I9" s="576"/>
      <c r="J9" s="576"/>
      <c r="K9" s="577"/>
      <c r="L9" s="65"/>
    </row>
    <row r="10" spans="1:13" s="63" customFormat="1" ht="16.5" customHeight="1">
      <c r="B10" s="257"/>
      <c r="C10" s="64"/>
      <c r="D10" s="64"/>
      <c r="E10" s="64"/>
      <c r="F10" s="64"/>
      <c r="G10" s="64"/>
      <c r="H10" s="64"/>
      <c r="I10" s="64"/>
      <c r="J10" s="64"/>
      <c r="K10" s="258"/>
      <c r="M10" s="64"/>
    </row>
    <row r="11" spans="1:13" s="63" customFormat="1">
      <c r="B11" s="216"/>
      <c r="J11" s="64"/>
      <c r="K11" s="208"/>
      <c r="M11" s="64"/>
    </row>
    <row r="12" spans="1:13" s="63" customFormat="1" ht="25.5" customHeight="1">
      <c r="B12" s="216"/>
      <c r="J12" s="64"/>
      <c r="K12" s="208"/>
      <c r="M12" s="64"/>
    </row>
    <row r="13" spans="1:13" s="63" customFormat="1" ht="13.5" customHeight="1">
      <c r="B13" s="216"/>
      <c r="J13" s="64"/>
      <c r="K13" s="208"/>
      <c r="M13" s="64"/>
    </row>
    <row r="14" spans="1:13" s="63" customFormat="1">
      <c r="B14" s="216"/>
      <c r="J14" s="64"/>
      <c r="K14" s="208"/>
      <c r="M14" s="64"/>
    </row>
    <row r="15" spans="1:13" s="63" customFormat="1">
      <c r="B15" s="216"/>
      <c r="J15" s="64"/>
      <c r="K15" s="208"/>
      <c r="M15" s="64"/>
    </row>
    <row r="16" spans="1:13" s="63" customFormat="1">
      <c r="B16" s="216"/>
      <c r="J16" s="64"/>
      <c r="K16" s="208"/>
      <c r="M16" s="64"/>
    </row>
    <row r="17" spans="1:13" s="63" customFormat="1">
      <c r="B17" s="216"/>
      <c r="C17" s="64"/>
      <c r="D17" s="64"/>
      <c r="E17" s="64"/>
      <c r="F17" s="64"/>
      <c r="G17" s="64"/>
      <c r="H17" s="64"/>
      <c r="I17" s="64"/>
      <c r="J17" s="64"/>
      <c r="K17" s="208"/>
      <c r="M17" s="64"/>
    </row>
    <row r="18" spans="1:13" s="63" customFormat="1" ht="19.5" customHeight="1" thickBot="1">
      <c r="B18" s="210"/>
      <c r="C18" s="64"/>
      <c r="D18" s="64"/>
      <c r="E18" s="64"/>
      <c r="F18" s="64"/>
      <c r="G18" s="64"/>
      <c r="H18" s="64"/>
      <c r="I18" s="64"/>
      <c r="J18" s="64"/>
      <c r="K18" s="208"/>
    </row>
    <row r="19" spans="1:13" s="63" customFormat="1" ht="25.5" customHeight="1" thickBot="1">
      <c r="B19" s="575" t="s">
        <v>2630</v>
      </c>
      <c r="C19" s="576"/>
      <c r="D19" s="576"/>
      <c r="E19" s="576"/>
      <c r="F19" s="576"/>
      <c r="G19" s="576"/>
      <c r="H19" s="576"/>
      <c r="I19" s="576"/>
      <c r="J19" s="576"/>
      <c r="K19" s="577"/>
    </row>
    <row r="20" spans="1:13" s="63" customFormat="1" ht="15" customHeight="1">
      <c r="B20" s="216"/>
      <c r="C20" s="64"/>
      <c r="D20" s="64"/>
      <c r="E20" s="64"/>
      <c r="F20" s="253"/>
      <c r="G20" s="64"/>
      <c r="H20" s="64"/>
      <c r="I20" s="64"/>
      <c r="J20" s="64"/>
      <c r="K20" s="208"/>
    </row>
    <row r="21" spans="1:13" s="65" customFormat="1" ht="24" customHeight="1">
      <c r="A21" s="56"/>
      <c r="B21" s="699" t="s">
        <v>2639</v>
      </c>
      <c r="C21" s="699"/>
      <c r="D21" s="699"/>
      <c r="E21" s="699" t="s">
        <v>2640</v>
      </c>
      <c r="F21" s="699"/>
      <c r="G21" s="699"/>
      <c r="H21" s="699" t="s">
        <v>2641</v>
      </c>
      <c r="I21" s="699"/>
      <c r="J21" s="699"/>
      <c r="K21" s="202"/>
      <c r="L21" s="56"/>
    </row>
    <row r="22" spans="1:13" s="65" customFormat="1" ht="30" customHeight="1">
      <c r="B22" s="262" t="s">
        <v>2632</v>
      </c>
      <c r="C22" s="252" t="s">
        <v>2642</v>
      </c>
      <c r="D22" s="252" t="s">
        <v>2643</v>
      </c>
      <c r="E22" s="262" t="s">
        <v>2632</v>
      </c>
      <c r="F22" s="254" t="s">
        <v>2642</v>
      </c>
      <c r="G22" s="254" t="s">
        <v>2643</v>
      </c>
      <c r="H22" s="262" t="s">
        <v>2632</v>
      </c>
      <c r="I22" s="254" t="s">
        <v>2642</v>
      </c>
      <c r="J22" s="254" t="s">
        <v>2643</v>
      </c>
      <c r="K22" s="202"/>
    </row>
    <row r="23" spans="1:13" s="65" customFormat="1" ht="18" customHeight="1">
      <c r="B23" s="263" t="s">
        <v>2818</v>
      </c>
      <c r="C23" s="552">
        <v>908526</v>
      </c>
      <c r="D23" s="232">
        <f>+C23*12</f>
        <v>10902312</v>
      </c>
      <c r="E23" s="263"/>
      <c r="F23" s="264"/>
      <c r="G23" s="232">
        <f>+F23*12</f>
        <v>0</v>
      </c>
      <c r="H23" s="263"/>
      <c r="I23" s="264"/>
      <c r="J23" s="232">
        <f>+I23*12</f>
        <v>0</v>
      </c>
      <c r="K23" s="202"/>
    </row>
    <row r="24" spans="1:13" s="65" customFormat="1" ht="18" customHeight="1">
      <c r="B24" s="263" t="s">
        <v>2818</v>
      </c>
      <c r="C24" s="552">
        <v>908526</v>
      </c>
      <c r="D24" s="232">
        <f>+C24*12</f>
        <v>10902312</v>
      </c>
      <c r="E24" s="265"/>
      <c r="F24" s="264"/>
      <c r="G24" s="232">
        <f t="shared" ref="G24:G32" si="0">+F24*12</f>
        <v>0</v>
      </c>
      <c r="H24" s="263"/>
      <c r="I24" s="264">
        <v>0</v>
      </c>
      <c r="J24" s="232">
        <f t="shared" ref="J24:J32" si="1">+I24*12</f>
        <v>0</v>
      </c>
      <c r="K24" s="202"/>
    </row>
    <row r="25" spans="1:13" s="65" customFormat="1" ht="18" customHeight="1">
      <c r="B25" s="263" t="s">
        <v>2818</v>
      </c>
      <c r="C25" s="552">
        <v>908526</v>
      </c>
      <c r="D25" s="232">
        <f t="shared" ref="D25:D32" si="2">+C25*12</f>
        <v>10902312</v>
      </c>
      <c r="E25" s="265"/>
      <c r="F25" s="264"/>
      <c r="G25" s="232">
        <f t="shared" si="0"/>
        <v>0</v>
      </c>
      <c r="H25" s="263"/>
      <c r="I25" s="264"/>
      <c r="J25" s="232">
        <f t="shared" si="1"/>
        <v>0</v>
      </c>
      <c r="K25" s="202"/>
    </row>
    <row r="26" spans="1:13" s="65" customFormat="1" ht="18" customHeight="1">
      <c r="B26" s="263"/>
      <c r="C26" s="264"/>
      <c r="D26" s="232">
        <f t="shared" si="2"/>
        <v>0</v>
      </c>
      <c r="E26" s="265"/>
      <c r="F26" s="264"/>
      <c r="G26" s="232">
        <f t="shared" si="0"/>
        <v>0</v>
      </c>
      <c r="H26" s="263"/>
      <c r="I26" s="264"/>
      <c r="J26" s="232">
        <f t="shared" si="1"/>
        <v>0</v>
      </c>
      <c r="K26" s="202"/>
    </row>
    <row r="27" spans="1:13" s="65" customFormat="1" ht="18" customHeight="1">
      <c r="B27" s="263"/>
      <c r="C27" s="264"/>
      <c r="D27" s="232">
        <f t="shared" si="2"/>
        <v>0</v>
      </c>
      <c r="E27" s="265"/>
      <c r="F27" s="264"/>
      <c r="G27" s="232">
        <f t="shared" si="0"/>
        <v>0</v>
      </c>
      <c r="H27" s="263"/>
      <c r="I27" s="264"/>
      <c r="J27" s="232">
        <f t="shared" si="1"/>
        <v>0</v>
      </c>
      <c r="K27" s="202"/>
    </row>
    <row r="28" spans="1:13" s="65" customFormat="1" ht="18" customHeight="1">
      <c r="B28" s="263"/>
      <c r="C28" s="264"/>
      <c r="D28" s="232">
        <f t="shared" si="2"/>
        <v>0</v>
      </c>
      <c r="E28" s="265"/>
      <c r="F28" s="264"/>
      <c r="G28" s="232">
        <f t="shared" si="0"/>
        <v>0</v>
      </c>
      <c r="H28" s="263"/>
      <c r="I28" s="264"/>
      <c r="J28" s="232">
        <f t="shared" si="1"/>
        <v>0</v>
      </c>
      <c r="K28" s="202"/>
    </row>
    <row r="29" spans="1:13" s="65" customFormat="1" ht="18" customHeight="1">
      <c r="B29" s="263"/>
      <c r="C29" s="264"/>
      <c r="D29" s="232">
        <f t="shared" si="2"/>
        <v>0</v>
      </c>
      <c r="E29" s="265"/>
      <c r="F29" s="264"/>
      <c r="G29" s="232">
        <f t="shared" si="0"/>
        <v>0</v>
      </c>
      <c r="H29" s="263"/>
      <c r="I29" s="264"/>
      <c r="J29" s="232">
        <f t="shared" si="1"/>
        <v>0</v>
      </c>
      <c r="K29" s="202"/>
    </row>
    <row r="30" spans="1:13" s="65" customFormat="1" ht="18" customHeight="1">
      <c r="B30" s="263"/>
      <c r="C30" s="264"/>
      <c r="D30" s="232">
        <f t="shared" si="2"/>
        <v>0</v>
      </c>
      <c r="E30" s="265"/>
      <c r="F30" s="264"/>
      <c r="G30" s="232">
        <f t="shared" si="0"/>
        <v>0</v>
      </c>
      <c r="H30" s="263"/>
      <c r="I30" s="264"/>
      <c r="J30" s="232">
        <f t="shared" si="1"/>
        <v>0</v>
      </c>
      <c r="K30" s="202"/>
    </row>
    <row r="31" spans="1:13" s="65" customFormat="1" ht="18" customHeight="1">
      <c r="B31" s="263"/>
      <c r="C31" s="264"/>
      <c r="D31" s="232">
        <f t="shared" si="2"/>
        <v>0</v>
      </c>
      <c r="E31" s="265"/>
      <c r="F31" s="264"/>
      <c r="G31" s="232">
        <f t="shared" si="0"/>
        <v>0</v>
      </c>
      <c r="H31" s="263"/>
      <c r="I31" s="264"/>
      <c r="J31" s="232">
        <f t="shared" si="1"/>
        <v>0</v>
      </c>
      <c r="K31" s="202"/>
    </row>
    <row r="32" spans="1:13" s="65" customFormat="1" ht="18" customHeight="1">
      <c r="B32" s="263"/>
      <c r="C32" s="264"/>
      <c r="D32" s="232">
        <f t="shared" si="2"/>
        <v>0</v>
      </c>
      <c r="E32" s="265"/>
      <c r="F32" s="264"/>
      <c r="G32" s="232">
        <f t="shared" si="0"/>
        <v>0</v>
      </c>
      <c r="H32" s="263"/>
      <c r="I32" s="264"/>
      <c r="J32" s="232">
        <f t="shared" si="1"/>
        <v>0</v>
      </c>
      <c r="K32" s="202"/>
    </row>
    <row r="33" spans="2:11" s="65" customFormat="1" ht="24" customHeight="1">
      <c r="B33" s="268" t="s">
        <v>29</v>
      </c>
      <c r="C33" s="266">
        <f>SUM(C23:C32)</f>
        <v>2725578</v>
      </c>
      <c r="D33" s="266">
        <f>SUM(D23:D32)</f>
        <v>32706936</v>
      </c>
      <c r="E33" s="268" t="s">
        <v>29</v>
      </c>
      <c r="F33" s="266">
        <f>SUM(F23:F32)</f>
        <v>0</v>
      </c>
      <c r="G33" s="266">
        <f>SUM(G23:G32)</f>
        <v>0</v>
      </c>
      <c r="H33" s="268" t="s">
        <v>29</v>
      </c>
      <c r="I33" s="266">
        <f>SUM(I23:I32)</f>
        <v>0</v>
      </c>
      <c r="J33" s="266">
        <f>SUM(J23:J32)</f>
        <v>0</v>
      </c>
      <c r="K33" s="202"/>
    </row>
    <row r="34" spans="2:11" s="65" customFormat="1" ht="18" customHeight="1">
      <c r="B34" s="137" t="s">
        <v>64</v>
      </c>
      <c r="C34" s="232">
        <f>+$C$33*D44</f>
        <v>109023.12</v>
      </c>
      <c r="D34" s="232">
        <f>+C34*12</f>
        <v>1308277.44</v>
      </c>
      <c r="E34" s="137" t="s">
        <v>64</v>
      </c>
      <c r="F34" s="232">
        <f>+$F$33*D44</f>
        <v>0</v>
      </c>
      <c r="G34" s="232">
        <f t="shared" ref="G34:G39" si="3">+F34*12</f>
        <v>0</v>
      </c>
      <c r="H34" s="137" t="s">
        <v>64</v>
      </c>
      <c r="I34" s="232">
        <f>+$I$33*D44</f>
        <v>0</v>
      </c>
      <c r="J34" s="232">
        <f t="shared" ref="J34:J39" si="4">+I34*12</f>
        <v>0</v>
      </c>
      <c r="K34" s="202"/>
    </row>
    <row r="35" spans="2:11" s="65" customFormat="1" ht="18" customHeight="1">
      <c r="B35" s="137" t="s">
        <v>257</v>
      </c>
      <c r="C35" s="232">
        <f t="shared" ref="C35:C39" si="5">+$C$33*D45</f>
        <v>558743.49</v>
      </c>
      <c r="D35" s="232">
        <f t="shared" ref="D35:D39" si="6">+C35*12</f>
        <v>6704921.8799999999</v>
      </c>
      <c r="E35" s="137" t="s">
        <v>257</v>
      </c>
      <c r="F35" s="232">
        <f t="shared" ref="F35:F39" si="7">+$F$33*D45</f>
        <v>0</v>
      </c>
      <c r="G35" s="232">
        <f t="shared" si="3"/>
        <v>0</v>
      </c>
      <c r="H35" s="137" t="s">
        <v>257</v>
      </c>
      <c r="I35" s="232">
        <f t="shared" ref="I35:I39" si="8">+$I$33*D45</f>
        <v>0</v>
      </c>
      <c r="J35" s="232">
        <f t="shared" si="4"/>
        <v>0</v>
      </c>
      <c r="K35" s="202"/>
    </row>
    <row r="36" spans="2:11" s="65" customFormat="1" ht="18" customHeight="1">
      <c r="B36" s="137" t="s">
        <v>65</v>
      </c>
      <c r="C36" s="232">
        <f t="shared" si="5"/>
        <v>227040.64739999999</v>
      </c>
      <c r="D36" s="232">
        <f t="shared" si="6"/>
        <v>2724487.7687999997</v>
      </c>
      <c r="E36" s="137" t="s">
        <v>65</v>
      </c>
      <c r="F36" s="232">
        <f t="shared" si="7"/>
        <v>0</v>
      </c>
      <c r="G36" s="232">
        <f t="shared" si="3"/>
        <v>0</v>
      </c>
      <c r="H36" s="137" t="s">
        <v>65</v>
      </c>
      <c r="I36" s="232">
        <f t="shared" si="8"/>
        <v>0</v>
      </c>
      <c r="J36" s="232">
        <f t="shared" si="4"/>
        <v>0</v>
      </c>
      <c r="K36" s="202"/>
    </row>
    <row r="37" spans="2:11" s="65" customFormat="1" ht="18" customHeight="1">
      <c r="B37" s="137" t="s">
        <v>67</v>
      </c>
      <c r="C37" s="232">
        <f>+$C$36*D47</f>
        <v>272.44877687999997</v>
      </c>
      <c r="D37" s="232">
        <f t="shared" si="6"/>
        <v>3269.3853225599996</v>
      </c>
      <c r="E37" s="137" t="s">
        <v>67</v>
      </c>
      <c r="F37" s="232">
        <f>+$F$36*D47</f>
        <v>0</v>
      </c>
      <c r="G37" s="232">
        <f t="shared" si="3"/>
        <v>0</v>
      </c>
      <c r="H37" s="137" t="s">
        <v>67</v>
      </c>
      <c r="I37" s="232">
        <f>+$I$36*D47</f>
        <v>0</v>
      </c>
      <c r="J37" s="232">
        <f t="shared" si="4"/>
        <v>0</v>
      </c>
      <c r="K37" s="202"/>
    </row>
    <row r="38" spans="2:11" s="65" customFormat="1" ht="18" customHeight="1">
      <c r="B38" s="137" t="s">
        <v>68</v>
      </c>
      <c r="C38" s="232">
        <f t="shared" si="5"/>
        <v>227040.64739999999</v>
      </c>
      <c r="D38" s="232">
        <f t="shared" si="6"/>
        <v>2724487.7687999997</v>
      </c>
      <c r="E38" s="137" t="s">
        <v>68</v>
      </c>
      <c r="F38" s="232">
        <f t="shared" si="7"/>
        <v>0</v>
      </c>
      <c r="G38" s="232">
        <f t="shared" si="3"/>
        <v>0</v>
      </c>
      <c r="H38" s="137" t="s">
        <v>68</v>
      </c>
      <c r="I38" s="232">
        <f t="shared" si="8"/>
        <v>0</v>
      </c>
      <c r="J38" s="232">
        <f t="shared" si="4"/>
        <v>0</v>
      </c>
      <c r="K38" s="202"/>
    </row>
    <row r="39" spans="2:11" s="65" customFormat="1" ht="18" customHeight="1">
      <c r="B39" s="137" t="s">
        <v>69</v>
      </c>
      <c r="C39" s="232">
        <f t="shared" si="5"/>
        <v>113656.6026</v>
      </c>
      <c r="D39" s="232">
        <f t="shared" si="6"/>
        <v>1363879.2312</v>
      </c>
      <c r="E39" s="137" t="s">
        <v>69</v>
      </c>
      <c r="F39" s="232">
        <f t="shared" si="7"/>
        <v>0</v>
      </c>
      <c r="G39" s="232">
        <f t="shared" si="3"/>
        <v>0</v>
      </c>
      <c r="H39" s="137" t="s">
        <v>69</v>
      </c>
      <c r="I39" s="232">
        <f t="shared" si="8"/>
        <v>0</v>
      </c>
      <c r="J39" s="232">
        <f t="shared" si="4"/>
        <v>0</v>
      </c>
      <c r="K39" s="202"/>
    </row>
    <row r="40" spans="2:11" s="65" customFormat="1" ht="24" customHeight="1">
      <c r="B40" s="268" t="s">
        <v>30</v>
      </c>
      <c r="C40" s="266">
        <f>SUM(C33:C39)</f>
        <v>3961354.9561768803</v>
      </c>
      <c r="D40" s="266">
        <f>SUM(D33:D39)</f>
        <v>47536259.474122562</v>
      </c>
      <c r="E40" s="268" t="s">
        <v>30</v>
      </c>
      <c r="F40" s="266">
        <f>SUM(F33:F39)</f>
        <v>0</v>
      </c>
      <c r="G40" s="266">
        <f>SUM(G33:G39)</f>
        <v>0</v>
      </c>
      <c r="H40" s="268" t="s">
        <v>30</v>
      </c>
      <c r="I40" s="266">
        <f>SUM(I33:I39)</f>
        <v>0</v>
      </c>
      <c r="J40" s="266">
        <f>SUM(J33:J39)</f>
        <v>0</v>
      </c>
      <c r="K40" s="202"/>
    </row>
    <row r="41" spans="2:11" s="64" customFormat="1">
      <c r="B41" s="277"/>
      <c r="C41" s="7"/>
      <c r="D41" s="7"/>
      <c r="E41" s="6"/>
      <c r="F41" s="7"/>
      <c r="G41" s="7"/>
      <c r="H41" s="6"/>
      <c r="I41" s="7"/>
      <c r="K41" s="208"/>
    </row>
    <row r="42" spans="2:11" s="64" customFormat="1">
      <c r="B42" s="278"/>
      <c r="C42" s="7"/>
      <c r="D42" s="7"/>
      <c r="E42" s="6"/>
      <c r="F42" s="267">
        <f>+F40+I40</f>
        <v>0</v>
      </c>
      <c r="G42" s="7"/>
      <c r="H42" s="6"/>
      <c r="I42" s="7"/>
      <c r="K42" s="208"/>
    </row>
    <row r="43" spans="2:11" s="64" customFormat="1" ht="24" customHeight="1">
      <c r="B43" s="701" t="s">
        <v>2633</v>
      </c>
      <c r="C43" s="701"/>
      <c r="D43" s="259" t="s">
        <v>2634</v>
      </c>
      <c r="E43" s="7"/>
      <c r="J43" s="14"/>
      <c r="K43" s="208"/>
    </row>
    <row r="44" spans="2:11" s="64" customFormat="1" ht="18" customHeight="1">
      <c r="B44" s="702" t="s">
        <v>64</v>
      </c>
      <c r="C44" s="702"/>
      <c r="D44" s="296">
        <v>0.04</v>
      </c>
      <c r="E44" s="7"/>
      <c r="F44" s="259" t="s">
        <v>2589</v>
      </c>
      <c r="G44" s="259" t="s">
        <v>2635</v>
      </c>
      <c r="H44" s="259" t="s">
        <v>2590</v>
      </c>
      <c r="J44" s="15"/>
      <c r="K44" s="208"/>
    </row>
    <row r="45" spans="2:11" s="64" customFormat="1" ht="18" customHeight="1">
      <c r="B45" s="704" t="s">
        <v>258</v>
      </c>
      <c r="C45" s="704"/>
      <c r="D45" s="296">
        <v>0.20499999999999999</v>
      </c>
      <c r="E45" s="7"/>
      <c r="F45" s="297" t="s">
        <v>79</v>
      </c>
      <c r="G45" s="260">
        <f>+'2-Pto Ventas'!G63</f>
        <v>0.03</v>
      </c>
      <c r="H45" s="281">
        <f>+G45+1</f>
        <v>1.03</v>
      </c>
      <c r="J45" s="15"/>
      <c r="K45" s="208"/>
    </row>
    <row r="46" spans="2:11" s="64" customFormat="1" ht="18" customHeight="1">
      <c r="B46" s="702" t="s">
        <v>66</v>
      </c>
      <c r="C46" s="702"/>
      <c r="D46" s="296">
        <v>8.3299999999999999E-2</v>
      </c>
      <c r="E46" s="7"/>
      <c r="F46" s="297" t="s">
        <v>60</v>
      </c>
      <c r="G46" s="260">
        <f>+'2-Pto Ventas'!G64</f>
        <v>0.03</v>
      </c>
      <c r="H46" s="261">
        <f>+G46+1</f>
        <v>1.03</v>
      </c>
      <c r="J46" s="15"/>
      <c r="K46" s="208"/>
    </row>
    <row r="47" spans="2:11" s="64" customFormat="1" ht="18" customHeight="1">
      <c r="B47" s="702" t="s">
        <v>67</v>
      </c>
      <c r="C47" s="702"/>
      <c r="D47" s="296">
        <v>1.1999999999999999E-3</v>
      </c>
      <c r="E47" s="7"/>
      <c r="F47" s="297" t="s">
        <v>61</v>
      </c>
      <c r="G47" s="260">
        <f>+'2-Pto Ventas'!G65</f>
        <v>0.03</v>
      </c>
      <c r="H47" s="261">
        <f>+G47+1</f>
        <v>1.03</v>
      </c>
      <c r="J47" s="15"/>
      <c r="K47" s="208"/>
    </row>
    <row r="48" spans="2:11" s="64" customFormat="1" ht="18" customHeight="1">
      <c r="B48" s="702" t="s">
        <v>68</v>
      </c>
      <c r="C48" s="702"/>
      <c r="D48" s="296">
        <v>8.3299999999999999E-2</v>
      </c>
      <c r="E48" s="7"/>
      <c r="F48" s="297" t="s">
        <v>62</v>
      </c>
      <c r="G48" s="260">
        <f>+'2-Pto Ventas'!G66</f>
        <v>0.03</v>
      </c>
      <c r="H48" s="261">
        <f>+G48+1</f>
        <v>1.03</v>
      </c>
      <c r="I48" s="15"/>
      <c r="J48" s="15"/>
      <c r="K48" s="208"/>
    </row>
    <row r="49" spans="2:11" s="64" customFormat="1" ht="18" customHeight="1">
      <c r="B49" s="702" t="s">
        <v>69</v>
      </c>
      <c r="C49" s="702"/>
      <c r="D49" s="296">
        <v>4.1700000000000001E-2</v>
      </c>
      <c r="E49" s="7"/>
      <c r="F49" s="7"/>
      <c r="G49" s="7"/>
      <c r="H49" s="7"/>
      <c r="I49" s="15"/>
      <c r="J49" s="15"/>
      <c r="K49" s="208"/>
    </row>
    <row r="50" spans="2:11" s="64" customFormat="1" ht="24" customHeight="1">
      <c r="B50" s="703" t="s">
        <v>12</v>
      </c>
      <c r="C50" s="703"/>
      <c r="D50" s="272">
        <f>SUM(D44:D49)</f>
        <v>0.45449999999999996</v>
      </c>
      <c r="E50" s="7"/>
      <c r="F50" s="7"/>
      <c r="G50" s="7"/>
      <c r="H50" s="7"/>
      <c r="I50" s="15"/>
      <c r="J50" s="15"/>
      <c r="K50" s="208"/>
    </row>
    <row r="51" spans="2:11" s="64" customFormat="1">
      <c r="B51" s="277"/>
      <c r="C51" s="7"/>
      <c r="D51" s="7"/>
      <c r="E51" s="6"/>
      <c r="F51" s="7"/>
      <c r="G51" s="7"/>
      <c r="H51" s="6"/>
      <c r="I51" s="7"/>
      <c r="K51" s="208"/>
    </row>
    <row r="52" spans="2:11" s="63" customFormat="1" ht="19.5" customHeight="1" thickBot="1">
      <c r="B52" s="279"/>
      <c r="C52" s="64"/>
      <c r="D52" s="64"/>
      <c r="E52" s="64"/>
      <c r="F52" s="64"/>
      <c r="G52" s="64"/>
      <c r="H52" s="64"/>
      <c r="I52" s="64"/>
      <c r="J52" s="64"/>
      <c r="K52" s="208"/>
    </row>
    <row r="53" spans="2:11" s="63" customFormat="1" ht="25.5" customHeight="1" thickBot="1">
      <c r="B53" s="700" t="s">
        <v>2672</v>
      </c>
      <c r="C53" s="576"/>
      <c r="D53" s="576"/>
      <c r="E53" s="576"/>
      <c r="F53" s="576"/>
      <c r="G53" s="576"/>
      <c r="H53" s="576"/>
      <c r="I53" s="576"/>
      <c r="J53" s="576"/>
      <c r="K53" s="577"/>
    </row>
    <row r="54" spans="2:11" s="63" customFormat="1" ht="18" customHeight="1" thickBot="1">
      <c r="B54" s="279"/>
      <c r="C54" s="64"/>
      <c r="D54" s="64"/>
      <c r="E54" s="64"/>
      <c r="F54" s="253"/>
      <c r="G54" s="64"/>
      <c r="H54" s="64"/>
      <c r="I54" s="64"/>
      <c r="J54" s="64"/>
      <c r="K54" s="293"/>
    </row>
    <row r="55" spans="2:11" s="63" customFormat="1" ht="24" customHeight="1">
      <c r="B55" s="696" t="s">
        <v>2698</v>
      </c>
      <c r="C55" s="697"/>
      <c r="D55" s="697"/>
      <c r="E55" s="697" t="s">
        <v>2699</v>
      </c>
      <c r="F55" s="697"/>
      <c r="G55" s="697"/>
      <c r="H55" s="697" t="s">
        <v>2700</v>
      </c>
      <c r="I55" s="697"/>
      <c r="J55" s="698"/>
      <c r="K55" s="258"/>
    </row>
    <row r="56" spans="2:11" s="64" customFormat="1" ht="24" customHeight="1">
      <c r="B56" s="298" t="s">
        <v>2637</v>
      </c>
      <c r="C56" s="252" t="s">
        <v>2638</v>
      </c>
      <c r="D56" s="252" t="s">
        <v>78</v>
      </c>
      <c r="E56" s="262" t="s">
        <v>2637</v>
      </c>
      <c r="F56" s="252" t="s">
        <v>2638</v>
      </c>
      <c r="G56" s="252" t="s">
        <v>78</v>
      </c>
      <c r="H56" s="262" t="s">
        <v>2637</v>
      </c>
      <c r="I56" s="252" t="s">
        <v>2638</v>
      </c>
      <c r="J56" s="252" t="s">
        <v>78</v>
      </c>
      <c r="K56" s="208"/>
    </row>
    <row r="57" spans="2:11" s="64" customFormat="1" ht="18" customHeight="1">
      <c r="B57" s="386" t="s">
        <v>31</v>
      </c>
      <c r="C57" s="294">
        <v>350000</v>
      </c>
      <c r="D57" s="295">
        <f>+C57*12</f>
        <v>4200000</v>
      </c>
      <c r="E57" s="386"/>
      <c r="F57" s="294"/>
      <c r="G57" s="295">
        <f>+F57*12</f>
        <v>0</v>
      </c>
      <c r="H57" s="386"/>
      <c r="I57" s="294"/>
      <c r="J57" s="295">
        <f>+I57*12</f>
        <v>0</v>
      </c>
      <c r="K57" s="208"/>
    </row>
    <row r="58" spans="2:11" s="64" customFormat="1" ht="18" customHeight="1">
      <c r="B58" s="386" t="s">
        <v>33</v>
      </c>
      <c r="C58" s="294">
        <v>50000</v>
      </c>
      <c r="D58" s="295">
        <f t="shared" ref="D58:D68" si="9">+C58*12</f>
        <v>600000</v>
      </c>
      <c r="E58" s="386"/>
      <c r="F58" s="294"/>
      <c r="G58" s="295">
        <f t="shared" ref="G58:G68" si="10">+F58*12</f>
        <v>0</v>
      </c>
      <c r="H58" s="386"/>
      <c r="I58" s="294"/>
      <c r="J58" s="295">
        <f t="shared" ref="J58:J61" si="11">+I58*12</f>
        <v>0</v>
      </c>
      <c r="K58" s="208"/>
    </row>
    <row r="59" spans="2:11" s="64" customFormat="1" ht="18" customHeight="1">
      <c r="B59" s="386" t="s">
        <v>34</v>
      </c>
      <c r="C59" s="294">
        <v>30000</v>
      </c>
      <c r="D59" s="295">
        <f t="shared" si="9"/>
        <v>360000</v>
      </c>
      <c r="E59" s="386"/>
      <c r="F59" s="294"/>
      <c r="G59" s="295">
        <f t="shared" si="10"/>
        <v>0</v>
      </c>
      <c r="H59" s="386"/>
      <c r="I59" s="294"/>
      <c r="J59" s="295">
        <f t="shared" si="11"/>
        <v>0</v>
      </c>
      <c r="K59" s="208"/>
    </row>
    <row r="60" spans="2:11" s="64" customFormat="1" ht="18" customHeight="1">
      <c r="B60" s="386" t="s">
        <v>22</v>
      </c>
      <c r="C60" s="294">
        <v>180000</v>
      </c>
      <c r="D60" s="295">
        <f t="shared" si="9"/>
        <v>2160000</v>
      </c>
      <c r="E60" s="386"/>
      <c r="F60" s="294"/>
      <c r="G60" s="295">
        <f t="shared" si="10"/>
        <v>0</v>
      </c>
      <c r="H60" s="386"/>
      <c r="I60" s="294"/>
      <c r="J60" s="295">
        <f t="shared" si="11"/>
        <v>0</v>
      </c>
      <c r="K60" s="208"/>
    </row>
    <row r="61" spans="2:11" s="64" customFormat="1" ht="18" customHeight="1">
      <c r="B61" s="387" t="s">
        <v>2816</v>
      </c>
      <c r="C61" s="294">
        <v>40000</v>
      </c>
      <c r="D61" s="295">
        <f>+C61*12</f>
        <v>480000</v>
      </c>
      <c r="E61" s="386"/>
      <c r="F61" s="294"/>
      <c r="G61" s="295">
        <f t="shared" si="10"/>
        <v>0</v>
      </c>
      <c r="H61" s="386"/>
      <c r="I61" s="294"/>
      <c r="J61" s="295">
        <f t="shared" si="11"/>
        <v>0</v>
      </c>
      <c r="K61" s="208"/>
    </row>
    <row r="62" spans="2:11" s="64" customFormat="1" ht="18" customHeight="1">
      <c r="B62" s="387" t="s">
        <v>32</v>
      </c>
      <c r="C62" s="294">
        <v>2000</v>
      </c>
      <c r="D62" s="295">
        <f>+C62*12</f>
        <v>24000</v>
      </c>
      <c r="E62" s="386"/>
      <c r="F62" s="294"/>
      <c r="G62" s="295">
        <f t="shared" si="10"/>
        <v>0</v>
      </c>
      <c r="H62" s="386"/>
      <c r="I62" s="294"/>
      <c r="J62" s="295">
        <f t="shared" ref="J62:J68" si="12">+I62*12</f>
        <v>0</v>
      </c>
      <c r="K62" s="208"/>
    </row>
    <row r="63" spans="2:11" s="64" customFormat="1" ht="18" customHeight="1">
      <c r="B63" s="387" t="s">
        <v>2819</v>
      </c>
      <c r="C63" s="294">
        <v>150000</v>
      </c>
      <c r="D63" s="295">
        <f>+C63*12</f>
        <v>1800000</v>
      </c>
      <c r="E63" s="386"/>
      <c r="F63" s="294"/>
      <c r="G63" s="295">
        <f t="shared" si="10"/>
        <v>0</v>
      </c>
      <c r="H63" s="386"/>
      <c r="I63" s="294"/>
      <c r="J63" s="295">
        <f t="shared" si="12"/>
        <v>0</v>
      </c>
      <c r="K63" s="208"/>
    </row>
    <row r="64" spans="2:11" s="64" customFormat="1" ht="18" customHeight="1">
      <c r="B64" s="387" t="s">
        <v>2828</v>
      </c>
      <c r="C64" s="294">
        <v>60000</v>
      </c>
      <c r="D64" s="295">
        <f>+C64*12</f>
        <v>720000</v>
      </c>
      <c r="E64" s="386"/>
      <c r="F64" s="294"/>
      <c r="G64" s="295">
        <f>+F64*12</f>
        <v>0</v>
      </c>
      <c r="H64" s="386"/>
      <c r="I64" s="294"/>
      <c r="J64" s="295">
        <f t="shared" si="12"/>
        <v>0</v>
      </c>
      <c r="K64" s="208"/>
    </row>
    <row r="65" spans="2:13" s="64" customFormat="1" ht="18" customHeight="1">
      <c r="B65" s="387"/>
      <c r="C65" s="294"/>
      <c r="D65" s="295">
        <f t="shared" si="9"/>
        <v>0</v>
      </c>
      <c r="E65" s="386"/>
      <c r="F65" s="294"/>
      <c r="G65" s="295">
        <f t="shared" si="10"/>
        <v>0</v>
      </c>
      <c r="H65" s="387"/>
      <c r="I65" s="294"/>
      <c r="J65" s="295">
        <f t="shared" si="12"/>
        <v>0</v>
      </c>
      <c r="K65" s="208"/>
    </row>
    <row r="66" spans="2:13" s="64" customFormat="1" ht="18" customHeight="1">
      <c r="B66" s="387"/>
      <c r="C66" s="294"/>
      <c r="D66" s="295">
        <f t="shared" si="9"/>
        <v>0</v>
      </c>
      <c r="E66" s="386"/>
      <c r="F66" s="294"/>
      <c r="G66" s="295">
        <f t="shared" si="10"/>
        <v>0</v>
      </c>
      <c r="H66" s="386"/>
      <c r="I66" s="294"/>
      <c r="J66" s="295">
        <f t="shared" si="12"/>
        <v>0</v>
      </c>
      <c r="K66" s="208"/>
    </row>
    <row r="67" spans="2:13" s="64" customFormat="1" ht="18" customHeight="1">
      <c r="B67" s="387"/>
      <c r="C67" s="294"/>
      <c r="D67" s="295">
        <f t="shared" si="9"/>
        <v>0</v>
      </c>
      <c r="E67" s="386" t="s">
        <v>7</v>
      </c>
      <c r="F67" s="294"/>
      <c r="G67" s="295">
        <f t="shared" si="10"/>
        <v>0</v>
      </c>
      <c r="H67" s="386"/>
      <c r="I67" s="294"/>
      <c r="J67" s="295">
        <f t="shared" si="12"/>
        <v>0</v>
      </c>
      <c r="K67" s="208"/>
    </row>
    <row r="68" spans="2:13" s="64" customFormat="1" ht="18" customHeight="1">
      <c r="B68" s="386"/>
      <c r="C68" s="294"/>
      <c r="D68" s="295">
        <f t="shared" si="9"/>
        <v>0</v>
      </c>
      <c r="E68" s="386"/>
      <c r="F68" s="294"/>
      <c r="G68" s="295">
        <f t="shared" si="10"/>
        <v>0</v>
      </c>
      <c r="H68" s="386"/>
      <c r="I68" s="294"/>
      <c r="J68" s="295">
        <f t="shared" si="12"/>
        <v>0</v>
      </c>
      <c r="K68" s="208"/>
    </row>
    <row r="69" spans="2:13" s="64" customFormat="1" ht="24" customHeight="1">
      <c r="B69" s="268" t="s">
        <v>29</v>
      </c>
      <c r="C69" s="266">
        <f>SUM(C57:C68)</f>
        <v>862000</v>
      </c>
      <c r="D69" s="266">
        <f>SUM(D57:D68)</f>
        <v>10344000</v>
      </c>
      <c r="E69" s="268" t="s">
        <v>29</v>
      </c>
      <c r="F69" s="266">
        <f>SUM(F57:F68)</f>
        <v>0</v>
      </c>
      <c r="G69" s="266">
        <f>SUM(G57:G68)</f>
        <v>0</v>
      </c>
      <c r="H69" s="268" t="s">
        <v>29</v>
      </c>
      <c r="I69" s="266">
        <f>SUM(I57:I68)</f>
        <v>0</v>
      </c>
      <c r="J69" s="266">
        <f>SUM(J57:J68)</f>
        <v>0</v>
      </c>
      <c r="K69" s="208"/>
    </row>
    <row r="70" spans="2:13" s="64" customFormat="1">
      <c r="B70" s="277"/>
      <c r="C70" s="7"/>
      <c r="D70" s="7"/>
      <c r="E70" s="6"/>
      <c r="F70" s="7"/>
      <c r="G70" s="7"/>
      <c r="H70" s="6"/>
      <c r="I70" s="7"/>
      <c r="K70" s="208"/>
    </row>
    <row r="71" spans="2:13">
      <c r="B71" s="201"/>
      <c r="E71" s="14"/>
      <c r="F71" s="65"/>
      <c r="G71" s="65"/>
      <c r="H71" s="65"/>
      <c r="I71" s="65"/>
      <c r="K71" s="202"/>
    </row>
    <row r="72" spans="2:13" ht="30" customHeight="1">
      <c r="B72" s="201"/>
      <c r="E72" s="259" t="s">
        <v>2589</v>
      </c>
      <c r="F72" s="259" t="s">
        <v>2636</v>
      </c>
      <c r="G72" s="259" t="s">
        <v>2590</v>
      </c>
      <c r="H72" s="65"/>
      <c r="I72" s="65"/>
      <c r="K72" s="202"/>
    </row>
    <row r="73" spans="2:13" ht="18" customHeight="1">
      <c r="B73" s="201"/>
      <c r="E73" s="383" t="s">
        <v>79</v>
      </c>
      <c r="F73" s="384">
        <f>+'2-Pto Ventas'!G63</f>
        <v>0.03</v>
      </c>
      <c r="G73" s="385">
        <f>+F73+1</f>
        <v>1.03</v>
      </c>
      <c r="H73" s="65"/>
      <c r="I73" s="65"/>
      <c r="K73" s="202"/>
    </row>
    <row r="74" spans="2:13" ht="18" customHeight="1">
      <c r="B74" s="201"/>
      <c r="E74" s="383" t="s">
        <v>60</v>
      </c>
      <c r="F74" s="384">
        <f>+'2-Pto Ventas'!G64</f>
        <v>0.03</v>
      </c>
      <c r="G74" s="385">
        <f>+F74+1</f>
        <v>1.03</v>
      </c>
      <c r="H74" s="65"/>
      <c r="I74" s="65"/>
      <c r="K74" s="202"/>
    </row>
    <row r="75" spans="2:13" ht="18" customHeight="1">
      <c r="B75" s="201"/>
      <c r="E75" s="383" t="s">
        <v>61</v>
      </c>
      <c r="F75" s="384">
        <f>+'2-Pto Ventas'!G65</f>
        <v>0.03</v>
      </c>
      <c r="G75" s="385">
        <f>+F75+1</f>
        <v>1.03</v>
      </c>
      <c r="H75" s="65"/>
      <c r="I75" s="65"/>
      <c r="K75" s="202"/>
    </row>
    <row r="76" spans="2:13" s="63" customFormat="1" ht="18" customHeight="1">
      <c r="B76" s="273"/>
      <c r="C76" s="31"/>
      <c r="E76" s="383" t="s">
        <v>62</v>
      </c>
      <c r="F76" s="384">
        <f>+'2-Pto Ventas'!G66</f>
        <v>0.03</v>
      </c>
      <c r="G76" s="385">
        <f>+F76+1</f>
        <v>1.03</v>
      </c>
      <c r="H76" s="64"/>
      <c r="I76" s="64"/>
      <c r="J76" s="64"/>
      <c r="K76" s="208"/>
      <c r="M76" s="64"/>
    </row>
    <row r="77" spans="2:13" s="63" customFormat="1">
      <c r="B77" s="273"/>
      <c r="C77" s="31"/>
      <c r="D77" s="31"/>
      <c r="E77" s="15"/>
      <c r="F77" s="64"/>
      <c r="G77" s="64"/>
      <c r="H77" s="64"/>
      <c r="I77" s="64"/>
      <c r="J77" s="64"/>
      <c r="K77" s="208"/>
      <c r="M77" s="64"/>
    </row>
    <row r="78" spans="2:13" s="63" customFormat="1" ht="19.5" customHeight="1" thickBot="1">
      <c r="B78" s="279"/>
      <c r="C78" s="64"/>
      <c r="D78" s="64"/>
      <c r="E78" s="64"/>
      <c r="F78" s="64"/>
      <c r="G78" s="64"/>
      <c r="H78" s="64"/>
      <c r="I78" s="64"/>
      <c r="J78" s="64"/>
      <c r="K78" s="208"/>
    </row>
    <row r="79" spans="2:13" ht="14.25" thickTop="1" thickBot="1">
      <c r="B79" s="269"/>
      <c r="C79" s="270"/>
      <c r="D79" s="270"/>
      <c r="E79" s="270"/>
      <c r="F79" s="270"/>
      <c r="G79" s="270"/>
      <c r="H79" s="270"/>
      <c r="I79" s="270"/>
      <c r="J79" s="271"/>
      <c r="K79" s="270"/>
      <c r="L79" s="65"/>
    </row>
    <row r="80" spans="2:13" ht="13.5" thickTop="1"/>
  </sheetData>
  <sheetProtection algorithmName="SHA-512" hashValue="tIABrrQBon3+CqhMILfDuWJ/qfvycrhaO0QxfGKkKereMXI15V4g1Z4PfRiBqH/5QcEW/fhNiqttgpuOujt37w==" saltValue="gM6kyURLSJjeqwpIVKht8w==" spinCount="100000" sheet="1" objects="1" scenarios="1" selectLockedCells="1"/>
  <mergeCells count="22">
    <mergeCell ref="B50:C50"/>
    <mergeCell ref="B45:C45"/>
    <mergeCell ref="B46:C46"/>
    <mergeCell ref="B47:C47"/>
    <mergeCell ref="B48:C48"/>
    <mergeCell ref="B49:C49"/>
    <mergeCell ref="B55:D55"/>
    <mergeCell ref="E55:G55"/>
    <mergeCell ref="H55:J55"/>
    <mergeCell ref="B3:K3"/>
    <mergeCell ref="G5:J5"/>
    <mergeCell ref="G7:J7"/>
    <mergeCell ref="C5:E5"/>
    <mergeCell ref="C7:E7"/>
    <mergeCell ref="B21:D21"/>
    <mergeCell ref="E21:G21"/>
    <mergeCell ref="H21:J21"/>
    <mergeCell ref="B53:K53"/>
    <mergeCell ref="B9:K9"/>
    <mergeCell ref="B19:K19"/>
    <mergeCell ref="B43:C43"/>
    <mergeCell ref="B44:C44"/>
  </mergeCells>
  <phoneticPr fontId="0" type="noConversion"/>
  <pageMargins left="0.56000000000000005" right="0.75" top="0.44" bottom="0.28999999999999998" header="0" footer="0"/>
  <pageSetup scale="65" orientation="landscape" verticalDpi="300"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9">
    <pageSetUpPr autoPageBreaks="0"/>
  </sheetPr>
  <dimension ref="A1:M87"/>
  <sheetViews>
    <sheetView showGridLines="0" showRowColHeaders="0" showZeros="0" showOutlineSymbols="0" zoomScale="89" zoomScaleNormal="89" workbookViewId="0">
      <selection activeCell="H75" sqref="H75:H79"/>
    </sheetView>
  </sheetViews>
  <sheetFormatPr baseColWidth="10" defaultColWidth="0" defaultRowHeight="12.75" zeroHeight="1"/>
  <cols>
    <col min="1" max="1" width="2.28515625" style="68" customWidth="1"/>
    <col min="2" max="2" width="21.7109375" style="68" customWidth="1"/>
    <col min="3" max="3" width="21.5703125" style="68" customWidth="1"/>
    <col min="4" max="4" width="21" style="68" customWidth="1"/>
    <col min="5" max="5" width="13" style="68" customWidth="1"/>
    <col min="6" max="6" width="15.7109375" style="68" customWidth="1"/>
    <col min="7" max="7" width="13.28515625" style="68" customWidth="1"/>
    <col min="8" max="8" width="12.7109375" style="68" customWidth="1"/>
    <col min="9" max="9" width="13.140625" style="68" customWidth="1"/>
    <col min="10" max="10" width="14.42578125" style="68" bestFit="1" customWidth="1"/>
    <col min="11" max="11" width="2.28515625" style="68" customWidth="1"/>
    <col min="12" max="12" width="11.42578125" style="68" customWidth="1"/>
    <col min="13" max="13" width="0" style="68" hidden="1" customWidth="1"/>
    <col min="14" max="16384" width="11.42578125" style="68" hidden="1"/>
  </cols>
  <sheetData>
    <row r="1" spans="1:11" s="67" customFormat="1" ht="13.5" thickBot="1">
      <c r="A1" s="288"/>
    </row>
    <row r="2" spans="1:11" s="63" customFormat="1" ht="7.5" customHeight="1" thickTop="1">
      <c r="A2" s="56"/>
      <c r="B2" s="37"/>
      <c r="C2" s="38"/>
      <c r="D2" s="233"/>
      <c r="E2" s="233"/>
      <c r="F2" s="233"/>
      <c r="G2" s="233"/>
      <c r="H2" s="233"/>
      <c r="I2" s="233"/>
      <c r="J2" s="234"/>
      <c r="K2" s="64"/>
    </row>
    <row r="3" spans="1:11" s="63" customFormat="1" ht="20.25">
      <c r="A3" s="56"/>
      <c r="B3" s="618" t="s">
        <v>2660</v>
      </c>
      <c r="C3" s="619"/>
      <c r="D3" s="619"/>
      <c r="E3" s="619"/>
      <c r="F3" s="619"/>
      <c r="G3" s="619"/>
      <c r="H3" s="619"/>
      <c r="I3" s="619"/>
      <c r="J3" s="620"/>
      <c r="K3" s="64"/>
    </row>
    <row r="4" spans="1:11" s="63" customFormat="1" ht="13.5" thickBot="1">
      <c r="A4" s="56"/>
      <c r="B4" s="201"/>
      <c r="C4" s="65"/>
      <c r="D4" s="65"/>
      <c r="E4" s="65"/>
      <c r="F4" s="65"/>
      <c r="G4" s="65"/>
      <c r="H4" s="65"/>
      <c r="I4" s="65"/>
      <c r="J4" s="274"/>
      <c r="K4" s="64"/>
    </row>
    <row r="5" spans="1:11" s="63" customFormat="1" ht="14.25" thickTop="1" thickBot="1">
      <c r="B5" s="210"/>
      <c r="C5" s="691" t="s">
        <v>2579</v>
      </c>
      <c r="D5" s="691"/>
      <c r="E5" s="691"/>
      <c r="F5" s="621" t="str">
        <f>+'1-Datos Generales'!$H$5</f>
        <v>SEGI</v>
      </c>
      <c r="G5" s="622"/>
      <c r="H5" s="622"/>
      <c r="I5" s="623"/>
      <c r="J5" s="275"/>
      <c r="K5" s="64"/>
    </row>
    <row r="6" spans="1:11" s="56" customFormat="1" ht="4.5" customHeight="1" thickTop="1" thickBot="1">
      <c r="B6" s="201" t="s">
        <v>212</v>
      </c>
      <c r="C6" s="65"/>
      <c r="D6" s="65" t="s">
        <v>7</v>
      </c>
      <c r="E6" s="196"/>
      <c r="F6" s="196"/>
      <c r="G6" s="65"/>
      <c r="H6" s="65"/>
      <c r="I6" s="65"/>
      <c r="J6" s="202"/>
      <c r="K6" s="65"/>
    </row>
    <row r="7" spans="1:11" s="63" customFormat="1" ht="14.25" thickTop="1" thickBot="1">
      <c r="B7" s="210"/>
      <c r="C7" s="691" t="s">
        <v>2576</v>
      </c>
      <c r="D7" s="691"/>
      <c r="E7" s="691"/>
      <c r="F7" s="621">
        <f>+'1-Datos Generales'!$D$11</f>
        <v>0</v>
      </c>
      <c r="G7" s="622"/>
      <c r="H7" s="622"/>
      <c r="I7" s="623"/>
      <c r="J7" s="202"/>
      <c r="K7" s="64"/>
    </row>
    <row r="8" spans="1:11" s="56" customFormat="1" ht="4.5" customHeight="1" thickTop="1" thickBot="1">
      <c r="B8" s="201" t="s">
        <v>212</v>
      </c>
      <c r="C8" s="65"/>
      <c r="D8" s="65" t="s">
        <v>7</v>
      </c>
      <c r="E8" s="196"/>
      <c r="F8" s="196"/>
      <c r="G8" s="65"/>
      <c r="H8" s="65"/>
      <c r="I8" s="65"/>
      <c r="J8" s="276"/>
      <c r="K8" s="65"/>
    </row>
    <row r="9" spans="1:11" s="56" customFormat="1" ht="25.5" customHeight="1" thickBot="1">
      <c r="B9" s="575" t="s">
        <v>2591</v>
      </c>
      <c r="C9" s="576"/>
      <c r="D9" s="576"/>
      <c r="E9" s="576"/>
      <c r="F9" s="576"/>
      <c r="G9" s="576"/>
      <c r="H9" s="576"/>
      <c r="I9" s="576"/>
      <c r="J9" s="577"/>
      <c r="K9" s="65"/>
    </row>
    <row r="10" spans="1:11" s="63" customFormat="1" ht="16.5" customHeight="1">
      <c r="B10" s="257"/>
      <c r="C10" s="64"/>
      <c r="D10" s="64"/>
      <c r="E10" s="64"/>
      <c r="F10" s="64"/>
      <c r="G10" s="64"/>
      <c r="H10" s="64"/>
      <c r="I10" s="64"/>
      <c r="J10" s="258"/>
      <c r="K10" s="64"/>
    </row>
    <row r="11" spans="1:11" s="63" customFormat="1">
      <c r="B11" s="216"/>
      <c r="I11" s="64"/>
      <c r="J11" s="208"/>
      <c r="K11" s="64"/>
    </row>
    <row r="12" spans="1:11" s="63" customFormat="1" ht="25.5" customHeight="1">
      <c r="B12" s="216"/>
      <c r="I12" s="64"/>
      <c r="J12" s="208"/>
      <c r="K12" s="64"/>
    </row>
    <row r="13" spans="1:11" s="63" customFormat="1" ht="13.5" customHeight="1">
      <c r="B13" s="216"/>
      <c r="I13" s="64"/>
      <c r="J13" s="208"/>
      <c r="K13" s="64"/>
    </row>
    <row r="14" spans="1:11" s="63" customFormat="1">
      <c r="B14" s="216"/>
      <c r="I14" s="64"/>
      <c r="J14" s="208"/>
      <c r="K14" s="64"/>
    </row>
    <row r="15" spans="1:11" s="63" customFormat="1">
      <c r="B15" s="216"/>
      <c r="I15" s="64"/>
      <c r="J15" s="208"/>
      <c r="K15" s="64"/>
    </row>
    <row r="16" spans="1:11" s="63" customFormat="1">
      <c r="B16" s="216"/>
      <c r="I16" s="64"/>
      <c r="J16" s="208"/>
      <c r="K16" s="64"/>
    </row>
    <row r="17" spans="2:11" s="63" customFormat="1">
      <c r="B17" s="216"/>
      <c r="I17" s="64"/>
      <c r="J17" s="208"/>
      <c r="K17" s="64"/>
    </row>
    <row r="18" spans="2:11" s="63" customFormat="1" ht="19.5" customHeight="1" thickBot="1">
      <c r="B18" s="210"/>
      <c r="C18" s="64"/>
      <c r="D18" s="64"/>
      <c r="E18" s="64"/>
      <c r="F18" s="64"/>
      <c r="G18" s="64"/>
      <c r="H18" s="64"/>
      <c r="I18" s="64"/>
      <c r="J18" s="208"/>
    </row>
    <row r="19" spans="2:11" s="63" customFormat="1" ht="25.5" customHeight="1" thickBot="1">
      <c r="B19" s="575" t="s">
        <v>2661</v>
      </c>
      <c r="C19" s="576"/>
      <c r="D19" s="576"/>
      <c r="E19" s="576"/>
      <c r="F19" s="576"/>
      <c r="G19" s="576"/>
      <c r="H19" s="576"/>
      <c r="I19" s="576"/>
      <c r="J19" s="577"/>
    </row>
    <row r="20" spans="2:11" s="63" customFormat="1" ht="15" customHeight="1">
      <c r="B20" s="257"/>
      <c r="C20" s="64"/>
      <c r="D20" s="64"/>
      <c r="E20" s="64"/>
      <c r="F20" s="344"/>
      <c r="G20" s="345"/>
      <c r="H20" s="345"/>
      <c r="I20" s="345"/>
      <c r="J20" s="258"/>
    </row>
    <row r="21" spans="2:11" s="60" customFormat="1" ht="22.5" customHeight="1">
      <c r="B21" s="727" t="s">
        <v>2664</v>
      </c>
      <c r="C21" s="740" t="s">
        <v>2665</v>
      </c>
      <c r="D21" s="733" t="s">
        <v>2669</v>
      </c>
      <c r="E21" s="733"/>
      <c r="F21" s="731" t="s">
        <v>2668</v>
      </c>
      <c r="G21" s="731"/>
      <c r="H21" s="731"/>
      <c r="I21" s="731"/>
      <c r="J21" s="732"/>
    </row>
    <row r="22" spans="2:11" s="60" customFormat="1" ht="22.5" customHeight="1">
      <c r="B22" s="727"/>
      <c r="C22" s="740"/>
      <c r="D22" s="733"/>
      <c r="E22" s="733"/>
      <c r="F22" s="290" t="s">
        <v>78</v>
      </c>
      <c r="G22" s="290" t="s">
        <v>79</v>
      </c>
      <c r="H22" s="290" t="s">
        <v>60</v>
      </c>
      <c r="I22" s="290" t="s">
        <v>61</v>
      </c>
      <c r="J22" s="346" t="s">
        <v>62</v>
      </c>
    </row>
    <row r="23" spans="2:11" s="60" customFormat="1" ht="18" customHeight="1">
      <c r="B23" s="355" t="s">
        <v>110</v>
      </c>
      <c r="C23" s="287">
        <v>0</v>
      </c>
      <c r="D23" s="734" t="s">
        <v>2645</v>
      </c>
      <c r="E23" s="734"/>
      <c r="F23" s="340">
        <f>(('4-Pto de Costos y Gastos'!D40+'4-Pto de Costos y Gastos'!G40+'4-Pto de Costos y Gastos'!J40)/360)*C23</f>
        <v>0</v>
      </c>
      <c r="G23" s="340">
        <f>$F23*'2-Pto Ventas'!$H$63</f>
        <v>0</v>
      </c>
      <c r="H23" s="340">
        <f>$G23*'2-Pto Ventas'!$H$64</f>
        <v>0</v>
      </c>
      <c r="I23" s="340">
        <f>$H23*'2-Pto Ventas'!$H$65</f>
        <v>0</v>
      </c>
      <c r="J23" s="347">
        <f>$I23*'2-Pto Ventas'!$H$66</f>
        <v>0</v>
      </c>
    </row>
    <row r="24" spans="2:11" s="60" customFormat="1" ht="36" customHeight="1">
      <c r="B24" s="356" t="s">
        <v>111</v>
      </c>
      <c r="C24" s="287"/>
      <c r="D24" s="735" t="s">
        <v>2662</v>
      </c>
      <c r="E24" s="735"/>
      <c r="F24" s="340">
        <f>(('4-Pto de Costos y Gastos'!D69*'4-Pto de Costos y Gastos'!G69+'4-Pto de Costos y Gastos'!J69)/360)*C24</f>
        <v>0</v>
      </c>
      <c r="G24" s="340">
        <f>$F24*'2-Pto Ventas'!$H$63</f>
        <v>0</v>
      </c>
      <c r="H24" s="340">
        <f>$G24*'2-Pto Ventas'!$H$64</f>
        <v>0</v>
      </c>
      <c r="I24" s="340">
        <f>$H24*'2-Pto Ventas'!$H$65</f>
        <v>0</v>
      </c>
      <c r="J24" s="347">
        <f>$I24*'2-Pto Ventas'!$H$66</f>
        <v>0</v>
      </c>
    </row>
    <row r="25" spans="2:11" s="60" customFormat="1" ht="18" customHeight="1">
      <c r="B25" s="355" t="s">
        <v>74</v>
      </c>
      <c r="C25" s="287"/>
      <c r="D25" s="736" t="s">
        <v>54</v>
      </c>
      <c r="E25" s="736"/>
      <c r="F25" s="340">
        <f>(('3-Pto Compras'!I95/360)*C25)</f>
        <v>0</v>
      </c>
      <c r="G25" s="340">
        <f>$F25*'2-Pto Ventas'!$H$63</f>
        <v>0</v>
      </c>
      <c r="H25" s="340">
        <f>$G25*'2-Pto Ventas'!$H$64</f>
        <v>0</v>
      </c>
      <c r="I25" s="340">
        <f>$H25*'2-Pto Ventas'!$H$65</f>
        <v>0</v>
      </c>
      <c r="J25" s="347">
        <f>$I25*'2-Pto Ventas'!$H$66</f>
        <v>0</v>
      </c>
    </row>
    <row r="26" spans="2:11" s="60" customFormat="1" ht="18" customHeight="1">
      <c r="B26" s="355" t="s">
        <v>36</v>
      </c>
      <c r="C26" s="287">
        <v>0</v>
      </c>
      <c r="D26" s="736" t="s">
        <v>55</v>
      </c>
      <c r="E26" s="736"/>
      <c r="F26" s="340">
        <f>('2-Pto Ventas'!H94/360)*C26</f>
        <v>0</v>
      </c>
      <c r="G26" s="340">
        <f>$F26*'2-Pto Ventas'!$H$63</f>
        <v>0</v>
      </c>
      <c r="H26" s="340">
        <f>$G26*'2-Pto Ventas'!$H$64</f>
        <v>0</v>
      </c>
      <c r="I26" s="340">
        <f>$H26*'2-Pto Ventas'!$H$65</f>
        <v>0</v>
      </c>
      <c r="J26" s="347">
        <f>$I26*'2-Pto Ventas'!$H$66</f>
        <v>0</v>
      </c>
    </row>
    <row r="27" spans="2:11" s="60" customFormat="1" ht="24" customHeight="1">
      <c r="B27" s="335"/>
      <c r="C27" s="292"/>
      <c r="D27" s="737" t="s">
        <v>52</v>
      </c>
      <c r="E27" s="738"/>
      <c r="F27" s="341">
        <f>SUM(F23:F26)</f>
        <v>0</v>
      </c>
      <c r="G27" s="341">
        <f>SUM(G23:G26)</f>
        <v>0</v>
      </c>
      <c r="H27" s="341">
        <f>SUM(H23:H26)</f>
        <v>0</v>
      </c>
      <c r="I27" s="341">
        <f>SUM(I23:I26)</f>
        <v>0</v>
      </c>
      <c r="J27" s="348">
        <f>SUM(J23:J26)</f>
        <v>0</v>
      </c>
    </row>
    <row r="28" spans="2:11" s="25" customFormat="1">
      <c r="B28" s="336"/>
      <c r="C28" s="34"/>
      <c r="D28" s="35"/>
      <c r="E28" s="22"/>
      <c r="F28" s="22"/>
      <c r="G28" s="22"/>
      <c r="H28" s="22"/>
      <c r="I28" s="22"/>
      <c r="J28" s="349"/>
    </row>
    <row r="29" spans="2:11" s="25" customFormat="1" ht="45" customHeight="1">
      <c r="B29" s="337"/>
      <c r="D29" s="728" t="s">
        <v>2670</v>
      </c>
      <c r="E29" s="728"/>
      <c r="F29" s="289" t="s">
        <v>2666</v>
      </c>
      <c r="G29" s="291" t="s">
        <v>2663</v>
      </c>
      <c r="H29" s="22"/>
      <c r="I29" s="22"/>
      <c r="J29" s="350"/>
    </row>
    <row r="30" spans="2:11" s="25" customFormat="1" ht="18" customHeight="1">
      <c r="B30" s="337"/>
      <c r="D30" s="729" t="s">
        <v>2648</v>
      </c>
      <c r="E30" s="729"/>
      <c r="F30" s="382">
        <v>0</v>
      </c>
      <c r="G30" s="730">
        <v>5</v>
      </c>
      <c r="H30" s="22"/>
      <c r="I30" s="22"/>
      <c r="J30" s="350"/>
    </row>
    <row r="31" spans="2:11" s="25" customFormat="1" ht="18" customHeight="1">
      <c r="B31" s="337"/>
      <c r="D31" s="729" t="s">
        <v>2649</v>
      </c>
      <c r="E31" s="729"/>
      <c r="F31" s="382"/>
      <c r="G31" s="730"/>
      <c r="H31" s="22"/>
      <c r="I31" s="22"/>
      <c r="J31" s="350"/>
    </row>
    <row r="32" spans="2:11" s="25" customFormat="1" ht="18" customHeight="1">
      <c r="B32" s="337"/>
      <c r="D32" s="729" t="s">
        <v>2650</v>
      </c>
      <c r="E32" s="729"/>
      <c r="F32" s="382"/>
      <c r="G32" s="730"/>
      <c r="H32" s="22"/>
      <c r="I32" s="22"/>
      <c r="J32" s="350"/>
    </row>
    <row r="33" spans="1:10" s="25" customFormat="1" ht="18" customHeight="1">
      <c r="B33" s="337"/>
      <c r="D33" s="729" t="s">
        <v>2651</v>
      </c>
      <c r="E33" s="729"/>
      <c r="F33" s="382"/>
      <c r="G33" s="730"/>
      <c r="H33" s="22"/>
      <c r="I33" s="22"/>
      <c r="J33" s="350"/>
    </row>
    <row r="34" spans="1:10" s="25" customFormat="1" ht="18" customHeight="1">
      <c r="B34" s="337"/>
      <c r="D34" s="739"/>
      <c r="E34" s="739"/>
      <c r="F34" s="382"/>
      <c r="G34" s="730"/>
      <c r="H34" s="22"/>
      <c r="I34" s="22"/>
      <c r="J34" s="350"/>
    </row>
    <row r="35" spans="1:10" s="25" customFormat="1" ht="18" customHeight="1">
      <c r="B35" s="337"/>
      <c r="D35" s="739"/>
      <c r="E35" s="739"/>
      <c r="F35" s="382"/>
      <c r="G35" s="730"/>
      <c r="H35" s="22"/>
      <c r="I35" s="22"/>
      <c r="J35" s="350"/>
    </row>
    <row r="36" spans="1:10" s="25" customFormat="1" ht="18" customHeight="1">
      <c r="B36" s="337"/>
      <c r="D36" s="739"/>
      <c r="E36" s="739"/>
      <c r="F36" s="382"/>
      <c r="G36" s="730"/>
      <c r="H36" s="22"/>
      <c r="I36" s="22"/>
      <c r="J36" s="350"/>
    </row>
    <row r="37" spans="1:10" s="69" customFormat="1" ht="22.5" customHeight="1">
      <c r="B37" s="338"/>
      <c r="D37" s="731" t="s">
        <v>53</v>
      </c>
      <c r="E37" s="731"/>
      <c r="F37" s="342">
        <f>SUM(F30:F36)</f>
        <v>0</v>
      </c>
      <c r="G37" s="730"/>
      <c r="J37" s="351"/>
    </row>
    <row r="38" spans="1:10" s="69" customFormat="1" ht="20.25" customHeight="1">
      <c r="B38" s="338"/>
      <c r="J38" s="351"/>
    </row>
    <row r="39" spans="1:10" s="69" customFormat="1" ht="22.5" customHeight="1">
      <c r="B39" s="338"/>
      <c r="C39" s="737" t="s">
        <v>2671</v>
      </c>
      <c r="D39" s="738"/>
      <c r="E39" s="285" t="s">
        <v>78</v>
      </c>
      <c r="F39" s="290" t="s">
        <v>79</v>
      </c>
      <c r="G39" s="290" t="s">
        <v>60</v>
      </c>
      <c r="H39" s="290" t="s">
        <v>61</v>
      </c>
      <c r="I39" s="290" t="s">
        <v>62</v>
      </c>
      <c r="J39" s="351"/>
    </row>
    <row r="40" spans="1:10" s="69" customFormat="1" ht="18" customHeight="1">
      <c r="B40" s="338"/>
      <c r="C40" s="354" t="s">
        <v>122</v>
      </c>
      <c r="D40" s="287">
        <v>0</v>
      </c>
      <c r="E40" s="343">
        <f>('3-Pto Compras'!I132)*D40/360</f>
        <v>0</v>
      </c>
      <c r="F40" s="343">
        <f>$E40*'2-Pto Ventas'!$H$63</f>
        <v>0</v>
      </c>
      <c r="G40" s="343">
        <f>$F40*'2-Pto Ventas'!$H$64</f>
        <v>0</v>
      </c>
      <c r="H40" s="343">
        <f>$G40*'2-Pto Ventas'!$H$65</f>
        <v>0</v>
      </c>
      <c r="I40" s="343">
        <f>$H40*'2-Pto Ventas'!$H$66</f>
        <v>0</v>
      </c>
      <c r="J40" s="351"/>
    </row>
    <row r="41" spans="1:10" s="69" customFormat="1" ht="16.5" customHeight="1">
      <c r="B41" s="336"/>
      <c r="C41" s="34"/>
      <c r="D41" s="48"/>
      <c r="E41" s="70"/>
      <c r="F41" s="70"/>
      <c r="G41" s="70"/>
      <c r="H41" s="70"/>
      <c r="I41" s="70"/>
      <c r="J41" s="351"/>
    </row>
    <row r="42" spans="1:10" s="69" customFormat="1" ht="16.5" customHeight="1">
      <c r="B42" s="339"/>
      <c r="C42" s="34"/>
      <c r="D42" s="48"/>
      <c r="E42" s="70"/>
      <c r="F42" s="70"/>
      <c r="G42" s="70"/>
      <c r="H42" s="70"/>
      <c r="I42" s="70"/>
      <c r="J42" s="351"/>
    </row>
    <row r="43" spans="1:10" s="63" customFormat="1" ht="19.5" customHeight="1" thickBot="1">
      <c r="B43" s="279"/>
      <c r="C43" s="64"/>
      <c r="D43" s="64"/>
      <c r="E43" s="64"/>
      <c r="F43" s="352"/>
      <c r="G43" s="352"/>
      <c r="H43" s="352"/>
      <c r="I43" s="352"/>
      <c r="J43" s="353"/>
    </row>
    <row r="44" spans="1:10" s="63" customFormat="1" ht="25.5" customHeight="1" thickBot="1">
      <c r="B44" s="575" t="s">
        <v>2667</v>
      </c>
      <c r="C44" s="576"/>
      <c r="D44" s="576"/>
      <c r="E44" s="576"/>
      <c r="F44" s="576"/>
      <c r="G44" s="576"/>
      <c r="H44" s="576"/>
      <c r="I44" s="576"/>
      <c r="J44" s="577"/>
    </row>
    <row r="45" spans="1:10" s="63" customFormat="1" ht="15" customHeight="1">
      <c r="B45" s="257"/>
      <c r="C45" s="64"/>
      <c r="D45" s="64"/>
      <c r="E45" s="64"/>
      <c r="F45" s="253"/>
      <c r="G45" s="64"/>
      <c r="H45" s="64"/>
      <c r="I45" s="64"/>
      <c r="J45" s="258"/>
    </row>
    <row r="46" spans="1:10" ht="13.5" customHeight="1">
      <c r="B46" s="372"/>
      <c r="C46" s="9"/>
      <c r="D46" s="9"/>
      <c r="E46" s="9"/>
      <c r="F46" s="9"/>
      <c r="G46" s="9"/>
      <c r="J46" s="377"/>
    </row>
    <row r="47" spans="1:10" s="42" customFormat="1" ht="60" customHeight="1">
      <c r="A47" s="68"/>
      <c r="B47" s="373"/>
      <c r="C47" s="358"/>
      <c r="D47" s="711" t="s">
        <v>2664</v>
      </c>
      <c r="E47" s="712"/>
      <c r="F47" s="286" t="s">
        <v>2689</v>
      </c>
      <c r="G47" s="286" t="s">
        <v>2687</v>
      </c>
      <c r="H47" s="286" t="s">
        <v>2688</v>
      </c>
      <c r="J47" s="378"/>
    </row>
    <row r="48" spans="1:10" ht="18" customHeight="1">
      <c r="B48" s="373"/>
      <c r="C48" s="358"/>
      <c r="D48" s="713" t="s">
        <v>35</v>
      </c>
      <c r="E48" s="714"/>
      <c r="F48" s="359"/>
      <c r="G48" s="360">
        <f>+F25</f>
        <v>0</v>
      </c>
      <c r="H48" s="360">
        <f>+G48-F48</f>
        <v>0</v>
      </c>
      <c r="J48" s="377"/>
    </row>
    <row r="49" spans="1:10" ht="18" customHeight="1">
      <c r="B49" s="373"/>
      <c r="C49" s="358"/>
      <c r="D49" s="713" t="s">
        <v>36</v>
      </c>
      <c r="E49" s="714"/>
      <c r="F49" s="359">
        <v>0</v>
      </c>
      <c r="G49" s="360">
        <f>+F26</f>
        <v>0</v>
      </c>
      <c r="H49" s="360">
        <f>+G49-F49</f>
        <v>0</v>
      </c>
      <c r="J49" s="377"/>
    </row>
    <row r="50" spans="1:10" ht="18" customHeight="1">
      <c r="B50" s="373"/>
      <c r="C50" s="358"/>
      <c r="D50" s="713" t="s">
        <v>37</v>
      </c>
      <c r="E50" s="714"/>
      <c r="F50" s="359">
        <v>0</v>
      </c>
      <c r="G50" s="360">
        <f>+F37</f>
        <v>0</v>
      </c>
      <c r="H50" s="360">
        <f>+G50-F50</f>
        <v>0</v>
      </c>
      <c r="J50" s="377"/>
    </row>
    <row r="51" spans="1:10" ht="18" customHeight="1">
      <c r="B51" s="373"/>
      <c r="C51" s="358"/>
      <c r="D51" s="713" t="s">
        <v>38</v>
      </c>
      <c r="E51" s="714"/>
      <c r="F51" s="359"/>
      <c r="G51" s="360">
        <f>+F23+F24</f>
        <v>0</v>
      </c>
      <c r="H51" s="360">
        <f>+G51-F51</f>
        <v>0</v>
      </c>
      <c r="J51" s="377"/>
    </row>
    <row r="52" spans="1:10" s="42" customFormat="1" ht="24" customHeight="1">
      <c r="A52" s="68"/>
      <c r="B52" s="373"/>
      <c r="C52" s="358"/>
      <c r="D52" s="715" t="s">
        <v>39</v>
      </c>
      <c r="E52" s="716"/>
      <c r="F52" s="361">
        <f>SUM(F48:F51)</f>
        <v>0</v>
      </c>
      <c r="G52" s="361">
        <f>SUM(G48:G51)</f>
        <v>0</v>
      </c>
      <c r="H52" s="361">
        <f>SUM(H48:H51)</f>
        <v>0</v>
      </c>
      <c r="I52" s="20"/>
      <c r="J52" s="378"/>
    </row>
    <row r="53" spans="1:10" s="44" customFormat="1" ht="21.75" customHeight="1">
      <c r="B53" s="374"/>
      <c r="C53" s="357"/>
      <c r="D53" s="362"/>
      <c r="E53" s="13"/>
      <c r="F53" s="13"/>
      <c r="G53" s="19"/>
      <c r="H53" s="19"/>
      <c r="J53" s="46"/>
    </row>
    <row r="54" spans="1:10" s="42" customFormat="1" ht="45" customHeight="1">
      <c r="B54" s="375"/>
      <c r="C54" s="717" t="s">
        <v>51</v>
      </c>
      <c r="D54" s="718"/>
      <c r="E54" s="286" t="s">
        <v>2693</v>
      </c>
      <c r="F54" s="286" t="s">
        <v>2694</v>
      </c>
      <c r="G54" s="286" t="s">
        <v>2695</v>
      </c>
      <c r="H54" s="363" t="s">
        <v>2696</v>
      </c>
      <c r="I54" s="363" t="s">
        <v>2697</v>
      </c>
      <c r="J54" s="378"/>
    </row>
    <row r="55" spans="1:10" s="42" customFormat="1" ht="18" customHeight="1">
      <c r="B55" s="375"/>
      <c r="C55" s="719" t="s">
        <v>40</v>
      </c>
      <c r="D55" s="720"/>
      <c r="E55" s="366"/>
      <c r="F55" s="366"/>
      <c r="G55" s="367">
        <f>+F55-E55</f>
        <v>0</v>
      </c>
      <c r="H55" s="364"/>
      <c r="I55" s="365"/>
      <c r="J55" s="378"/>
    </row>
    <row r="56" spans="1:10" s="42" customFormat="1" ht="18" customHeight="1">
      <c r="B56" s="375"/>
      <c r="C56" s="721" t="s">
        <v>41</v>
      </c>
      <c r="D56" s="722"/>
      <c r="E56" s="366"/>
      <c r="F56" s="366"/>
      <c r="G56" s="367">
        <f>+F56-E56</f>
        <v>0</v>
      </c>
      <c r="H56" s="283">
        <v>10</v>
      </c>
      <c r="I56" s="381">
        <f>+F56/H56</f>
        <v>0</v>
      </c>
      <c r="J56" s="378"/>
    </row>
    <row r="57" spans="1:10" s="42" customFormat="1" ht="30" customHeight="1">
      <c r="B57" s="375"/>
      <c r="C57" s="725" t="s">
        <v>100</v>
      </c>
      <c r="D57" s="747"/>
      <c r="E57" s="747"/>
      <c r="F57" s="747"/>
      <c r="G57" s="747"/>
      <c r="H57" s="747"/>
      <c r="I57" s="726"/>
      <c r="J57" s="378"/>
    </row>
    <row r="58" spans="1:10" s="42" customFormat="1" ht="18" customHeight="1">
      <c r="B58" s="375"/>
      <c r="C58" s="741" t="s">
        <v>2821</v>
      </c>
      <c r="D58" s="742"/>
      <c r="E58" s="368">
        <v>34000000</v>
      </c>
      <c r="F58" s="368">
        <v>0</v>
      </c>
      <c r="G58" s="369">
        <f t="shared" ref="G58:G65" si="0">F58-E58</f>
        <v>-34000000</v>
      </c>
      <c r="H58" s="705">
        <v>3</v>
      </c>
      <c r="I58" s="708">
        <f>+F66/H58</f>
        <v>4927206</v>
      </c>
      <c r="J58" s="378"/>
    </row>
    <row r="59" spans="1:10" s="42" customFormat="1" ht="18" customHeight="1">
      <c r="B59" s="375"/>
      <c r="C59" s="741" t="s">
        <v>2822</v>
      </c>
      <c r="D59" s="742"/>
      <c r="E59" s="368">
        <v>8100000</v>
      </c>
      <c r="F59" s="368">
        <v>0</v>
      </c>
      <c r="G59" s="369">
        <f t="shared" si="0"/>
        <v>-8100000</v>
      </c>
      <c r="H59" s="706"/>
      <c r="I59" s="709"/>
      <c r="J59" s="378"/>
    </row>
    <row r="60" spans="1:10" s="42" customFormat="1" ht="18" customHeight="1">
      <c r="B60" s="375"/>
      <c r="C60" s="741" t="s">
        <v>2823</v>
      </c>
      <c r="D60" s="742"/>
      <c r="E60" s="368"/>
      <c r="F60" s="368">
        <v>10800000</v>
      </c>
      <c r="G60" s="369">
        <f t="shared" si="0"/>
        <v>10800000</v>
      </c>
      <c r="H60" s="706"/>
      <c r="I60" s="709"/>
      <c r="J60" s="378"/>
    </row>
    <row r="61" spans="1:10" s="42" customFormat="1" ht="18" customHeight="1">
      <c r="B61" s="375"/>
      <c r="C61" s="741" t="s">
        <v>2824</v>
      </c>
      <c r="D61" s="742"/>
      <c r="E61" s="368"/>
      <c r="F61" s="368">
        <v>1800000</v>
      </c>
      <c r="G61" s="369">
        <f t="shared" si="0"/>
        <v>1800000</v>
      </c>
      <c r="H61" s="706"/>
      <c r="I61" s="709"/>
      <c r="J61" s="378"/>
    </row>
    <row r="62" spans="1:10" s="42" customFormat="1" ht="18" customHeight="1">
      <c r="B62" s="375"/>
      <c r="C62" s="741" t="s">
        <v>2825</v>
      </c>
      <c r="D62" s="742"/>
      <c r="E62" s="368">
        <v>70000</v>
      </c>
      <c r="F62" s="368"/>
      <c r="G62" s="369">
        <f t="shared" si="0"/>
        <v>-70000</v>
      </c>
      <c r="H62" s="706"/>
      <c r="I62" s="709"/>
      <c r="J62" s="378"/>
    </row>
    <row r="63" spans="1:10" s="42" customFormat="1" ht="18" customHeight="1">
      <c r="B63" s="375"/>
      <c r="C63" s="741" t="s">
        <v>2826</v>
      </c>
      <c r="D63" s="742"/>
      <c r="E63" s="368"/>
      <c r="F63" s="368">
        <v>2181618</v>
      </c>
      <c r="G63" s="369">
        <f t="shared" si="0"/>
        <v>2181618</v>
      </c>
      <c r="H63" s="706"/>
      <c r="I63" s="709"/>
      <c r="J63" s="378"/>
    </row>
    <row r="64" spans="1:10" s="42" customFormat="1" ht="18" customHeight="1">
      <c r="B64" s="375"/>
      <c r="C64" s="741"/>
      <c r="D64" s="742"/>
      <c r="E64" s="368"/>
      <c r="F64" s="368"/>
      <c r="G64" s="369">
        <f t="shared" si="0"/>
        <v>0</v>
      </c>
      <c r="H64" s="706"/>
      <c r="I64" s="709"/>
      <c r="J64" s="378"/>
    </row>
    <row r="65" spans="2:10" s="42" customFormat="1" ht="18" customHeight="1">
      <c r="B65" s="375"/>
      <c r="C65" s="741"/>
      <c r="D65" s="742"/>
      <c r="E65" s="368"/>
      <c r="F65" s="368"/>
      <c r="G65" s="369">
        <f t="shared" si="0"/>
        <v>0</v>
      </c>
      <c r="H65" s="706"/>
      <c r="I65" s="709"/>
      <c r="J65" s="378"/>
    </row>
    <row r="66" spans="2:10" s="42" customFormat="1" ht="22.5" customHeight="1">
      <c r="B66" s="375"/>
      <c r="C66" s="725" t="s">
        <v>2690</v>
      </c>
      <c r="D66" s="726"/>
      <c r="E66" s="342">
        <f>SUM(E58:E65)</f>
        <v>42170000</v>
      </c>
      <c r="F66" s="342">
        <f>SUM(F58:F65)</f>
        <v>14781618</v>
      </c>
      <c r="G66" s="342">
        <f>SUM(G58:G65)</f>
        <v>-27388382</v>
      </c>
      <c r="H66" s="707"/>
      <c r="I66" s="710"/>
      <c r="J66" s="378"/>
    </row>
    <row r="67" spans="2:10" s="42" customFormat="1" ht="30" customHeight="1">
      <c r="B67" s="375"/>
      <c r="C67" s="725" t="s">
        <v>101</v>
      </c>
      <c r="D67" s="747"/>
      <c r="E67" s="747"/>
      <c r="F67" s="747"/>
      <c r="G67" s="747"/>
      <c r="H67" s="747"/>
      <c r="I67" s="726"/>
      <c r="J67" s="378"/>
    </row>
    <row r="68" spans="2:10" s="42" customFormat="1" ht="18" customHeight="1">
      <c r="B68" s="375"/>
      <c r="C68" s="741" t="s">
        <v>2817</v>
      </c>
      <c r="D68" s="742"/>
      <c r="E68" s="368">
        <v>1050000</v>
      </c>
      <c r="F68" s="368">
        <v>1050000</v>
      </c>
      <c r="G68" s="369">
        <f>F68-E68</f>
        <v>0</v>
      </c>
      <c r="H68" s="705">
        <v>10</v>
      </c>
      <c r="I68" s="708">
        <f>+F73/H68</f>
        <v>105000</v>
      </c>
      <c r="J68" s="378"/>
    </row>
    <row r="69" spans="2:10" s="42" customFormat="1" ht="18" customHeight="1">
      <c r="B69" s="375"/>
      <c r="C69" s="741" t="s">
        <v>2827</v>
      </c>
      <c r="D69" s="742"/>
      <c r="E69" s="366">
        <v>300000</v>
      </c>
      <c r="F69" s="366"/>
      <c r="G69" s="369">
        <f>F69-E69</f>
        <v>-300000</v>
      </c>
      <c r="H69" s="706"/>
      <c r="I69" s="709"/>
      <c r="J69" s="378"/>
    </row>
    <row r="70" spans="2:10" s="42" customFormat="1" ht="18" customHeight="1">
      <c r="B70" s="375"/>
      <c r="C70" s="741"/>
      <c r="D70" s="742"/>
      <c r="E70" s="366"/>
      <c r="F70" s="366"/>
      <c r="G70" s="369">
        <f>F70-E70</f>
        <v>0</v>
      </c>
      <c r="H70" s="706"/>
      <c r="I70" s="709"/>
      <c r="J70" s="378"/>
    </row>
    <row r="71" spans="2:10" s="42" customFormat="1" ht="18" customHeight="1">
      <c r="B71" s="375"/>
      <c r="C71" s="741"/>
      <c r="D71" s="742"/>
      <c r="E71" s="366"/>
      <c r="F71" s="366"/>
      <c r="G71" s="369">
        <f>F71-E71</f>
        <v>0</v>
      </c>
      <c r="H71" s="706"/>
      <c r="I71" s="709"/>
      <c r="J71" s="378"/>
    </row>
    <row r="72" spans="2:10" s="42" customFormat="1" ht="18" customHeight="1">
      <c r="B72" s="375"/>
      <c r="C72" s="743"/>
      <c r="D72" s="744"/>
      <c r="E72" s="366"/>
      <c r="F72" s="366"/>
      <c r="G72" s="369">
        <f>F72-E72</f>
        <v>0</v>
      </c>
      <c r="H72" s="706"/>
      <c r="I72" s="709"/>
      <c r="J72" s="378"/>
    </row>
    <row r="73" spans="2:10" s="42" customFormat="1" ht="22.5" customHeight="1">
      <c r="B73" s="375"/>
      <c r="C73" s="723" t="s">
        <v>75</v>
      </c>
      <c r="D73" s="724"/>
      <c r="E73" s="342">
        <f>SUM(E68:E72)</f>
        <v>1350000</v>
      </c>
      <c r="F73" s="342">
        <f>SUM(F68:F72)</f>
        <v>1050000</v>
      </c>
      <c r="G73" s="342">
        <f>SUM(G68:G72)</f>
        <v>-300000</v>
      </c>
      <c r="H73" s="707"/>
      <c r="I73" s="710"/>
      <c r="J73" s="378"/>
    </row>
    <row r="74" spans="2:10" s="42" customFormat="1" ht="30" customHeight="1">
      <c r="B74" s="375"/>
      <c r="C74" s="725" t="s">
        <v>44</v>
      </c>
      <c r="D74" s="747"/>
      <c r="E74" s="747"/>
      <c r="F74" s="747"/>
      <c r="G74" s="747"/>
      <c r="H74" s="747"/>
      <c r="I74" s="726"/>
      <c r="J74" s="378"/>
    </row>
    <row r="75" spans="2:10" s="42" customFormat="1" ht="18" customHeight="1">
      <c r="B75" s="375"/>
      <c r="C75" s="741"/>
      <c r="D75" s="742"/>
      <c r="E75" s="366"/>
      <c r="F75" s="368"/>
      <c r="G75" s="369">
        <f>+F75-E75</f>
        <v>0</v>
      </c>
      <c r="H75" s="705">
        <v>5</v>
      </c>
      <c r="I75" s="708">
        <f>+F79/H75</f>
        <v>0</v>
      </c>
      <c r="J75" s="378"/>
    </row>
    <row r="76" spans="2:10" s="42" customFormat="1" ht="18" customHeight="1">
      <c r="B76" s="375"/>
      <c r="C76" s="741"/>
      <c r="D76" s="742"/>
      <c r="E76" s="366"/>
      <c r="F76" s="366"/>
      <c r="G76" s="369">
        <f>+F76-E76</f>
        <v>0</v>
      </c>
      <c r="H76" s="706"/>
      <c r="I76" s="709"/>
      <c r="J76" s="378"/>
    </row>
    <row r="77" spans="2:10" s="42" customFormat="1" ht="18" customHeight="1">
      <c r="B77" s="375"/>
      <c r="C77" s="741"/>
      <c r="D77" s="742"/>
      <c r="E77" s="366"/>
      <c r="F77" s="366"/>
      <c r="G77" s="369">
        <f>+F77-E77</f>
        <v>0</v>
      </c>
      <c r="H77" s="706"/>
      <c r="I77" s="709"/>
      <c r="J77" s="378"/>
    </row>
    <row r="78" spans="2:10" s="42" customFormat="1" ht="18" customHeight="1">
      <c r="B78" s="375"/>
      <c r="C78" s="743"/>
      <c r="D78" s="744"/>
      <c r="E78" s="366"/>
      <c r="F78" s="366"/>
      <c r="G78" s="369">
        <f>+F78-E78</f>
        <v>0</v>
      </c>
      <c r="H78" s="706"/>
      <c r="I78" s="709"/>
      <c r="J78" s="378"/>
    </row>
    <row r="79" spans="2:10" s="42" customFormat="1" ht="22.5" customHeight="1">
      <c r="B79" s="375"/>
      <c r="C79" s="723" t="s">
        <v>2691</v>
      </c>
      <c r="D79" s="724"/>
      <c r="E79" s="342">
        <f>SUM(E75:E78)</f>
        <v>0</v>
      </c>
      <c r="F79" s="342">
        <f>SUM(F75:F78)</f>
        <v>0</v>
      </c>
      <c r="G79" s="342">
        <f>SUM(G75:G78)</f>
        <v>0</v>
      </c>
      <c r="H79" s="707"/>
      <c r="I79" s="710"/>
      <c r="J79" s="378"/>
    </row>
    <row r="80" spans="2:10" s="42" customFormat="1" ht="22.5" customHeight="1">
      <c r="B80" s="375"/>
      <c r="C80" s="745" t="s">
        <v>2692</v>
      </c>
      <c r="D80" s="746"/>
      <c r="E80" s="361">
        <f>+E55+E56+E66+E73+E79</f>
        <v>43520000</v>
      </c>
      <c r="F80" s="361">
        <f>+F55+F56+F66+F73+F79</f>
        <v>15831618</v>
      </c>
      <c r="G80" s="361">
        <f>+G55+G56+G66+G73+G79</f>
        <v>-27688382</v>
      </c>
      <c r="H80" s="371"/>
      <c r="I80" s="370">
        <f>+I56+I58+I68+I75</f>
        <v>5032206</v>
      </c>
      <c r="J80" s="378"/>
    </row>
    <row r="81" spans="2:13" s="42" customFormat="1" ht="22.5" customHeight="1">
      <c r="B81" s="375"/>
      <c r="C81" s="745" t="s">
        <v>57</v>
      </c>
      <c r="D81" s="746"/>
      <c r="E81" s="342">
        <f>+F52+E80</f>
        <v>43520000</v>
      </c>
      <c r="F81" s="342">
        <f>+G52+F80</f>
        <v>15831618</v>
      </c>
      <c r="G81" s="342">
        <f>+H52+G80</f>
        <v>-27688382</v>
      </c>
      <c r="J81" s="379">
        <f>+J52</f>
        <v>0</v>
      </c>
    </row>
    <row r="82" spans="2:13" s="42" customFormat="1" ht="22.5" customHeight="1">
      <c r="B82" s="375"/>
      <c r="C82" s="745" t="s">
        <v>58</v>
      </c>
      <c r="D82" s="746"/>
      <c r="E82" s="415">
        <f>+E81/$F$81</f>
        <v>2.7489293892765732</v>
      </c>
      <c r="F82" s="415">
        <f>+F81/$F$81</f>
        <v>1</v>
      </c>
      <c r="G82" s="415">
        <f>+G81/$F$81</f>
        <v>-1.7489293892765729</v>
      </c>
      <c r="J82" s="378"/>
    </row>
    <row r="83" spans="2:13" s="42" customFormat="1" ht="12.75" customHeight="1">
      <c r="B83" s="375"/>
      <c r="C83" s="71"/>
      <c r="J83" s="378"/>
    </row>
    <row r="84" spans="2:13">
      <c r="B84" s="373"/>
      <c r="J84" s="377"/>
    </row>
    <row r="85" spans="2:13" s="63" customFormat="1" ht="19.5" customHeight="1" thickBot="1">
      <c r="B85" s="376"/>
      <c r="C85" s="64"/>
      <c r="D85" s="64"/>
      <c r="E85" s="64"/>
      <c r="F85" s="64"/>
      <c r="G85" s="64"/>
      <c r="H85" s="64"/>
      <c r="I85" s="64"/>
      <c r="J85" s="380"/>
    </row>
    <row r="86" spans="2:13" s="56" customFormat="1" ht="14.25" thickTop="1" thickBot="1">
      <c r="B86" s="269"/>
      <c r="C86" s="270"/>
      <c r="D86" s="270"/>
      <c r="E86" s="270"/>
      <c r="F86" s="270"/>
      <c r="G86" s="270"/>
      <c r="H86" s="270"/>
      <c r="I86" s="270"/>
      <c r="J86" s="271"/>
      <c r="K86" s="65"/>
      <c r="L86" s="65"/>
      <c r="M86" s="65"/>
    </row>
    <row r="87" spans="2:13" ht="13.5" thickTop="1"/>
  </sheetData>
  <sheetProtection algorithmName="SHA-512" hashValue="IkEgntoA80tC19a19Xv40hKcf0RJ7qoQZy8EVHsvOy7HTYj/ujdXHY61nJnA2UmKoSKXdfzs8fWEWbql1bHKDA==" saltValue="eD8jrsUAgGqcgHock7B+cg==" spinCount="100000" sheet="1" objects="1" scenarios="1" selectLockedCells="1"/>
  <mergeCells count="69">
    <mergeCell ref="C80:D80"/>
    <mergeCell ref="C81:D81"/>
    <mergeCell ref="C82:D82"/>
    <mergeCell ref="C57:I57"/>
    <mergeCell ref="C67:I67"/>
    <mergeCell ref="C74:I74"/>
    <mergeCell ref="H75:H79"/>
    <mergeCell ref="I75:I79"/>
    <mergeCell ref="C79:D79"/>
    <mergeCell ref="C75:D75"/>
    <mergeCell ref="C76:D76"/>
    <mergeCell ref="C77:D77"/>
    <mergeCell ref="C78:D78"/>
    <mergeCell ref="C68:D68"/>
    <mergeCell ref="C69:D69"/>
    <mergeCell ref="C70:D70"/>
    <mergeCell ref="C72:D72"/>
    <mergeCell ref="C62:D62"/>
    <mergeCell ref="C63:D63"/>
    <mergeCell ref="C64:D64"/>
    <mergeCell ref="C65:D65"/>
    <mergeCell ref="C58:D58"/>
    <mergeCell ref="C59:D59"/>
    <mergeCell ref="C60:D60"/>
    <mergeCell ref="C61:D61"/>
    <mergeCell ref="C71:D71"/>
    <mergeCell ref="C39:D39"/>
    <mergeCell ref="B3:J3"/>
    <mergeCell ref="B9:J9"/>
    <mergeCell ref="B19:J19"/>
    <mergeCell ref="C5:E5"/>
    <mergeCell ref="F5:I5"/>
    <mergeCell ref="C7:E7"/>
    <mergeCell ref="F7:I7"/>
    <mergeCell ref="D37:E37"/>
    <mergeCell ref="D32:E32"/>
    <mergeCell ref="D33:E33"/>
    <mergeCell ref="D34:E34"/>
    <mergeCell ref="D35:E35"/>
    <mergeCell ref="D36:E36"/>
    <mergeCell ref="D27:E27"/>
    <mergeCell ref="C21:C22"/>
    <mergeCell ref="B21:B22"/>
    <mergeCell ref="D29:E29"/>
    <mergeCell ref="D30:E30"/>
    <mergeCell ref="D31:E31"/>
    <mergeCell ref="G30:G37"/>
    <mergeCell ref="F21:J21"/>
    <mergeCell ref="D21:E22"/>
    <mergeCell ref="D23:E23"/>
    <mergeCell ref="D24:E24"/>
    <mergeCell ref="D25:E25"/>
    <mergeCell ref="D26:E26"/>
    <mergeCell ref="H68:H73"/>
    <mergeCell ref="I68:I73"/>
    <mergeCell ref="B44:J44"/>
    <mergeCell ref="H58:H66"/>
    <mergeCell ref="I58:I66"/>
    <mergeCell ref="D47:E47"/>
    <mergeCell ref="D48:E48"/>
    <mergeCell ref="D49:E49"/>
    <mergeCell ref="D50:E50"/>
    <mergeCell ref="D51:E51"/>
    <mergeCell ref="D52:E52"/>
    <mergeCell ref="C54:D54"/>
    <mergeCell ref="C55:D55"/>
    <mergeCell ref="C56:D56"/>
    <mergeCell ref="C73:D73"/>
    <mergeCell ref="C66:D66"/>
  </mergeCells>
  <phoneticPr fontId="9" type="noConversion"/>
  <pageMargins left="0.34" right="0.75" top="0.46" bottom="1" header="0" footer="0"/>
  <pageSetup scale="57" orientation="landscape" verticalDpi="300" r:id="rId1"/>
  <headerFooter alignWithMargins="0"/>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5">
    <pageSetUpPr fitToPage="1"/>
  </sheetPr>
  <dimension ref="A1:G51"/>
  <sheetViews>
    <sheetView showGridLines="0" showZeros="0" showOutlineSymbols="0" zoomScale="91" zoomScaleNormal="91" workbookViewId="0"/>
  </sheetViews>
  <sheetFormatPr baseColWidth="10" defaultColWidth="0" defaultRowHeight="12.75" zeroHeight="1"/>
  <cols>
    <col min="1" max="1" width="1.5703125" style="2" customWidth="1"/>
    <col min="2" max="3" width="71.42578125" style="2" customWidth="1"/>
    <col min="4" max="5" width="11.42578125" style="2" customWidth="1"/>
    <col min="6" max="7" width="0" style="2" hidden="1" customWidth="1"/>
    <col min="8" max="16384" width="11.42578125" style="2" hidden="1"/>
  </cols>
  <sheetData>
    <row r="1" spans="1:3" ht="12" customHeight="1">
      <c r="A1" s="247"/>
      <c r="B1" s="74"/>
      <c r="C1" s="74"/>
    </row>
    <row r="2" spans="1:3" ht="15.75" customHeight="1">
      <c r="B2" s="748" t="s">
        <v>2575</v>
      </c>
      <c r="C2" s="749"/>
    </row>
    <row r="3" spans="1:3" ht="4.5" customHeight="1" thickBot="1">
      <c r="B3" s="188"/>
      <c r="C3" s="189"/>
    </row>
    <row r="4" spans="1:3" ht="14.25" thickTop="1" thickBot="1">
      <c r="B4" s="193" t="s">
        <v>20</v>
      </c>
      <c r="C4" s="194" t="str">
        <f>+'1-Datos Generales'!$H$5</f>
        <v>SEGI</v>
      </c>
    </row>
    <row r="5" spans="1:3" ht="4.5" customHeight="1" thickTop="1" thickBot="1">
      <c r="B5" s="192"/>
      <c r="C5" s="195"/>
    </row>
    <row r="6" spans="1:3" ht="14.25" thickTop="1" thickBot="1">
      <c r="B6" s="193" t="s">
        <v>2576</v>
      </c>
      <c r="C6" s="194">
        <f>+'1-Datos Generales'!$D$11</f>
        <v>0</v>
      </c>
    </row>
    <row r="7" spans="1:3" ht="4.5" customHeight="1" thickTop="1">
      <c r="B7" s="190"/>
      <c r="C7" s="191"/>
    </row>
    <row r="8" spans="1:3" ht="15.75" customHeight="1">
      <c r="B8" s="760" t="s">
        <v>2609</v>
      </c>
      <c r="C8" s="761"/>
    </row>
    <row r="9" spans="1:3" ht="48" customHeight="1">
      <c r="B9" s="756" t="s">
        <v>2804</v>
      </c>
      <c r="C9" s="757"/>
    </row>
    <row r="10" spans="1:3" ht="8.25" customHeight="1">
      <c r="B10" s="758"/>
      <c r="C10" s="759"/>
    </row>
    <row r="11" spans="1:3"/>
    <row r="12" spans="1:3"/>
    <row r="13" spans="1:3" ht="15.75">
      <c r="B13" s="750" t="s">
        <v>2610</v>
      </c>
      <c r="C13" s="751"/>
    </row>
    <row r="14" spans="1:3" ht="102.75" customHeight="1">
      <c r="B14" s="752" t="s">
        <v>2806</v>
      </c>
      <c r="C14" s="753"/>
    </row>
    <row r="15" spans="1:3" ht="48" customHeight="1">
      <c r="B15" s="754"/>
      <c r="C15" s="755"/>
    </row>
    <row r="16" spans="1:3"/>
    <row r="17" spans="2:3"/>
    <row r="18" spans="2:3" ht="15.75">
      <c r="B18" s="750" t="s">
        <v>2611</v>
      </c>
      <c r="C18" s="751"/>
    </row>
    <row r="19" spans="2:3" ht="268.5" customHeight="1">
      <c r="B19" s="756" t="s">
        <v>2805</v>
      </c>
      <c r="C19" s="757"/>
    </row>
    <row r="20" spans="2:3" ht="16.5" customHeight="1">
      <c r="B20" s="758"/>
      <c r="C20" s="759"/>
    </row>
    <row r="21" spans="2:3"/>
    <row r="22" spans="2:3"/>
    <row r="23" spans="2:3" ht="15.75">
      <c r="B23" s="750" t="s">
        <v>2612</v>
      </c>
      <c r="C23" s="751"/>
    </row>
    <row r="24" spans="2:3" ht="126" customHeight="1">
      <c r="B24" s="752" t="s">
        <v>2799</v>
      </c>
      <c r="C24" s="753"/>
    </row>
    <row r="25" spans="2:3" ht="48.75" customHeight="1">
      <c r="B25" s="754"/>
      <c r="C25" s="755"/>
    </row>
    <row r="26" spans="2:3"/>
    <row r="27" spans="2:3"/>
    <row r="28" spans="2:3" ht="15.75">
      <c r="B28" s="750" t="s">
        <v>2613</v>
      </c>
      <c r="C28" s="751"/>
    </row>
    <row r="29" spans="2:3" ht="99.75" customHeight="1">
      <c r="B29" s="762" t="s">
        <v>2798</v>
      </c>
      <c r="C29" s="763"/>
    </row>
    <row r="30" spans="2:3" ht="15" customHeight="1">
      <c r="B30" s="754"/>
      <c r="C30" s="755"/>
    </row>
    <row r="31" spans="2:3"/>
    <row r="32" spans="2:3"/>
    <row r="33" spans="2:3" ht="15.75">
      <c r="B33" s="750" t="s">
        <v>2614</v>
      </c>
      <c r="C33" s="751"/>
    </row>
    <row r="34" spans="2:3" ht="51" customHeight="1">
      <c r="B34" s="762" t="s">
        <v>2800</v>
      </c>
      <c r="C34" s="763"/>
    </row>
    <row r="35" spans="2:3" ht="18" customHeight="1">
      <c r="B35" s="754"/>
      <c r="C35" s="755"/>
    </row>
    <row r="36" spans="2:3"/>
    <row r="37" spans="2:3"/>
    <row r="38" spans="2:3" ht="15.75">
      <c r="B38" s="750" t="s">
        <v>2615</v>
      </c>
      <c r="C38" s="751"/>
    </row>
    <row r="39" spans="2:3" ht="35.25" customHeight="1">
      <c r="B39" s="756" t="s">
        <v>2801</v>
      </c>
      <c r="C39" s="757"/>
    </row>
    <row r="40" spans="2:3" ht="39.75" customHeight="1">
      <c r="B40" s="758"/>
      <c r="C40" s="759"/>
    </row>
    <row r="41" spans="2:3"/>
    <row r="42" spans="2:3" ht="15.75">
      <c r="B42" s="750" t="s">
        <v>2803</v>
      </c>
      <c r="C42" s="751"/>
    </row>
    <row r="43" spans="2:3" ht="84.75" customHeight="1">
      <c r="B43" s="756" t="s">
        <v>2802</v>
      </c>
      <c r="C43" s="757"/>
    </row>
    <row r="44" spans="2:3" ht="21" customHeight="1">
      <c r="B44" s="758"/>
      <c r="C44" s="759"/>
    </row>
    <row r="45" spans="2:3"/>
    <row r="46" spans="2:3"/>
    <row r="47" spans="2:3"/>
    <row r="48" spans="2:3"/>
    <row r="49"/>
    <row r="50"/>
    <row r="51"/>
  </sheetData>
  <sheetProtection algorithmName="SHA-512" hashValue="lrh13bVjSYFGgC60ULUarpGvBeLhp3aZnZbtlUl6er87DyYlqZ6O9FTUh0G1ujMtGDo/68lByqnBIrL3Ugq/oA==" saltValue="S98/h+gP4wgcjg/a19gRng==" spinCount="100000" sheet="1" objects="1" scenarios="1" selectLockedCells="1"/>
  <mergeCells count="17">
    <mergeCell ref="B43:C44"/>
    <mergeCell ref="B42:C42"/>
    <mergeCell ref="B38:C38"/>
    <mergeCell ref="B34:C35"/>
    <mergeCell ref="B39:C40"/>
    <mergeCell ref="B33:C33"/>
    <mergeCell ref="B8:C8"/>
    <mergeCell ref="B13:C13"/>
    <mergeCell ref="B18:C18"/>
    <mergeCell ref="B24:C25"/>
    <mergeCell ref="B9:C10"/>
    <mergeCell ref="B29:C30"/>
    <mergeCell ref="B2:C2"/>
    <mergeCell ref="B23:C23"/>
    <mergeCell ref="B28:C28"/>
    <mergeCell ref="B14:C15"/>
    <mergeCell ref="B19:C20"/>
  </mergeCells>
  <phoneticPr fontId="0" type="noConversion"/>
  <printOptions horizontalCentered="1" verticalCentered="1"/>
  <pageMargins left="0.27559055118110237" right="0.23622047244094491" top="0.19685039370078741" bottom="0.19685039370078741" header="0" footer="0"/>
  <pageSetup scale="41" orientation="landscape" r:id="rId1"/>
  <headerFooter alignWithMargins="0">
    <oddHeader>&amp;CPlan de Negocio&amp;R&amp;G</oddHeader>
    <oddFooter>&amp;L&amp;D&amp;C&amp;P</oddFooter>
  </headerFooter>
  <rowBreaks count="1" manualBreakCount="1">
    <brk id="21" max="16383" man="1"/>
  </rowBreaks>
  <cellWatches>
    <cellWatch r="B8"/>
  </cellWatches>
  <drawing r:id="rId2"/>
  <legacyDrawing r:id="rId3"/>
  <legacyDrawingHF r:id="rId4"/>
  <controls>
    <mc:AlternateContent xmlns:mc="http://schemas.openxmlformats.org/markup-compatibility/2006">
      <mc:Choice Requires="x14">
        <control shapeId="18461" r:id="rId5" name="CommandButton2">
          <controlPr defaultSize="0" print="0" autoFill="0" autoLine="0" r:id="rId6">
            <anchor moveWithCells="1">
              <from>
                <xdr:col>3</xdr:col>
                <xdr:colOff>47625</xdr:colOff>
                <xdr:row>7</xdr:row>
                <xdr:rowOff>9525</xdr:rowOff>
              </from>
              <to>
                <xdr:col>3</xdr:col>
                <xdr:colOff>638175</xdr:colOff>
                <xdr:row>8</xdr:row>
                <xdr:rowOff>466725</xdr:rowOff>
              </to>
            </anchor>
          </controlPr>
        </control>
      </mc:Choice>
      <mc:Fallback>
        <control shapeId="18461" r:id="rId5" name="CommandButton2"/>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6">
    <pageSetUpPr autoPageBreaks="0"/>
  </sheetPr>
  <dimension ref="A1:T56"/>
  <sheetViews>
    <sheetView showGridLines="0" showRowColHeaders="0" showZeros="0" showOutlineSymbols="0" zoomScale="70" zoomScaleNormal="70" workbookViewId="0"/>
  </sheetViews>
  <sheetFormatPr baseColWidth="10" defaultColWidth="0" defaultRowHeight="12.75" zeroHeight="1"/>
  <cols>
    <col min="1" max="1" width="2.28515625" customWidth="1"/>
    <col min="2" max="2" width="47.85546875" customWidth="1"/>
    <col min="3" max="3" width="10.7109375" customWidth="1"/>
    <col min="4" max="5" width="15.7109375" customWidth="1"/>
    <col min="6" max="6" width="10" customWidth="1"/>
    <col min="7" max="8" width="15.7109375" customWidth="1"/>
    <col min="9" max="9" width="10" customWidth="1"/>
    <col min="10" max="11" width="15.7109375" customWidth="1"/>
    <col min="12" max="12" width="10" customWidth="1"/>
    <col min="13" max="14" width="15.7109375" customWidth="1"/>
    <col min="15" max="15" width="10" customWidth="1"/>
    <col min="16" max="17" width="15.7109375" customWidth="1"/>
    <col min="18" max="18" width="11.42578125" customWidth="1"/>
    <col min="19" max="20" width="0" hidden="1" customWidth="1"/>
    <col min="21" max="16384" width="11.42578125" hidden="1"/>
  </cols>
  <sheetData>
    <row r="1" spans="1:19" s="63" customFormat="1" ht="13.5" thickBot="1">
      <c r="A1" s="246"/>
      <c r="B1" s="56"/>
      <c r="C1" s="56"/>
      <c r="D1" s="56"/>
      <c r="E1" s="56"/>
      <c r="F1" s="56"/>
      <c r="H1" s="56"/>
      <c r="I1" s="56"/>
      <c r="J1" s="56"/>
      <c r="K1" s="56"/>
      <c r="L1" s="56"/>
      <c r="M1" s="64"/>
    </row>
    <row r="2" spans="1:19" s="63" customFormat="1" ht="7.5" customHeight="1" thickTop="1">
      <c r="A2" s="56"/>
      <c r="B2" s="37"/>
      <c r="C2" s="38"/>
      <c r="D2" s="233"/>
      <c r="E2" s="233"/>
      <c r="F2" s="233"/>
      <c r="G2" s="233"/>
      <c r="H2" s="233"/>
      <c r="I2" s="233"/>
      <c r="J2" s="233"/>
      <c r="K2" s="233"/>
      <c r="L2" s="233"/>
      <c r="M2" s="233"/>
      <c r="N2" s="233"/>
      <c r="O2" s="233"/>
      <c r="P2" s="233"/>
      <c r="Q2" s="234"/>
      <c r="R2" s="56"/>
      <c r="S2" s="64"/>
    </row>
    <row r="3" spans="1:19" s="63" customFormat="1" ht="20.25">
      <c r="A3" s="56"/>
      <c r="B3" s="618" t="s">
        <v>2701</v>
      </c>
      <c r="C3" s="619"/>
      <c r="D3" s="619"/>
      <c r="E3" s="619"/>
      <c r="F3" s="619"/>
      <c r="G3" s="619"/>
      <c r="H3" s="619"/>
      <c r="I3" s="619"/>
      <c r="J3" s="619"/>
      <c r="K3" s="619"/>
      <c r="L3" s="619"/>
      <c r="M3" s="619"/>
      <c r="N3" s="619"/>
      <c r="O3" s="619"/>
      <c r="P3" s="619"/>
      <c r="Q3" s="620"/>
      <c r="R3" s="56"/>
      <c r="S3" s="64"/>
    </row>
    <row r="4" spans="1:19" s="63" customFormat="1" ht="13.5" thickBot="1">
      <c r="A4" s="56"/>
      <c r="B4" s="201"/>
      <c r="C4" s="65"/>
      <c r="D4" s="65"/>
      <c r="E4" s="65"/>
      <c r="F4" s="65"/>
      <c r="G4" s="65"/>
      <c r="H4" s="65"/>
      <c r="I4" s="65"/>
      <c r="J4" s="65"/>
      <c r="K4" s="65"/>
      <c r="L4" s="65"/>
      <c r="M4" s="65"/>
      <c r="N4" s="65"/>
      <c r="O4" s="65"/>
      <c r="P4" s="65"/>
      <c r="Q4" s="274"/>
      <c r="R4" s="56"/>
      <c r="S4" s="64"/>
    </row>
    <row r="5" spans="1:19" s="63" customFormat="1" ht="14.25" thickTop="1" thickBot="1">
      <c r="B5" s="210"/>
      <c r="E5" s="393" t="s">
        <v>2579</v>
      </c>
      <c r="F5" s="393"/>
      <c r="G5" s="393"/>
      <c r="H5" s="280"/>
      <c r="I5" s="621" t="str">
        <f>+'1-Datos Generales'!$H$5</f>
        <v>SEGI</v>
      </c>
      <c r="J5" s="622"/>
      <c r="K5" s="622"/>
      <c r="L5" s="623"/>
      <c r="M5" s="388"/>
      <c r="N5" s="388"/>
      <c r="O5" s="388"/>
      <c r="P5" s="388"/>
      <c r="Q5" s="202"/>
      <c r="S5" s="64"/>
    </row>
    <row r="6" spans="1:19" s="56" customFormat="1" ht="4.5" customHeight="1" thickTop="1" thickBot="1">
      <c r="B6" s="201" t="s">
        <v>212</v>
      </c>
      <c r="E6" s="65"/>
      <c r="F6" s="65" t="s">
        <v>7</v>
      </c>
      <c r="G6" s="196"/>
      <c r="H6" s="196"/>
      <c r="I6" s="196"/>
      <c r="J6" s="65"/>
      <c r="K6" s="65"/>
      <c r="L6" s="65"/>
      <c r="M6" s="65"/>
      <c r="N6" s="65"/>
      <c r="O6" s="65"/>
      <c r="P6" s="65"/>
      <c r="Q6" s="202"/>
      <c r="R6" s="65"/>
      <c r="S6" s="65"/>
    </row>
    <row r="7" spans="1:19" s="63" customFormat="1" ht="14.25" thickTop="1" thickBot="1">
      <c r="B7" s="210"/>
      <c r="E7" s="393" t="s">
        <v>2576</v>
      </c>
      <c r="F7" s="393"/>
      <c r="G7" s="393"/>
      <c r="H7" s="280"/>
      <c r="I7" s="621">
        <f>+'1-Datos Generales'!$D$11</f>
        <v>0</v>
      </c>
      <c r="J7" s="622"/>
      <c r="K7" s="622"/>
      <c r="L7" s="623"/>
      <c r="M7" s="388"/>
      <c r="N7" s="388"/>
      <c r="O7" s="388"/>
      <c r="P7" s="388"/>
      <c r="Q7" s="202"/>
      <c r="S7" s="64"/>
    </row>
    <row r="8" spans="1:19" s="2" customFormat="1" ht="13.5" thickTop="1">
      <c r="B8" s="391"/>
      <c r="C8" s="47"/>
      <c r="D8" s="47"/>
      <c r="E8" s="47"/>
      <c r="F8" s="47"/>
      <c r="G8" s="47"/>
      <c r="H8" s="47"/>
      <c r="I8" s="47"/>
      <c r="J8" s="78"/>
      <c r="K8" s="78"/>
      <c r="L8" s="78"/>
      <c r="M8" s="78"/>
      <c r="N8" s="78"/>
      <c r="O8" s="78"/>
      <c r="P8" s="78"/>
      <c r="Q8" s="392"/>
      <c r="R8" s="76"/>
    </row>
    <row r="9" spans="1:19" s="56" customFormat="1" ht="4.5" customHeight="1" thickBot="1">
      <c r="B9" s="201" t="s">
        <v>212</v>
      </c>
      <c r="C9" s="65"/>
      <c r="D9" s="65" t="s">
        <v>7</v>
      </c>
      <c r="E9" s="196"/>
      <c r="F9" s="196"/>
      <c r="G9" s="196"/>
      <c r="H9" s="65"/>
      <c r="I9" s="65"/>
      <c r="J9" s="65"/>
      <c r="K9" s="65"/>
      <c r="L9" s="65"/>
      <c r="M9" s="65"/>
      <c r="N9" s="65"/>
      <c r="O9" s="65"/>
      <c r="P9" s="65"/>
      <c r="Q9" s="202"/>
      <c r="R9" s="65"/>
      <c r="S9" s="65"/>
    </row>
    <row r="10" spans="1:19" s="56" customFormat="1" ht="25.5" customHeight="1" thickBot="1">
      <c r="B10" s="765" t="s">
        <v>2591</v>
      </c>
      <c r="C10" s="766"/>
      <c r="D10" s="766"/>
      <c r="E10" s="766"/>
      <c r="F10" s="766"/>
      <c r="G10" s="766"/>
      <c r="H10" s="766"/>
      <c r="I10" s="766"/>
      <c r="J10" s="766"/>
      <c r="K10" s="766"/>
      <c r="L10" s="766"/>
      <c r="M10" s="766"/>
      <c r="N10" s="766"/>
      <c r="O10" s="766"/>
      <c r="P10" s="766"/>
      <c r="Q10" s="767"/>
    </row>
    <row r="11" spans="1:19" s="63" customFormat="1" ht="16.5" customHeight="1">
      <c r="B11" s="257"/>
      <c r="C11" s="345"/>
      <c r="D11" s="345"/>
      <c r="E11" s="345"/>
      <c r="F11" s="345"/>
      <c r="G11" s="345"/>
      <c r="H11" s="345"/>
      <c r="I11" s="345"/>
      <c r="J11" s="345"/>
      <c r="K11" s="345"/>
      <c r="L11" s="345"/>
      <c r="M11" s="345"/>
      <c r="N11" s="345"/>
      <c r="O11" s="345"/>
      <c r="P11" s="345"/>
      <c r="Q11" s="258"/>
      <c r="S11" s="64"/>
    </row>
    <row r="12" spans="1:19" s="2" customFormat="1" ht="21" customHeight="1">
      <c r="A12" s="47"/>
      <c r="B12" s="402"/>
      <c r="C12" s="49"/>
      <c r="D12" s="49"/>
      <c r="E12" s="49"/>
      <c r="F12" s="49"/>
      <c r="G12" s="49"/>
      <c r="H12" s="49"/>
      <c r="I12" s="49"/>
      <c r="J12" s="77"/>
      <c r="K12" s="77"/>
      <c r="L12" s="77"/>
      <c r="M12" s="77"/>
      <c r="N12" s="77"/>
      <c r="O12" s="77"/>
      <c r="P12" s="77"/>
      <c r="Q12" s="408"/>
      <c r="R12" s="76"/>
    </row>
    <row r="13" spans="1:19" s="2" customFormat="1">
      <c r="B13" s="391"/>
      <c r="C13" s="47"/>
      <c r="D13" s="47"/>
      <c r="E13" s="47"/>
      <c r="F13" s="47"/>
      <c r="G13" s="47"/>
      <c r="H13" s="47"/>
      <c r="I13" s="47"/>
      <c r="J13" s="78"/>
      <c r="K13" s="78"/>
      <c r="L13" s="78"/>
      <c r="M13" s="78"/>
      <c r="N13" s="78"/>
      <c r="O13" s="78"/>
      <c r="P13" s="78"/>
      <c r="Q13" s="392"/>
      <c r="R13" s="76"/>
    </row>
    <row r="14" spans="1:19" s="2" customFormat="1">
      <c r="B14" s="391"/>
      <c r="C14" s="47"/>
      <c r="D14" s="47"/>
      <c r="E14" s="47"/>
      <c r="F14" s="47"/>
      <c r="G14" s="47"/>
      <c r="H14" s="47"/>
      <c r="I14" s="47"/>
      <c r="J14" s="78"/>
      <c r="K14" s="78"/>
      <c r="L14" s="78"/>
      <c r="M14" s="78"/>
      <c r="N14" s="78"/>
      <c r="O14" s="78"/>
      <c r="P14" s="78"/>
      <c r="Q14" s="392"/>
      <c r="R14" s="76"/>
    </row>
    <row r="15" spans="1:19" s="2" customFormat="1">
      <c r="B15" s="391"/>
      <c r="C15" s="47"/>
      <c r="D15" s="47"/>
      <c r="E15" s="47"/>
      <c r="F15" s="47"/>
      <c r="G15" s="47"/>
      <c r="H15" s="47"/>
      <c r="I15" s="47"/>
      <c r="J15" s="78"/>
      <c r="K15" s="78"/>
      <c r="L15" s="78"/>
      <c r="M15" s="78"/>
      <c r="N15" s="78"/>
      <c r="O15" s="78"/>
      <c r="P15" s="78"/>
      <c r="Q15" s="392"/>
      <c r="R15" s="76"/>
    </row>
    <row r="16" spans="1:19" s="2" customFormat="1" ht="48" customHeight="1">
      <c r="B16" s="391"/>
      <c r="C16" s="47"/>
      <c r="D16" s="47"/>
      <c r="E16" s="47"/>
      <c r="F16" s="47"/>
      <c r="G16" s="47"/>
      <c r="H16" s="47"/>
      <c r="I16" s="47"/>
      <c r="J16" s="78"/>
      <c r="K16" s="78"/>
      <c r="L16" s="78"/>
      <c r="M16" s="78"/>
      <c r="N16" s="78"/>
      <c r="O16" s="78"/>
      <c r="P16" s="78"/>
      <c r="Q16" s="392"/>
      <c r="R16" s="76"/>
    </row>
    <row r="17" spans="2:17" s="47" customFormat="1" ht="21" customHeight="1" thickBot="1">
      <c r="B17" s="391"/>
      <c r="Q17" s="409"/>
    </row>
    <row r="18" spans="2:17" s="56" customFormat="1" ht="25.5" customHeight="1" thickBot="1">
      <c r="B18" s="765" t="s">
        <v>2706</v>
      </c>
      <c r="C18" s="766"/>
      <c r="D18" s="766"/>
      <c r="E18" s="766"/>
      <c r="F18" s="766"/>
      <c r="G18" s="766"/>
      <c r="H18" s="766"/>
      <c r="I18" s="766"/>
      <c r="J18" s="766"/>
      <c r="K18" s="766"/>
      <c r="L18" s="766"/>
      <c r="M18" s="766"/>
      <c r="N18" s="766"/>
      <c r="O18" s="766"/>
      <c r="P18" s="766"/>
      <c r="Q18" s="767"/>
    </row>
    <row r="19" spans="2:17" s="1" customFormat="1">
      <c r="B19" s="403"/>
      <c r="C19" s="4"/>
      <c r="D19" s="4"/>
      <c r="E19" s="4"/>
      <c r="F19" s="4"/>
      <c r="G19" s="4"/>
      <c r="H19" s="4"/>
      <c r="I19" s="253"/>
      <c r="J19" s="4"/>
      <c r="K19" s="4"/>
      <c r="L19" s="4"/>
      <c r="M19" s="4"/>
      <c r="N19" s="4"/>
      <c r="O19" s="4"/>
      <c r="P19" s="4"/>
      <c r="Q19" s="410"/>
    </row>
    <row r="20" spans="2:17" s="1" customFormat="1" ht="25.5" customHeight="1">
      <c r="B20" s="768" t="s">
        <v>8</v>
      </c>
      <c r="C20" s="764" t="s">
        <v>78</v>
      </c>
      <c r="D20" s="764"/>
      <c r="E20" s="764"/>
      <c r="F20" s="764" t="s">
        <v>79</v>
      </c>
      <c r="G20" s="764"/>
      <c r="H20" s="764"/>
      <c r="I20" s="764" t="s">
        <v>60</v>
      </c>
      <c r="J20" s="764"/>
      <c r="K20" s="764"/>
      <c r="L20" s="764" t="s">
        <v>61</v>
      </c>
      <c r="M20" s="764"/>
      <c r="N20" s="764"/>
      <c r="O20" s="764" t="s">
        <v>62</v>
      </c>
      <c r="P20" s="764"/>
      <c r="Q20" s="773"/>
    </row>
    <row r="21" spans="2:17" ht="22.5" customHeight="1">
      <c r="B21" s="768"/>
      <c r="C21" s="769" t="s">
        <v>2702</v>
      </c>
      <c r="D21" s="769" t="s">
        <v>2703</v>
      </c>
      <c r="E21" s="769" t="s">
        <v>2704</v>
      </c>
      <c r="F21" s="769" t="s">
        <v>2702</v>
      </c>
      <c r="G21" s="769" t="s">
        <v>2703</v>
      </c>
      <c r="H21" s="769" t="s">
        <v>2704</v>
      </c>
      <c r="I21" s="769" t="s">
        <v>2702</v>
      </c>
      <c r="J21" s="769" t="s">
        <v>2703</v>
      </c>
      <c r="K21" s="769" t="s">
        <v>2704</v>
      </c>
      <c r="L21" s="769" t="s">
        <v>2702</v>
      </c>
      <c r="M21" s="769" t="s">
        <v>2703</v>
      </c>
      <c r="N21" s="769" t="s">
        <v>2704</v>
      </c>
      <c r="O21" s="769" t="s">
        <v>2702</v>
      </c>
      <c r="P21" s="769" t="s">
        <v>2703</v>
      </c>
      <c r="Q21" s="771" t="s">
        <v>2704</v>
      </c>
    </row>
    <row r="22" spans="2:17" ht="22.5" customHeight="1">
      <c r="B22" s="768"/>
      <c r="C22" s="770"/>
      <c r="D22" s="770"/>
      <c r="E22" s="770"/>
      <c r="F22" s="770"/>
      <c r="G22" s="770"/>
      <c r="H22" s="770"/>
      <c r="I22" s="770"/>
      <c r="J22" s="770"/>
      <c r="K22" s="770"/>
      <c r="L22" s="770"/>
      <c r="M22" s="770"/>
      <c r="N22" s="770"/>
      <c r="O22" s="770"/>
      <c r="P22" s="770"/>
      <c r="Q22" s="772"/>
    </row>
    <row r="23" spans="2:17" ht="36" customHeight="1">
      <c r="B23" s="404" t="str">
        <f>'3-Pto Compras'!C23</f>
        <v xml:space="preserve">software para la gestion de horarios  y aulas </v>
      </c>
      <c r="C23" s="389">
        <f>+'3-Pto Compras'!G89</f>
        <v>125</v>
      </c>
      <c r="D23" s="390">
        <f>+'3-Pto Compras'!I89</f>
        <v>0</v>
      </c>
      <c r="E23" s="390">
        <f>+'2-Pto Ventas'!I51</f>
        <v>150000000</v>
      </c>
      <c r="F23" s="389">
        <f t="shared" ref="F23:F28" si="0">+C23</f>
        <v>125</v>
      </c>
      <c r="G23" s="390">
        <f>+D23*'3-Pto Compras'!$H$101</f>
        <v>0</v>
      </c>
      <c r="H23" s="394">
        <f>+E23*'2-Pto Ventas'!$H$63</f>
        <v>154500000</v>
      </c>
      <c r="I23" s="389">
        <f t="shared" ref="I23:I28" si="1">+F23</f>
        <v>125</v>
      </c>
      <c r="J23" s="394">
        <f>+G23*'3-Pto Compras'!$H$102</f>
        <v>0</v>
      </c>
      <c r="K23" s="394">
        <f>+H23*'2-Pto Ventas'!$H$64</f>
        <v>159135000</v>
      </c>
      <c r="L23" s="389">
        <f t="shared" ref="L23:L28" si="2">+I23</f>
        <v>125</v>
      </c>
      <c r="M23" s="394">
        <f>+J23*'3-Pto Compras'!$H$103</f>
        <v>0</v>
      </c>
      <c r="N23" s="394">
        <f>+K23*'2-Pto Ventas'!$H$65</f>
        <v>163909050</v>
      </c>
      <c r="O23" s="389">
        <f t="shared" ref="O23:O28" si="3">+L23</f>
        <v>125</v>
      </c>
      <c r="P23" s="394">
        <f>+M23*'3-Pto Compras'!$H$104</f>
        <v>0</v>
      </c>
      <c r="Q23" s="411">
        <f>+N23*'2-Pto Ventas'!$H$66</f>
        <v>168826321.5</v>
      </c>
    </row>
    <row r="24" spans="2:17" ht="36" customHeight="1">
      <c r="B24" s="405" t="str">
        <f>+'3-Pto Compras'!I23</f>
        <v>mantenimiento del software para la gestion de horarios y aulas</v>
      </c>
      <c r="C24" s="389">
        <f>+'3-Pto Compras'!G90</f>
        <v>250</v>
      </c>
      <c r="D24" s="390">
        <f>+'3-Pto Compras'!I90</f>
        <v>0</v>
      </c>
      <c r="E24" s="390">
        <f>+'2-Pto Ventas'!I52</f>
        <v>20000000</v>
      </c>
      <c r="F24" s="389">
        <f t="shared" si="0"/>
        <v>250</v>
      </c>
      <c r="G24" s="390">
        <f>+D24*'3-Pto Compras'!$H$101</f>
        <v>0</v>
      </c>
      <c r="H24" s="394">
        <f>+E24*'2-Pto Ventas'!$H$63</f>
        <v>20600000</v>
      </c>
      <c r="I24" s="389">
        <f t="shared" si="1"/>
        <v>250</v>
      </c>
      <c r="J24" s="394">
        <f>+G24*'3-Pto Compras'!$H$102</f>
        <v>0</v>
      </c>
      <c r="K24" s="394">
        <f>+H24*'2-Pto Ventas'!$H$64</f>
        <v>21218000</v>
      </c>
      <c r="L24" s="389">
        <f t="shared" si="2"/>
        <v>250</v>
      </c>
      <c r="M24" s="394">
        <f>+J24*'3-Pto Compras'!$H$103</f>
        <v>0</v>
      </c>
      <c r="N24" s="394">
        <f>+K24*'2-Pto Ventas'!$H$65</f>
        <v>21854540</v>
      </c>
      <c r="O24" s="389">
        <f t="shared" si="3"/>
        <v>250</v>
      </c>
      <c r="P24" s="394">
        <f>+M24*'3-Pto Compras'!$H$104</f>
        <v>0</v>
      </c>
      <c r="Q24" s="411">
        <f>+N24*'2-Pto Ventas'!$H$66</f>
        <v>22510176.199999999</v>
      </c>
    </row>
    <row r="25" spans="2:17" s="1" customFormat="1" ht="36" customHeight="1">
      <c r="B25" s="405">
        <f>+'3-Pto Compras'!C43</f>
        <v>0</v>
      </c>
      <c r="C25" s="389">
        <f>+'3-Pto Compras'!G91</f>
        <v>0</v>
      </c>
      <c r="D25" s="390">
        <f>+'3-Pto Compras'!I91</f>
        <v>0</v>
      </c>
      <c r="E25" s="390">
        <f>+'2-Pto Ventas'!I53</f>
        <v>0</v>
      </c>
      <c r="F25" s="389">
        <f t="shared" si="0"/>
        <v>0</v>
      </c>
      <c r="G25" s="390">
        <f>+D25*'3-Pto Compras'!$H$101</f>
        <v>0</v>
      </c>
      <c r="H25" s="394">
        <f>+E25*'2-Pto Ventas'!$H$63</f>
        <v>0</v>
      </c>
      <c r="I25" s="389">
        <f t="shared" si="1"/>
        <v>0</v>
      </c>
      <c r="J25" s="394">
        <f>+G25*'3-Pto Compras'!$H$102</f>
        <v>0</v>
      </c>
      <c r="K25" s="394">
        <f>+H25*'2-Pto Ventas'!$H$64</f>
        <v>0</v>
      </c>
      <c r="L25" s="389">
        <f t="shared" si="2"/>
        <v>0</v>
      </c>
      <c r="M25" s="394">
        <f>+J25*'3-Pto Compras'!$H$103</f>
        <v>0</v>
      </c>
      <c r="N25" s="394">
        <f>+K25*'2-Pto Ventas'!$H$65</f>
        <v>0</v>
      </c>
      <c r="O25" s="389">
        <f t="shared" si="3"/>
        <v>0</v>
      </c>
      <c r="P25" s="394">
        <f>+M25*'3-Pto Compras'!$H$104</f>
        <v>0</v>
      </c>
      <c r="Q25" s="411">
        <f>+N25*'2-Pto Ventas'!$H$66</f>
        <v>0</v>
      </c>
    </row>
    <row r="26" spans="2:17" s="1" customFormat="1" ht="36" customHeight="1">
      <c r="B26" s="405">
        <f>+'3-Pto Compras'!I43</f>
        <v>0</v>
      </c>
      <c r="C26" s="389">
        <f>+'3-Pto Compras'!G92</f>
        <v>0</v>
      </c>
      <c r="D26" s="390">
        <f>+'3-Pto Compras'!I92</f>
        <v>0</v>
      </c>
      <c r="E26" s="390">
        <f>+'2-Pto Ventas'!I54</f>
        <v>0</v>
      </c>
      <c r="F26" s="389">
        <f t="shared" si="0"/>
        <v>0</v>
      </c>
      <c r="G26" s="390">
        <f>+D26*'3-Pto Compras'!$H$101</f>
        <v>0</v>
      </c>
      <c r="H26" s="394">
        <f>+E26*'2-Pto Ventas'!$H$63</f>
        <v>0</v>
      </c>
      <c r="I26" s="389">
        <f t="shared" si="1"/>
        <v>0</v>
      </c>
      <c r="J26" s="394">
        <f>+G26*'3-Pto Compras'!$H$102</f>
        <v>0</v>
      </c>
      <c r="K26" s="394">
        <f>+H26*'2-Pto Ventas'!$H$64</f>
        <v>0</v>
      </c>
      <c r="L26" s="389">
        <f t="shared" si="2"/>
        <v>0</v>
      </c>
      <c r="M26" s="394">
        <f>+J26*'3-Pto Compras'!$H$103</f>
        <v>0</v>
      </c>
      <c r="N26" s="394">
        <f>+K26*'2-Pto Ventas'!$H$65</f>
        <v>0</v>
      </c>
      <c r="O26" s="389">
        <f t="shared" si="3"/>
        <v>0</v>
      </c>
      <c r="P26" s="394">
        <f>+M26*'3-Pto Compras'!$H$104</f>
        <v>0</v>
      </c>
      <c r="Q26" s="411">
        <f>+N26*'2-Pto Ventas'!$H$66</f>
        <v>0</v>
      </c>
    </row>
    <row r="27" spans="2:17" s="1" customFormat="1" ht="36" customHeight="1">
      <c r="B27" s="405">
        <f>+'3-Pto Compras'!C63</f>
        <v>0</v>
      </c>
      <c r="C27" s="389">
        <f>+'3-Pto Compras'!G93</f>
        <v>0</v>
      </c>
      <c r="D27" s="390">
        <f>+'3-Pto Compras'!I93</f>
        <v>0</v>
      </c>
      <c r="E27" s="390">
        <f>+'2-Pto Ventas'!I55</f>
        <v>0</v>
      </c>
      <c r="F27" s="389">
        <f t="shared" si="0"/>
        <v>0</v>
      </c>
      <c r="G27" s="390">
        <f>+D27*'3-Pto Compras'!$H$101</f>
        <v>0</v>
      </c>
      <c r="H27" s="394">
        <f>+E27*'2-Pto Ventas'!$H$63</f>
        <v>0</v>
      </c>
      <c r="I27" s="389">
        <f t="shared" si="1"/>
        <v>0</v>
      </c>
      <c r="J27" s="394">
        <f>+G27*'3-Pto Compras'!$H$102</f>
        <v>0</v>
      </c>
      <c r="K27" s="394">
        <f>+H27*'2-Pto Ventas'!$H$64</f>
        <v>0</v>
      </c>
      <c r="L27" s="389">
        <f t="shared" si="2"/>
        <v>0</v>
      </c>
      <c r="M27" s="394">
        <f>+J27*'3-Pto Compras'!$H$103</f>
        <v>0</v>
      </c>
      <c r="N27" s="394">
        <f>+K27*'2-Pto Ventas'!$H$65</f>
        <v>0</v>
      </c>
      <c r="O27" s="389">
        <f t="shared" si="3"/>
        <v>0</v>
      </c>
      <c r="P27" s="394">
        <f>+M27*'3-Pto Compras'!$H$104</f>
        <v>0</v>
      </c>
      <c r="Q27" s="411">
        <f>+N27*'2-Pto Ventas'!$H$66</f>
        <v>0</v>
      </c>
    </row>
    <row r="28" spans="2:17" s="1" customFormat="1" ht="36" customHeight="1">
      <c r="B28" s="405">
        <f>+'3-Pto Compras'!I63</f>
        <v>0</v>
      </c>
      <c r="C28" s="389">
        <f>+'3-Pto Compras'!G94</f>
        <v>0</v>
      </c>
      <c r="D28" s="390">
        <f>+'3-Pto Compras'!I94</f>
        <v>0</v>
      </c>
      <c r="E28" s="390">
        <f>+'2-Pto Ventas'!I56</f>
        <v>0</v>
      </c>
      <c r="F28" s="389">
        <f t="shared" si="0"/>
        <v>0</v>
      </c>
      <c r="G28" s="390">
        <f>+D28*'3-Pto Compras'!$H$101</f>
        <v>0</v>
      </c>
      <c r="H28" s="394">
        <f>+E28*'2-Pto Ventas'!$H$63</f>
        <v>0</v>
      </c>
      <c r="I28" s="389">
        <f t="shared" si="1"/>
        <v>0</v>
      </c>
      <c r="J28" s="394">
        <f>+G28*'3-Pto Compras'!$H$102</f>
        <v>0</v>
      </c>
      <c r="K28" s="394">
        <f>+H28*'2-Pto Ventas'!$H$64</f>
        <v>0</v>
      </c>
      <c r="L28" s="389">
        <f t="shared" si="2"/>
        <v>0</v>
      </c>
      <c r="M28" s="394">
        <f>+J28*'3-Pto Compras'!$H$103</f>
        <v>0</v>
      </c>
      <c r="N28" s="394">
        <f>+K28*'2-Pto Ventas'!$H$65</f>
        <v>0</v>
      </c>
      <c r="O28" s="389">
        <f t="shared" si="3"/>
        <v>0</v>
      </c>
      <c r="P28" s="394">
        <f>+M28*'3-Pto Compras'!$H$104</f>
        <v>0</v>
      </c>
      <c r="Q28" s="411">
        <f>+N28*'2-Pto Ventas'!$H$66</f>
        <v>0</v>
      </c>
    </row>
    <row r="29" spans="2:17" s="1" customFormat="1" ht="24" customHeight="1">
      <c r="B29" s="406" t="s">
        <v>12</v>
      </c>
      <c r="C29" s="395">
        <f>SUM(C23:C28)</f>
        <v>375</v>
      </c>
      <c r="D29" s="396">
        <f t="shared" ref="D29:Q29" si="4">SUM(D23:D28)</f>
        <v>0</v>
      </c>
      <c r="E29" s="396">
        <f t="shared" si="4"/>
        <v>170000000</v>
      </c>
      <c r="F29" s="395">
        <f t="shared" si="4"/>
        <v>375</v>
      </c>
      <c r="G29" s="396">
        <f t="shared" si="4"/>
        <v>0</v>
      </c>
      <c r="H29" s="396">
        <f t="shared" si="4"/>
        <v>175100000</v>
      </c>
      <c r="I29" s="395">
        <f t="shared" si="4"/>
        <v>375</v>
      </c>
      <c r="J29" s="396">
        <f t="shared" si="4"/>
        <v>0</v>
      </c>
      <c r="K29" s="396">
        <f t="shared" si="4"/>
        <v>180353000</v>
      </c>
      <c r="L29" s="395">
        <f t="shared" si="4"/>
        <v>375</v>
      </c>
      <c r="M29" s="396">
        <f t="shared" si="4"/>
        <v>0</v>
      </c>
      <c r="N29" s="396">
        <f t="shared" si="4"/>
        <v>185763590</v>
      </c>
      <c r="O29" s="395">
        <f t="shared" si="4"/>
        <v>375</v>
      </c>
      <c r="P29" s="396">
        <f t="shared" si="4"/>
        <v>0</v>
      </c>
      <c r="Q29" s="412">
        <f t="shared" si="4"/>
        <v>191336497.69999999</v>
      </c>
    </row>
    <row r="30" spans="2:17" ht="15" customHeight="1">
      <c r="B30" s="407"/>
      <c r="C30" s="3"/>
      <c r="D30" s="3"/>
      <c r="E30" s="3"/>
      <c r="F30" s="3"/>
      <c r="G30" s="3"/>
      <c r="H30" s="3"/>
      <c r="I30" s="3"/>
      <c r="J30" s="3"/>
      <c r="K30" s="3"/>
      <c r="L30" s="3"/>
      <c r="M30" s="3"/>
      <c r="N30" s="3"/>
      <c r="O30" s="3"/>
      <c r="P30" s="3"/>
      <c r="Q30" s="413"/>
    </row>
    <row r="31" spans="2:17" ht="15" customHeight="1">
      <c r="B31" s="407"/>
      <c r="C31" s="3"/>
      <c r="D31" s="3"/>
      <c r="E31" s="3"/>
      <c r="F31" s="3"/>
      <c r="G31" s="3"/>
      <c r="H31" s="3"/>
      <c r="I31" s="3"/>
      <c r="J31" s="3"/>
      <c r="K31" s="3"/>
      <c r="L31" s="3"/>
      <c r="M31" s="3"/>
      <c r="N31" s="3"/>
      <c r="O31" s="3"/>
      <c r="P31" s="3"/>
      <c r="Q31" s="413"/>
    </row>
    <row r="32" spans="2:17" ht="15" customHeight="1" thickBot="1">
      <c r="B32" s="407"/>
      <c r="C32" s="3"/>
      <c r="D32" s="3"/>
      <c r="E32" s="3"/>
      <c r="F32" s="3"/>
      <c r="G32" s="3"/>
      <c r="H32" s="3"/>
      <c r="I32" s="3"/>
      <c r="J32" s="3"/>
      <c r="K32" s="3"/>
      <c r="L32" s="3"/>
      <c r="M32" s="3"/>
      <c r="N32" s="3"/>
      <c r="O32" s="3"/>
      <c r="P32" s="3"/>
      <c r="Q32" s="413"/>
    </row>
    <row r="33" spans="2:17" s="56" customFormat="1" ht="25.5" customHeight="1" thickBot="1">
      <c r="B33" s="765" t="s">
        <v>2705</v>
      </c>
      <c r="C33" s="766"/>
      <c r="D33" s="766"/>
      <c r="E33" s="766"/>
      <c r="F33" s="766"/>
      <c r="G33" s="766"/>
      <c r="H33" s="766"/>
      <c r="I33" s="766"/>
      <c r="J33" s="766"/>
      <c r="K33" s="766"/>
      <c r="L33" s="766"/>
      <c r="M33" s="766"/>
      <c r="N33" s="766"/>
      <c r="O33" s="766"/>
      <c r="P33" s="766"/>
      <c r="Q33" s="767"/>
    </row>
    <row r="34" spans="2:17">
      <c r="B34" s="407"/>
      <c r="C34" s="3"/>
      <c r="D34" s="3"/>
      <c r="E34" s="3"/>
      <c r="F34" s="3"/>
      <c r="G34" s="3"/>
      <c r="H34" s="3"/>
      <c r="I34" s="3"/>
      <c r="J34" s="3"/>
      <c r="K34" s="3"/>
      <c r="L34" s="3"/>
      <c r="M34" s="3"/>
      <c r="N34" s="3"/>
      <c r="O34" s="3"/>
      <c r="P34" s="3"/>
      <c r="Q34" s="413"/>
    </row>
    <row r="35" spans="2:17">
      <c r="B35" s="407"/>
      <c r="C35" s="3"/>
      <c r="D35" s="3"/>
      <c r="E35" s="3"/>
      <c r="F35" s="3"/>
      <c r="G35" s="3"/>
      <c r="H35" s="3"/>
      <c r="I35" s="414"/>
      <c r="J35" s="3"/>
      <c r="K35" s="3"/>
      <c r="L35" s="3"/>
      <c r="M35" s="3"/>
      <c r="N35" s="3"/>
      <c r="O35" s="3"/>
      <c r="P35" s="3"/>
      <c r="Q35" s="413"/>
    </row>
    <row r="36" spans="2:17" ht="25.5" customHeight="1">
      <c r="B36" s="764" t="s">
        <v>2707</v>
      </c>
      <c r="C36" s="764" t="s">
        <v>78</v>
      </c>
      <c r="D36" s="764"/>
      <c r="E36" s="764"/>
      <c r="F36" s="764" t="s">
        <v>79</v>
      </c>
      <c r="G36" s="764"/>
      <c r="H36" s="764"/>
      <c r="I36" s="764" t="s">
        <v>60</v>
      </c>
      <c r="J36" s="764"/>
      <c r="K36" s="764"/>
      <c r="L36" s="764" t="s">
        <v>61</v>
      </c>
      <c r="M36" s="764"/>
      <c r="N36" s="764"/>
      <c r="O36" s="764" t="s">
        <v>62</v>
      </c>
      <c r="P36" s="764"/>
      <c r="Q36" s="764"/>
    </row>
    <row r="37" spans="2:17" ht="22.5" customHeight="1">
      <c r="B37" s="764"/>
      <c r="C37" s="774" t="s">
        <v>2708</v>
      </c>
      <c r="D37" s="764" t="s">
        <v>13</v>
      </c>
      <c r="E37" s="764" t="s">
        <v>2704</v>
      </c>
      <c r="F37" s="774" t="s">
        <v>2708</v>
      </c>
      <c r="G37" s="764" t="s">
        <v>13</v>
      </c>
      <c r="H37" s="764" t="s">
        <v>2704</v>
      </c>
      <c r="I37" s="774" t="s">
        <v>2708</v>
      </c>
      <c r="J37" s="764" t="s">
        <v>13</v>
      </c>
      <c r="K37" s="764" t="s">
        <v>2704</v>
      </c>
      <c r="L37" s="774" t="s">
        <v>2708</v>
      </c>
      <c r="M37" s="764" t="s">
        <v>13</v>
      </c>
      <c r="N37" s="764" t="s">
        <v>2704</v>
      </c>
      <c r="O37" s="774" t="s">
        <v>2708</v>
      </c>
      <c r="P37" s="764" t="s">
        <v>13</v>
      </c>
      <c r="Q37" s="764" t="s">
        <v>2704</v>
      </c>
    </row>
    <row r="38" spans="2:17" ht="22.5" customHeight="1">
      <c r="B38" s="764"/>
      <c r="C38" s="764"/>
      <c r="D38" s="764"/>
      <c r="E38" s="764"/>
      <c r="F38" s="764"/>
      <c r="G38" s="764"/>
      <c r="H38" s="764"/>
      <c r="I38" s="764"/>
      <c r="J38" s="764"/>
      <c r="K38" s="764"/>
      <c r="L38" s="764"/>
      <c r="M38" s="764"/>
      <c r="N38" s="764"/>
      <c r="O38" s="764"/>
      <c r="P38" s="764"/>
      <c r="Q38" s="764"/>
    </row>
    <row r="39" spans="2:17" ht="18" customHeight="1">
      <c r="B39" s="398" t="s">
        <v>227</v>
      </c>
      <c r="C39" s="397">
        <f>+'2-Pto Ventas'!F82</f>
        <v>3</v>
      </c>
      <c r="D39" s="389">
        <f>+'2-Pto Ventas'!G82</f>
        <v>20.833333333333332</v>
      </c>
      <c r="E39" s="390">
        <f>+'2-Pto Ventas'!H82</f>
        <v>9444444.4444444459</v>
      </c>
      <c r="F39" s="397">
        <f>+'2-Pto Ventas'!F82</f>
        <v>3</v>
      </c>
      <c r="G39" s="389">
        <f t="shared" ref="G39:G50" si="5">IF($F$51&gt;0,(F39/$F$51)*$F$29,0)</f>
        <v>20.833333333333332</v>
      </c>
      <c r="H39" s="390">
        <f>IF($F$29&gt;0,($H$29*G39)/$F$29,0)</f>
        <v>9727777.777777778</v>
      </c>
      <c r="I39" s="397">
        <f>+'2-Pto Ventas'!F82</f>
        <v>3</v>
      </c>
      <c r="J39" s="389">
        <f t="shared" ref="J39:J50" si="6">IF($I$51&gt;0,(I39/$I$51)*$I$29,0)</f>
        <v>20.833333333333332</v>
      </c>
      <c r="K39" s="390">
        <f>IF($I$29&gt;0,($K$29*J39)/$I$29,0)</f>
        <v>10019611.11111111</v>
      </c>
      <c r="L39" s="397">
        <f>+'2-Pto Ventas'!F82</f>
        <v>3</v>
      </c>
      <c r="M39" s="389">
        <f t="shared" ref="M39:M50" si="7">IF($L$51&gt;0,(L39/$L$51)*$L$29,0)</f>
        <v>20.833333333333332</v>
      </c>
      <c r="N39" s="390">
        <f>IF($L$29&gt;0,($N$29*M39)/$L$29,0)</f>
        <v>10320199.444444444</v>
      </c>
      <c r="O39" s="397">
        <f>+'2-Pto Ventas'!F82</f>
        <v>3</v>
      </c>
      <c r="P39" s="389">
        <f t="shared" ref="P39:P50" si="8">IF($O$51&gt;0,(O39/$O$51)*$O$29,0)</f>
        <v>20.833333333333332</v>
      </c>
      <c r="Q39" s="390">
        <f>IF($O$29&gt;0,($Q$29*P39)/$O$29,0)</f>
        <v>10629805.427777776</v>
      </c>
    </row>
    <row r="40" spans="2:17" ht="18" customHeight="1">
      <c r="B40" s="399" t="s">
        <v>216</v>
      </c>
      <c r="C40" s="397">
        <f>+'2-Pto Ventas'!F83</f>
        <v>3</v>
      </c>
      <c r="D40" s="389">
        <f>+'2-Pto Ventas'!G83</f>
        <v>20.833333333333332</v>
      </c>
      <c r="E40" s="390">
        <f>+'2-Pto Ventas'!H83</f>
        <v>9444444.4444444459</v>
      </c>
      <c r="F40" s="397">
        <f>+'2-Pto Ventas'!F83</f>
        <v>3</v>
      </c>
      <c r="G40" s="389">
        <f t="shared" si="5"/>
        <v>20.833333333333332</v>
      </c>
      <c r="H40" s="390">
        <f t="shared" ref="H40:H50" si="9">IF($F$29&gt;0,($H$29*G40)/$F$29,0)</f>
        <v>9727777.777777778</v>
      </c>
      <c r="I40" s="397">
        <f>+'2-Pto Ventas'!F83</f>
        <v>3</v>
      </c>
      <c r="J40" s="389">
        <f t="shared" si="6"/>
        <v>20.833333333333332</v>
      </c>
      <c r="K40" s="390">
        <f t="shared" ref="K40:K50" si="10">IF($I$29&gt;0,($K$29*J40)/$I$29,0)</f>
        <v>10019611.11111111</v>
      </c>
      <c r="L40" s="397">
        <f>+'2-Pto Ventas'!F83</f>
        <v>3</v>
      </c>
      <c r="M40" s="389">
        <f t="shared" si="7"/>
        <v>20.833333333333332</v>
      </c>
      <c r="N40" s="390">
        <f t="shared" ref="N40:N50" si="11">IF($L$29&gt;0,($N$29*M40)/$L$29,0)</f>
        <v>10320199.444444444</v>
      </c>
      <c r="O40" s="397">
        <f>+'2-Pto Ventas'!F83</f>
        <v>3</v>
      </c>
      <c r="P40" s="389">
        <f t="shared" si="8"/>
        <v>20.833333333333332</v>
      </c>
      <c r="Q40" s="390">
        <f t="shared" ref="Q40:Q50" si="12">IF($O$29&gt;0,($Q$29*P40)/$O$29,0)</f>
        <v>10629805.427777776</v>
      </c>
    </row>
    <row r="41" spans="2:17" ht="18" customHeight="1">
      <c r="B41" s="398" t="s">
        <v>217</v>
      </c>
      <c r="C41" s="397">
        <f>+'2-Pto Ventas'!F84</f>
        <v>3</v>
      </c>
      <c r="D41" s="389">
        <f>+'2-Pto Ventas'!G84</f>
        <v>20.833333333333332</v>
      </c>
      <c r="E41" s="390">
        <f>+'2-Pto Ventas'!H84</f>
        <v>9444444.4444444459</v>
      </c>
      <c r="F41" s="397">
        <f>+'2-Pto Ventas'!F84</f>
        <v>3</v>
      </c>
      <c r="G41" s="389">
        <f t="shared" si="5"/>
        <v>20.833333333333332</v>
      </c>
      <c r="H41" s="390">
        <f t="shared" si="9"/>
        <v>9727777.777777778</v>
      </c>
      <c r="I41" s="397">
        <f>+'2-Pto Ventas'!F84</f>
        <v>3</v>
      </c>
      <c r="J41" s="389">
        <f t="shared" si="6"/>
        <v>20.833333333333332</v>
      </c>
      <c r="K41" s="390">
        <f t="shared" si="10"/>
        <v>10019611.11111111</v>
      </c>
      <c r="L41" s="397">
        <f>+'2-Pto Ventas'!F84</f>
        <v>3</v>
      </c>
      <c r="M41" s="389">
        <f t="shared" si="7"/>
        <v>20.833333333333332</v>
      </c>
      <c r="N41" s="390">
        <f t="shared" si="11"/>
        <v>10320199.444444444</v>
      </c>
      <c r="O41" s="397">
        <f>+'2-Pto Ventas'!F84</f>
        <v>3</v>
      </c>
      <c r="P41" s="389">
        <f t="shared" si="8"/>
        <v>20.833333333333332</v>
      </c>
      <c r="Q41" s="390">
        <f t="shared" si="12"/>
        <v>10629805.427777776</v>
      </c>
    </row>
    <row r="42" spans="2:17" ht="18" customHeight="1">
      <c r="B42" s="399" t="s">
        <v>218</v>
      </c>
      <c r="C42" s="397">
        <f>+'2-Pto Ventas'!F85</f>
        <v>3</v>
      </c>
      <c r="D42" s="389">
        <f>+'2-Pto Ventas'!G85</f>
        <v>20.833333333333332</v>
      </c>
      <c r="E42" s="390">
        <f>+'2-Pto Ventas'!H85</f>
        <v>9444444.4444444459</v>
      </c>
      <c r="F42" s="397">
        <f>+'2-Pto Ventas'!F85</f>
        <v>3</v>
      </c>
      <c r="G42" s="389">
        <f t="shared" si="5"/>
        <v>20.833333333333332</v>
      </c>
      <c r="H42" s="390">
        <f t="shared" si="9"/>
        <v>9727777.777777778</v>
      </c>
      <c r="I42" s="397">
        <f>+'2-Pto Ventas'!F85</f>
        <v>3</v>
      </c>
      <c r="J42" s="389">
        <f t="shared" si="6"/>
        <v>20.833333333333332</v>
      </c>
      <c r="K42" s="390">
        <f t="shared" si="10"/>
        <v>10019611.11111111</v>
      </c>
      <c r="L42" s="397">
        <f>+'2-Pto Ventas'!F85</f>
        <v>3</v>
      </c>
      <c r="M42" s="389">
        <f t="shared" si="7"/>
        <v>20.833333333333332</v>
      </c>
      <c r="N42" s="390">
        <f t="shared" si="11"/>
        <v>10320199.444444444</v>
      </c>
      <c r="O42" s="397">
        <f>+'2-Pto Ventas'!F85</f>
        <v>3</v>
      </c>
      <c r="P42" s="389">
        <f t="shared" si="8"/>
        <v>20.833333333333332</v>
      </c>
      <c r="Q42" s="390">
        <f t="shared" si="12"/>
        <v>10629805.427777776</v>
      </c>
    </row>
    <row r="43" spans="2:17" ht="18" customHeight="1">
      <c r="B43" s="398" t="s">
        <v>219</v>
      </c>
      <c r="C43" s="397">
        <f>+'2-Pto Ventas'!F86</f>
        <v>3</v>
      </c>
      <c r="D43" s="389">
        <f>+'2-Pto Ventas'!G86</f>
        <v>20.833333333333332</v>
      </c>
      <c r="E43" s="390">
        <f>+'2-Pto Ventas'!H86</f>
        <v>9444444.4444444459</v>
      </c>
      <c r="F43" s="397">
        <f>+'2-Pto Ventas'!F86</f>
        <v>3</v>
      </c>
      <c r="G43" s="389">
        <f t="shared" si="5"/>
        <v>20.833333333333332</v>
      </c>
      <c r="H43" s="390">
        <f t="shared" si="9"/>
        <v>9727777.777777778</v>
      </c>
      <c r="I43" s="397">
        <f>+'2-Pto Ventas'!F86</f>
        <v>3</v>
      </c>
      <c r="J43" s="389">
        <f t="shared" si="6"/>
        <v>20.833333333333332</v>
      </c>
      <c r="K43" s="390">
        <f t="shared" si="10"/>
        <v>10019611.11111111</v>
      </c>
      <c r="L43" s="397">
        <f>+'2-Pto Ventas'!F86</f>
        <v>3</v>
      </c>
      <c r="M43" s="389">
        <f t="shared" si="7"/>
        <v>20.833333333333332</v>
      </c>
      <c r="N43" s="390">
        <f t="shared" si="11"/>
        <v>10320199.444444444</v>
      </c>
      <c r="O43" s="397">
        <f>+'2-Pto Ventas'!F86</f>
        <v>3</v>
      </c>
      <c r="P43" s="389">
        <f t="shared" si="8"/>
        <v>20.833333333333332</v>
      </c>
      <c r="Q43" s="390">
        <f t="shared" si="12"/>
        <v>10629805.427777776</v>
      </c>
    </row>
    <row r="44" spans="2:17" ht="18" customHeight="1">
      <c r="B44" s="399" t="s">
        <v>220</v>
      </c>
      <c r="C44" s="397">
        <f>+'2-Pto Ventas'!F87</f>
        <v>3</v>
      </c>
      <c r="D44" s="389">
        <f>+'2-Pto Ventas'!G87</f>
        <v>20.833333333333332</v>
      </c>
      <c r="E44" s="390">
        <f>+'2-Pto Ventas'!H87</f>
        <v>9444444.4444444459</v>
      </c>
      <c r="F44" s="397">
        <f>+'2-Pto Ventas'!F87</f>
        <v>3</v>
      </c>
      <c r="G44" s="389">
        <f t="shared" si="5"/>
        <v>20.833333333333332</v>
      </c>
      <c r="H44" s="390">
        <f t="shared" si="9"/>
        <v>9727777.777777778</v>
      </c>
      <c r="I44" s="397">
        <f>+'2-Pto Ventas'!F87</f>
        <v>3</v>
      </c>
      <c r="J44" s="389">
        <f t="shared" si="6"/>
        <v>20.833333333333332</v>
      </c>
      <c r="K44" s="390">
        <f t="shared" si="10"/>
        <v>10019611.11111111</v>
      </c>
      <c r="L44" s="397">
        <f>+'2-Pto Ventas'!F87</f>
        <v>3</v>
      </c>
      <c r="M44" s="389">
        <f t="shared" si="7"/>
        <v>20.833333333333332</v>
      </c>
      <c r="N44" s="390">
        <f t="shared" si="11"/>
        <v>10320199.444444444</v>
      </c>
      <c r="O44" s="397">
        <f>+'2-Pto Ventas'!F87</f>
        <v>3</v>
      </c>
      <c r="P44" s="389">
        <f t="shared" si="8"/>
        <v>20.833333333333332</v>
      </c>
      <c r="Q44" s="390">
        <f t="shared" si="12"/>
        <v>10629805.427777776</v>
      </c>
    </row>
    <row r="45" spans="2:17" ht="18" customHeight="1">
      <c r="B45" s="398" t="s">
        <v>221</v>
      </c>
      <c r="C45" s="397">
        <f>+'2-Pto Ventas'!F88</f>
        <v>5</v>
      </c>
      <c r="D45" s="389">
        <f>+'2-Pto Ventas'!G88</f>
        <v>34.722222222222221</v>
      </c>
      <c r="E45" s="390">
        <f>+'2-Pto Ventas'!H88</f>
        <v>15740740.740740743</v>
      </c>
      <c r="F45" s="397">
        <f>+'2-Pto Ventas'!F88</f>
        <v>5</v>
      </c>
      <c r="G45" s="389">
        <f t="shared" si="5"/>
        <v>34.722222222222221</v>
      </c>
      <c r="H45" s="390">
        <f t="shared" si="9"/>
        <v>16212962.962962963</v>
      </c>
      <c r="I45" s="397">
        <f>+'2-Pto Ventas'!F88</f>
        <v>5</v>
      </c>
      <c r="J45" s="389">
        <f t="shared" si="6"/>
        <v>34.722222222222221</v>
      </c>
      <c r="K45" s="390">
        <f t="shared" si="10"/>
        <v>16699351.851851853</v>
      </c>
      <c r="L45" s="397">
        <f>+'2-Pto Ventas'!F88</f>
        <v>5</v>
      </c>
      <c r="M45" s="389">
        <f t="shared" si="7"/>
        <v>34.722222222222221</v>
      </c>
      <c r="N45" s="390">
        <f t="shared" si="11"/>
        <v>17200332.407407407</v>
      </c>
      <c r="O45" s="397">
        <f>+'2-Pto Ventas'!F88</f>
        <v>5</v>
      </c>
      <c r="P45" s="389">
        <f t="shared" si="8"/>
        <v>34.722222222222221</v>
      </c>
      <c r="Q45" s="390">
        <f t="shared" si="12"/>
        <v>17716342.379629627</v>
      </c>
    </row>
    <row r="46" spans="2:17" ht="18" customHeight="1">
      <c r="B46" s="399" t="s">
        <v>222</v>
      </c>
      <c r="C46" s="397">
        <f>+'2-Pto Ventas'!F89</f>
        <v>5</v>
      </c>
      <c r="D46" s="389">
        <f>+'2-Pto Ventas'!G89</f>
        <v>34.722222222222221</v>
      </c>
      <c r="E46" s="390">
        <f>+'2-Pto Ventas'!H89</f>
        <v>15740740.740740743</v>
      </c>
      <c r="F46" s="397">
        <f>+'2-Pto Ventas'!F89</f>
        <v>5</v>
      </c>
      <c r="G46" s="389">
        <f t="shared" si="5"/>
        <v>34.722222222222221</v>
      </c>
      <c r="H46" s="390">
        <f t="shared" si="9"/>
        <v>16212962.962962963</v>
      </c>
      <c r="I46" s="397">
        <f>+'2-Pto Ventas'!F89</f>
        <v>5</v>
      </c>
      <c r="J46" s="389">
        <f t="shared" si="6"/>
        <v>34.722222222222221</v>
      </c>
      <c r="K46" s="390">
        <f t="shared" si="10"/>
        <v>16699351.851851853</v>
      </c>
      <c r="L46" s="397">
        <f>+'2-Pto Ventas'!F89</f>
        <v>5</v>
      </c>
      <c r="M46" s="389">
        <f t="shared" si="7"/>
        <v>34.722222222222221</v>
      </c>
      <c r="N46" s="390">
        <f t="shared" si="11"/>
        <v>17200332.407407407</v>
      </c>
      <c r="O46" s="397">
        <f>+'2-Pto Ventas'!F89</f>
        <v>5</v>
      </c>
      <c r="P46" s="389">
        <f t="shared" si="8"/>
        <v>34.722222222222221</v>
      </c>
      <c r="Q46" s="390">
        <f t="shared" si="12"/>
        <v>17716342.379629627</v>
      </c>
    </row>
    <row r="47" spans="2:17" ht="18" customHeight="1">
      <c r="B47" s="398" t="s">
        <v>223</v>
      </c>
      <c r="C47" s="397">
        <f>+'2-Pto Ventas'!F90</f>
        <v>5</v>
      </c>
      <c r="D47" s="389">
        <f>+'2-Pto Ventas'!G90</f>
        <v>34.722222222222221</v>
      </c>
      <c r="E47" s="390">
        <f>+'2-Pto Ventas'!H90</f>
        <v>15740740.740740743</v>
      </c>
      <c r="F47" s="397">
        <f>+'2-Pto Ventas'!F90</f>
        <v>5</v>
      </c>
      <c r="G47" s="389">
        <f t="shared" si="5"/>
        <v>34.722222222222221</v>
      </c>
      <c r="H47" s="390">
        <f t="shared" si="9"/>
        <v>16212962.962962963</v>
      </c>
      <c r="I47" s="397">
        <f>+'2-Pto Ventas'!F90</f>
        <v>5</v>
      </c>
      <c r="J47" s="389">
        <f t="shared" si="6"/>
        <v>34.722222222222221</v>
      </c>
      <c r="K47" s="390">
        <f t="shared" si="10"/>
        <v>16699351.851851853</v>
      </c>
      <c r="L47" s="397">
        <f>+'2-Pto Ventas'!F90</f>
        <v>5</v>
      </c>
      <c r="M47" s="389">
        <f t="shared" si="7"/>
        <v>34.722222222222221</v>
      </c>
      <c r="N47" s="390">
        <f t="shared" si="11"/>
        <v>17200332.407407407</v>
      </c>
      <c r="O47" s="397">
        <f>+'2-Pto Ventas'!F90</f>
        <v>5</v>
      </c>
      <c r="P47" s="389">
        <f t="shared" si="8"/>
        <v>34.722222222222221</v>
      </c>
      <c r="Q47" s="390">
        <f t="shared" si="12"/>
        <v>17716342.379629627</v>
      </c>
    </row>
    <row r="48" spans="2:17" ht="18" customHeight="1">
      <c r="B48" s="399" t="s">
        <v>224</v>
      </c>
      <c r="C48" s="397">
        <f>+'2-Pto Ventas'!F91</f>
        <v>7</v>
      </c>
      <c r="D48" s="389">
        <f>+'2-Pto Ventas'!G91</f>
        <v>48.611111111111107</v>
      </c>
      <c r="E48" s="390">
        <f>+'2-Pto Ventas'!H91</f>
        <v>22037037.037037037</v>
      </c>
      <c r="F48" s="397">
        <f>+'2-Pto Ventas'!F91</f>
        <v>7</v>
      </c>
      <c r="G48" s="389">
        <f t="shared" si="5"/>
        <v>48.611111111111107</v>
      </c>
      <c r="H48" s="390">
        <f t="shared" si="9"/>
        <v>22698148.148148146</v>
      </c>
      <c r="I48" s="397">
        <f>+'2-Pto Ventas'!F91</f>
        <v>7</v>
      </c>
      <c r="J48" s="389">
        <f t="shared" si="6"/>
        <v>48.611111111111107</v>
      </c>
      <c r="K48" s="390">
        <f t="shared" si="10"/>
        <v>23379092.59259259</v>
      </c>
      <c r="L48" s="397">
        <f>+'2-Pto Ventas'!F91</f>
        <v>7</v>
      </c>
      <c r="M48" s="389">
        <f t="shared" si="7"/>
        <v>48.611111111111107</v>
      </c>
      <c r="N48" s="390">
        <f t="shared" si="11"/>
        <v>24080465.370370366</v>
      </c>
      <c r="O48" s="397">
        <f>+'2-Pto Ventas'!F91</f>
        <v>7</v>
      </c>
      <c r="P48" s="389">
        <f t="shared" si="8"/>
        <v>48.611111111111107</v>
      </c>
      <c r="Q48" s="390">
        <f t="shared" si="12"/>
        <v>24802879.331481475</v>
      </c>
    </row>
    <row r="49" spans="2:20" ht="18" customHeight="1">
      <c r="B49" s="398" t="s">
        <v>225</v>
      </c>
      <c r="C49" s="397">
        <f>+'2-Pto Ventas'!F92</f>
        <v>7</v>
      </c>
      <c r="D49" s="389">
        <f>+'2-Pto Ventas'!G92</f>
        <v>48.611111111111107</v>
      </c>
      <c r="E49" s="390">
        <f>+'2-Pto Ventas'!H92</f>
        <v>22037037.037037037</v>
      </c>
      <c r="F49" s="397">
        <f>+'2-Pto Ventas'!F92</f>
        <v>7</v>
      </c>
      <c r="G49" s="389">
        <f t="shared" si="5"/>
        <v>48.611111111111107</v>
      </c>
      <c r="H49" s="390">
        <f t="shared" si="9"/>
        <v>22698148.148148146</v>
      </c>
      <c r="I49" s="397">
        <f>+'2-Pto Ventas'!F92</f>
        <v>7</v>
      </c>
      <c r="J49" s="389">
        <f t="shared" si="6"/>
        <v>48.611111111111107</v>
      </c>
      <c r="K49" s="390">
        <f t="shared" si="10"/>
        <v>23379092.59259259</v>
      </c>
      <c r="L49" s="397">
        <f>+'2-Pto Ventas'!F92</f>
        <v>7</v>
      </c>
      <c r="M49" s="389">
        <f t="shared" si="7"/>
        <v>48.611111111111107</v>
      </c>
      <c r="N49" s="390">
        <f t="shared" si="11"/>
        <v>24080465.370370366</v>
      </c>
      <c r="O49" s="397">
        <f>+'2-Pto Ventas'!F92</f>
        <v>7</v>
      </c>
      <c r="P49" s="389">
        <f t="shared" si="8"/>
        <v>48.611111111111107</v>
      </c>
      <c r="Q49" s="390">
        <f t="shared" si="12"/>
        <v>24802879.331481475</v>
      </c>
    </row>
    <row r="50" spans="2:20" ht="18" customHeight="1">
      <c r="B50" s="399" t="s">
        <v>226</v>
      </c>
      <c r="C50" s="397">
        <f>+'2-Pto Ventas'!F93</f>
        <v>7</v>
      </c>
      <c r="D50" s="389">
        <f>+'2-Pto Ventas'!G93</f>
        <v>48.611111111111107</v>
      </c>
      <c r="E50" s="390">
        <f>+'2-Pto Ventas'!H93</f>
        <v>22037037.037037037</v>
      </c>
      <c r="F50" s="397">
        <f>+'2-Pto Ventas'!F93</f>
        <v>7</v>
      </c>
      <c r="G50" s="389">
        <f t="shared" si="5"/>
        <v>48.611111111111107</v>
      </c>
      <c r="H50" s="390">
        <f t="shared" si="9"/>
        <v>22698148.148148146</v>
      </c>
      <c r="I50" s="397">
        <f>+'2-Pto Ventas'!F93</f>
        <v>7</v>
      </c>
      <c r="J50" s="389">
        <f t="shared" si="6"/>
        <v>48.611111111111107</v>
      </c>
      <c r="K50" s="390">
        <f t="shared" si="10"/>
        <v>23379092.59259259</v>
      </c>
      <c r="L50" s="397">
        <f>+'2-Pto Ventas'!F93</f>
        <v>7</v>
      </c>
      <c r="M50" s="389">
        <f t="shared" si="7"/>
        <v>48.611111111111107</v>
      </c>
      <c r="N50" s="390">
        <f t="shared" si="11"/>
        <v>24080465.370370366</v>
      </c>
      <c r="O50" s="397">
        <f>+'2-Pto Ventas'!F93</f>
        <v>7</v>
      </c>
      <c r="P50" s="389">
        <f t="shared" si="8"/>
        <v>48.611111111111107</v>
      </c>
      <c r="Q50" s="390">
        <f t="shared" si="12"/>
        <v>24802879.331481475</v>
      </c>
    </row>
    <row r="51" spans="2:20" ht="24" customHeight="1">
      <c r="B51" s="400" t="s">
        <v>12</v>
      </c>
      <c r="C51" s="401">
        <f t="shared" ref="C51:Q51" si="13">SUM(C39:C50)</f>
        <v>54</v>
      </c>
      <c r="D51" s="395">
        <f t="shared" si="13"/>
        <v>374.99999999999994</v>
      </c>
      <c r="E51" s="396">
        <f t="shared" si="13"/>
        <v>170000000.00000003</v>
      </c>
      <c r="F51" s="401">
        <f t="shared" si="13"/>
        <v>54</v>
      </c>
      <c r="G51" s="395">
        <f t="shared" si="13"/>
        <v>374.99999999999994</v>
      </c>
      <c r="H51" s="396">
        <f t="shared" si="13"/>
        <v>175100000</v>
      </c>
      <c r="I51" s="401">
        <f t="shared" si="13"/>
        <v>54</v>
      </c>
      <c r="J51" s="395">
        <f t="shared" si="13"/>
        <v>374.99999999999994</v>
      </c>
      <c r="K51" s="396">
        <f t="shared" si="13"/>
        <v>180353000</v>
      </c>
      <c r="L51" s="401">
        <f t="shared" si="13"/>
        <v>54</v>
      </c>
      <c r="M51" s="395">
        <f t="shared" si="13"/>
        <v>374.99999999999994</v>
      </c>
      <c r="N51" s="396">
        <f t="shared" si="13"/>
        <v>185763589.99999997</v>
      </c>
      <c r="O51" s="401">
        <f t="shared" si="13"/>
        <v>54</v>
      </c>
      <c r="P51" s="395">
        <f t="shared" si="13"/>
        <v>374.99999999999994</v>
      </c>
      <c r="Q51" s="396">
        <f t="shared" si="13"/>
        <v>191336497.69999999</v>
      </c>
    </row>
    <row r="52" spans="2:20" ht="15" customHeight="1">
      <c r="B52" s="407"/>
      <c r="C52" s="3"/>
      <c r="D52" s="3"/>
      <c r="E52" s="3"/>
      <c r="F52" s="3"/>
      <c r="G52" s="3"/>
      <c r="H52" s="3"/>
      <c r="I52" s="3"/>
      <c r="J52" s="3"/>
      <c r="K52" s="3"/>
      <c r="L52" s="3"/>
      <c r="M52" s="3"/>
      <c r="N52" s="3"/>
      <c r="O52" s="3"/>
      <c r="P52" s="3"/>
      <c r="Q52" s="413"/>
    </row>
    <row r="53" spans="2:20" ht="15" customHeight="1">
      <c r="B53" s="407"/>
      <c r="C53" s="3"/>
      <c r="D53" s="3"/>
      <c r="E53" s="3"/>
      <c r="F53" s="3"/>
      <c r="G53" s="3"/>
      <c r="H53" s="3"/>
      <c r="I53" s="3"/>
      <c r="J53" s="3"/>
      <c r="K53" s="3"/>
      <c r="L53" s="3"/>
      <c r="M53" s="3"/>
      <c r="N53" s="3"/>
      <c r="O53" s="3"/>
      <c r="P53" s="3"/>
      <c r="Q53" s="413"/>
    </row>
    <row r="54" spans="2:20" s="63" customFormat="1" ht="15" customHeight="1" thickBot="1">
      <c r="B54" s="376"/>
      <c r="C54" s="241"/>
      <c r="D54" s="241"/>
      <c r="E54" s="241"/>
      <c r="F54" s="241"/>
      <c r="G54" s="241"/>
      <c r="H54" s="241"/>
      <c r="I54" s="241"/>
      <c r="J54" s="241"/>
      <c r="K54" s="241"/>
      <c r="L54" s="241"/>
      <c r="M54" s="241"/>
      <c r="N54" s="241"/>
      <c r="O54" s="241"/>
      <c r="P54" s="241"/>
      <c r="Q54" s="380"/>
    </row>
    <row r="55" spans="2:20" s="56" customFormat="1" ht="14.25" thickTop="1" thickBot="1">
      <c r="B55" s="269"/>
      <c r="C55" s="270"/>
      <c r="D55" s="270"/>
      <c r="E55" s="270"/>
      <c r="F55" s="270"/>
      <c r="G55" s="270"/>
      <c r="H55" s="270"/>
      <c r="I55" s="270"/>
      <c r="J55" s="270"/>
      <c r="K55" s="270"/>
      <c r="L55" s="270"/>
      <c r="M55" s="270"/>
      <c r="N55" s="270"/>
      <c r="O55" s="270"/>
      <c r="P55" s="270"/>
      <c r="Q55" s="271"/>
      <c r="R55" s="201"/>
      <c r="S55" s="65"/>
      <c r="T55" s="65"/>
    </row>
    <row r="56" spans="2:20" ht="13.5" thickTop="1"/>
  </sheetData>
  <sheetProtection algorithmName="SHA-512" hashValue="sT34Ot24LzuiQKalF9EWoNVk3nZsBeSK37DqIwQa/enKmccnNm9zJ8OXmv+jGgkexj0llu/gUZz/GPKmCA0oMw==" saltValue="7bIZguGGZDloXOlcriHo3Q==" spinCount="100000" sheet="1" objects="1" scenarios="1" selectLockedCells="1"/>
  <mergeCells count="48">
    <mergeCell ref="B36:B38"/>
    <mergeCell ref="M37:M38"/>
    <mergeCell ref="N37:N38"/>
    <mergeCell ref="O37:O38"/>
    <mergeCell ref="P37:P38"/>
    <mergeCell ref="C37:C38"/>
    <mergeCell ref="D37:D38"/>
    <mergeCell ref="E37:E38"/>
    <mergeCell ref="F37:F38"/>
    <mergeCell ref="G37:G38"/>
    <mergeCell ref="O36:Q36"/>
    <mergeCell ref="C36:E36"/>
    <mergeCell ref="F36:H36"/>
    <mergeCell ref="I36:K36"/>
    <mergeCell ref="L36:N36"/>
    <mergeCell ref="Q37:Q38"/>
    <mergeCell ref="H37:H38"/>
    <mergeCell ref="I37:I38"/>
    <mergeCell ref="J37:J38"/>
    <mergeCell ref="K37:K38"/>
    <mergeCell ref="L37:L38"/>
    <mergeCell ref="P21:P22"/>
    <mergeCell ref="Q21:Q22"/>
    <mergeCell ref="B18:Q18"/>
    <mergeCell ref="B33:Q33"/>
    <mergeCell ref="O20:Q20"/>
    <mergeCell ref="B3:Q3"/>
    <mergeCell ref="B20:B22"/>
    <mergeCell ref="C21:C22"/>
    <mergeCell ref="D21:D22"/>
    <mergeCell ref="E21:E22"/>
    <mergeCell ref="F21:F22"/>
    <mergeCell ref="G21:G22"/>
    <mergeCell ref="H21:H22"/>
    <mergeCell ref="I21:I22"/>
    <mergeCell ref="J21:J22"/>
    <mergeCell ref="K21:K22"/>
    <mergeCell ref="L21:L22"/>
    <mergeCell ref="M21:M22"/>
    <mergeCell ref="N21:N22"/>
    <mergeCell ref="I5:L5"/>
    <mergeCell ref="O21:O22"/>
    <mergeCell ref="I7:L7"/>
    <mergeCell ref="C20:E20"/>
    <mergeCell ref="F20:H20"/>
    <mergeCell ref="I20:K20"/>
    <mergeCell ref="L20:N20"/>
    <mergeCell ref="B10:Q10"/>
  </mergeCells>
  <phoneticPr fontId="0" type="noConversion"/>
  <pageMargins left="0.59" right="0.75" top="0.88" bottom="1" header="0" footer="0"/>
  <pageSetup scale="51" orientation="landscape" verticalDpi="300"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1">
    <pageSetUpPr autoPageBreaks="0"/>
  </sheetPr>
  <dimension ref="A1:AT79"/>
  <sheetViews>
    <sheetView showGridLines="0" showRowColHeaders="0" showZeros="0" zoomScaleNormal="100" workbookViewId="0"/>
  </sheetViews>
  <sheetFormatPr baseColWidth="10" defaultColWidth="0" defaultRowHeight="12.75" zeroHeight="1"/>
  <cols>
    <col min="1" max="1" width="2.28515625" customWidth="1"/>
    <col min="2" max="16" width="11.42578125" customWidth="1"/>
    <col min="17" max="46" width="0" hidden="1" customWidth="1"/>
    <col min="47" max="16384" width="11.42578125" hidden="1"/>
  </cols>
  <sheetData>
    <row r="1" spans="1:17" s="63" customFormat="1" ht="13.5" thickBot="1">
      <c r="A1" s="246"/>
      <c r="B1" s="56"/>
      <c r="C1" s="56"/>
      <c r="D1" s="56"/>
      <c r="E1" s="56"/>
      <c r="F1" s="56"/>
      <c r="H1" s="56"/>
      <c r="I1" s="56"/>
      <c r="J1" s="56"/>
      <c r="K1" s="56"/>
      <c r="L1" s="56"/>
      <c r="M1" s="64"/>
    </row>
    <row r="2" spans="1:17" s="63" customFormat="1" ht="7.5" customHeight="1" thickTop="1">
      <c r="A2" s="56"/>
      <c r="B2" s="37"/>
      <c r="C2" s="38"/>
      <c r="D2" s="233"/>
      <c r="E2" s="233"/>
      <c r="F2" s="233"/>
      <c r="G2" s="233"/>
      <c r="H2" s="233"/>
      <c r="I2" s="233"/>
      <c r="J2" s="233"/>
      <c r="K2" s="233"/>
      <c r="L2" s="233"/>
      <c r="M2" s="233"/>
      <c r="N2" s="233"/>
      <c r="O2" s="234"/>
      <c r="P2" s="56"/>
      <c r="Q2" s="64"/>
    </row>
    <row r="3" spans="1:17" s="63" customFormat="1" ht="20.25">
      <c r="A3" s="56"/>
      <c r="B3" s="618" t="s">
        <v>2709</v>
      </c>
      <c r="C3" s="619"/>
      <c r="D3" s="619"/>
      <c r="E3" s="619"/>
      <c r="F3" s="619"/>
      <c r="G3" s="619"/>
      <c r="H3" s="619"/>
      <c r="I3" s="619"/>
      <c r="J3" s="619"/>
      <c r="K3" s="619"/>
      <c r="L3" s="619"/>
      <c r="M3" s="619"/>
      <c r="N3" s="619"/>
      <c r="O3" s="620"/>
      <c r="P3" s="56"/>
      <c r="Q3" s="64"/>
    </row>
    <row r="4" spans="1:17" s="63" customFormat="1" ht="13.5" thickBot="1">
      <c r="A4" s="56"/>
      <c r="B4" s="201"/>
      <c r="C4" s="65"/>
      <c r="D4" s="65"/>
      <c r="E4" s="65"/>
      <c r="F4" s="65"/>
      <c r="G4" s="65"/>
      <c r="H4" s="65"/>
      <c r="I4" s="65"/>
      <c r="J4" s="65"/>
      <c r="K4" s="65"/>
      <c r="L4" s="65"/>
      <c r="M4" s="65"/>
      <c r="N4" s="65"/>
      <c r="O4" s="274"/>
      <c r="P4" s="56"/>
      <c r="Q4" s="64"/>
    </row>
    <row r="5" spans="1:17" s="63" customFormat="1" ht="14.25" thickTop="1" thickBot="1">
      <c r="B5" s="210"/>
      <c r="E5" s="393" t="s">
        <v>2579</v>
      </c>
      <c r="F5" s="393"/>
      <c r="G5" s="393"/>
      <c r="H5" s="280"/>
      <c r="I5" s="621" t="str">
        <f>+'1-Datos Generales'!$H$5</f>
        <v>SEGI</v>
      </c>
      <c r="J5" s="622"/>
      <c r="K5" s="622"/>
      <c r="L5" s="623"/>
      <c r="M5" s="388"/>
      <c r="N5" s="388"/>
      <c r="O5" s="202"/>
      <c r="Q5" s="64"/>
    </row>
    <row r="6" spans="1:17" s="56" customFormat="1" ht="4.5" customHeight="1" thickTop="1" thickBot="1">
      <c r="B6" s="201" t="s">
        <v>212</v>
      </c>
      <c r="E6" s="65"/>
      <c r="F6" s="65" t="s">
        <v>7</v>
      </c>
      <c r="G6" s="196"/>
      <c r="H6" s="196"/>
      <c r="I6" s="196"/>
      <c r="J6" s="65"/>
      <c r="K6" s="65"/>
      <c r="L6" s="65"/>
      <c r="M6" s="65"/>
      <c r="N6" s="65"/>
      <c r="O6" s="202"/>
      <c r="P6" s="65"/>
      <c r="Q6" s="65"/>
    </row>
    <row r="7" spans="1:17" s="63" customFormat="1" ht="14.25" thickTop="1" thickBot="1">
      <c r="B7" s="210"/>
      <c r="E7" s="393" t="s">
        <v>2576</v>
      </c>
      <c r="F7" s="393"/>
      <c r="G7" s="393"/>
      <c r="H7" s="280"/>
      <c r="I7" s="621">
        <f>+'1-Datos Generales'!$D$11</f>
        <v>0</v>
      </c>
      <c r="J7" s="622"/>
      <c r="K7" s="622"/>
      <c r="L7" s="623"/>
      <c r="M7" s="388"/>
      <c r="N7" s="388"/>
      <c r="O7" s="202"/>
      <c r="Q7" s="64"/>
    </row>
    <row r="8" spans="1:17" s="2" customFormat="1" ht="13.5" thickTop="1">
      <c r="B8" s="391"/>
      <c r="C8" s="47"/>
      <c r="D8" s="47"/>
      <c r="E8" s="47"/>
      <c r="F8" s="47"/>
      <c r="G8" s="47"/>
      <c r="H8" s="47"/>
      <c r="I8" s="47"/>
      <c r="J8" s="78"/>
      <c r="K8" s="78"/>
      <c r="L8" s="78"/>
      <c r="M8" s="78"/>
      <c r="N8" s="78"/>
      <c r="O8" s="392"/>
      <c r="P8" s="76"/>
    </row>
    <row r="9" spans="1:17" s="56" customFormat="1" ht="4.5" customHeight="1" thickBot="1">
      <c r="B9" s="201" t="s">
        <v>212</v>
      </c>
      <c r="C9" s="65"/>
      <c r="D9" s="65" t="s">
        <v>7</v>
      </c>
      <c r="E9" s="196"/>
      <c r="F9" s="196"/>
      <c r="G9" s="196"/>
      <c r="H9" s="65"/>
      <c r="I9" s="65"/>
      <c r="J9" s="65"/>
      <c r="K9" s="65"/>
      <c r="L9" s="65"/>
      <c r="M9" s="65"/>
      <c r="N9" s="65"/>
      <c r="O9" s="202"/>
      <c r="P9" s="65"/>
      <c r="Q9" s="65"/>
    </row>
    <row r="10" spans="1:17" s="56" customFormat="1" ht="25.5" customHeight="1" thickBot="1">
      <c r="B10" s="765" t="s">
        <v>2591</v>
      </c>
      <c r="C10" s="766"/>
      <c r="D10" s="766"/>
      <c r="E10" s="766"/>
      <c r="F10" s="766"/>
      <c r="G10" s="766"/>
      <c r="H10" s="766"/>
      <c r="I10" s="766"/>
      <c r="J10" s="766"/>
      <c r="K10" s="766"/>
      <c r="L10" s="766"/>
      <c r="M10" s="766"/>
      <c r="N10" s="766"/>
      <c r="O10" s="767"/>
    </row>
    <row r="11" spans="1:17" s="63" customFormat="1" ht="16.5" customHeight="1">
      <c r="B11" s="257"/>
      <c r="C11" s="345"/>
      <c r="D11" s="345"/>
      <c r="E11" s="345"/>
      <c r="F11" s="345"/>
      <c r="G11" s="345"/>
      <c r="H11" s="345"/>
      <c r="I11" s="345"/>
      <c r="J11" s="345"/>
      <c r="K11" s="345"/>
      <c r="L11" s="345"/>
      <c r="M11" s="345"/>
      <c r="N11" s="345"/>
      <c r="O11" s="258"/>
      <c r="Q11" s="64"/>
    </row>
    <row r="12" spans="1:17" s="2" customFormat="1" ht="21" customHeight="1">
      <c r="A12" s="47"/>
      <c r="B12" s="402"/>
      <c r="C12" s="49"/>
      <c r="D12" s="49"/>
      <c r="E12" s="49"/>
      <c r="F12" s="49"/>
      <c r="G12" s="49"/>
      <c r="H12" s="49"/>
      <c r="I12" s="49"/>
      <c r="J12" s="77"/>
      <c r="K12" s="77"/>
      <c r="L12" s="77"/>
      <c r="M12" s="77"/>
      <c r="N12" s="77"/>
      <c r="O12" s="408"/>
      <c r="P12" s="76"/>
    </row>
    <row r="13" spans="1:17" s="2" customFormat="1">
      <c r="B13" s="391"/>
      <c r="C13" s="47"/>
      <c r="D13" s="47"/>
      <c r="E13" s="47"/>
      <c r="F13" s="47"/>
      <c r="G13" s="47"/>
      <c r="H13" s="47"/>
      <c r="I13" s="47"/>
      <c r="J13" s="78"/>
      <c r="K13" s="78"/>
      <c r="L13" s="78"/>
      <c r="M13" s="78"/>
      <c r="N13" s="78"/>
      <c r="O13" s="392"/>
      <c r="P13" s="76"/>
    </row>
    <row r="14" spans="1:17" s="2" customFormat="1">
      <c r="B14" s="391"/>
      <c r="C14" s="47"/>
      <c r="D14" s="47"/>
      <c r="E14" s="47"/>
      <c r="F14" s="47"/>
      <c r="G14" s="47"/>
      <c r="H14" s="47"/>
      <c r="I14" s="47"/>
      <c r="J14" s="78"/>
      <c r="K14" s="78"/>
      <c r="L14" s="78"/>
      <c r="M14" s="78"/>
      <c r="N14" s="78"/>
      <c r="O14" s="392"/>
      <c r="P14" s="76"/>
    </row>
    <row r="15" spans="1:17" s="2" customFormat="1">
      <c r="B15" s="391"/>
      <c r="C15" s="47"/>
      <c r="D15" s="47"/>
      <c r="E15" s="47"/>
      <c r="F15" s="47"/>
      <c r="G15" s="47"/>
      <c r="H15" s="47"/>
      <c r="I15" s="47"/>
      <c r="J15" s="78"/>
      <c r="K15" s="78"/>
      <c r="L15" s="78"/>
      <c r="M15" s="78"/>
      <c r="N15" s="78"/>
      <c r="O15" s="392"/>
      <c r="P15" s="76"/>
    </row>
    <row r="16" spans="1:17" s="2" customFormat="1" ht="48" customHeight="1">
      <c r="B16" s="391"/>
      <c r="C16" s="47"/>
      <c r="D16" s="47"/>
      <c r="E16" s="47"/>
      <c r="F16" s="47"/>
      <c r="G16" s="47"/>
      <c r="H16" s="47"/>
      <c r="I16" s="47"/>
      <c r="J16" s="78"/>
      <c r="K16" s="78"/>
      <c r="L16" s="78"/>
      <c r="M16" s="78"/>
      <c r="N16" s="78"/>
      <c r="O16" s="392"/>
      <c r="P16" s="76"/>
    </row>
    <row r="17" spans="1:37" s="47" customFormat="1" ht="21" customHeight="1" thickBot="1">
      <c r="B17" s="391"/>
      <c r="O17" s="409"/>
    </row>
    <row r="18" spans="1:37" s="56" customFormat="1" ht="25.5" customHeight="1" thickBot="1">
      <c r="B18" s="765" t="s">
        <v>28</v>
      </c>
      <c r="C18" s="766"/>
      <c r="D18" s="766"/>
      <c r="E18" s="766"/>
      <c r="F18" s="766"/>
      <c r="G18" s="766"/>
      <c r="H18" s="766"/>
      <c r="I18" s="766"/>
      <c r="J18" s="766"/>
      <c r="K18" s="766"/>
      <c r="L18" s="766"/>
      <c r="M18" s="766"/>
      <c r="N18" s="766"/>
      <c r="O18" s="767"/>
    </row>
    <row r="19" spans="1:37" s="1" customFormat="1">
      <c r="B19" s="416"/>
      <c r="C19" s="4"/>
      <c r="D19" s="4"/>
      <c r="E19" s="4"/>
      <c r="F19" s="4"/>
      <c r="G19" s="4"/>
      <c r="H19" s="4"/>
      <c r="I19" s="253"/>
      <c r="J19" s="4"/>
      <c r="K19" s="4"/>
      <c r="L19" s="4"/>
      <c r="M19" s="4"/>
      <c r="N19" s="4"/>
      <c r="O19" s="417"/>
    </row>
    <row r="20" spans="1:37">
      <c r="B20" s="407"/>
      <c r="C20" s="3"/>
      <c r="D20" s="3"/>
      <c r="E20" s="3"/>
      <c r="F20" s="3"/>
      <c r="G20" s="3"/>
      <c r="H20" s="414"/>
      <c r="I20" s="3"/>
      <c r="J20" s="3"/>
      <c r="K20" s="3"/>
      <c r="L20" s="3"/>
      <c r="M20" s="3"/>
      <c r="N20" s="3"/>
      <c r="O20" s="413"/>
      <c r="P20" s="3"/>
      <c r="Q20" s="3"/>
      <c r="R20" s="3"/>
      <c r="S20" s="3"/>
      <c r="T20" s="3"/>
      <c r="U20" s="3"/>
      <c r="V20" s="3"/>
      <c r="W20" s="3"/>
      <c r="X20" s="3"/>
      <c r="Y20" s="3"/>
      <c r="Z20" s="3"/>
      <c r="AA20" s="3"/>
      <c r="AB20" s="3"/>
      <c r="AC20" s="3"/>
      <c r="AD20" s="3"/>
      <c r="AE20" s="3"/>
      <c r="AF20" s="3"/>
    </row>
    <row r="21" spans="1:37" ht="25.5" customHeight="1">
      <c r="B21" s="407"/>
      <c r="C21" s="699" t="s">
        <v>2639</v>
      </c>
      <c r="D21" s="699"/>
      <c r="E21" s="699"/>
      <c r="F21" s="699"/>
      <c r="G21" s="699"/>
      <c r="H21" s="699"/>
      <c r="I21" s="699"/>
      <c r="J21" s="699"/>
      <c r="K21" s="699"/>
      <c r="L21" s="699"/>
      <c r="M21" s="699"/>
      <c r="N21" s="699"/>
      <c r="O21" s="413"/>
      <c r="P21" s="3"/>
      <c r="Q21" s="3"/>
      <c r="R21" s="3"/>
      <c r="S21" s="3"/>
      <c r="T21" s="3"/>
      <c r="U21" s="3"/>
      <c r="V21" s="3"/>
      <c r="W21" s="3"/>
      <c r="X21" s="3"/>
      <c r="Y21" s="3"/>
      <c r="Z21" s="3"/>
      <c r="AA21" s="3"/>
      <c r="AB21" s="3"/>
      <c r="AC21" s="3"/>
      <c r="AD21" s="3"/>
      <c r="AE21" s="3"/>
      <c r="AF21" s="3"/>
      <c r="AG21" s="3"/>
      <c r="AH21" s="3"/>
      <c r="AI21" s="3"/>
      <c r="AJ21" s="3"/>
      <c r="AK21" s="3"/>
    </row>
    <row r="22" spans="1:37" s="5" customFormat="1" ht="25.5" customHeight="1">
      <c r="A22" s="3"/>
      <c r="B22" s="407"/>
      <c r="C22" s="699" t="s">
        <v>2637</v>
      </c>
      <c r="D22" s="699"/>
      <c r="E22" s="626" t="s">
        <v>78</v>
      </c>
      <c r="F22" s="626"/>
      <c r="G22" s="626" t="s">
        <v>79</v>
      </c>
      <c r="H22" s="626"/>
      <c r="I22" s="626" t="s">
        <v>60</v>
      </c>
      <c r="J22" s="626"/>
      <c r="K22" s="626" t="s">
        <v>61</v>
      </c>
      <c r="L22" s="626"/>
      <c r="M22" s="626" t="s">
        <v>62</v>
      </c>
      <c r="N22" s="626"/>
      <c r="O22" s="413"/>
      <c r="P22" s="3"/>
      <c r="Q22" s="3"/>
      <c r="R22" s="3"/>
      <c r="S22" s="3"/>
      <c r="T22" s="3"/>
      <c r="U22" s="3"/>
      <c r="V22" s="3"/>
      <c r="W22" s="3"/>
      <c r="X22" s="3"/>
      <c r="Y22" s="3"/>
      <c r="Z22" s="3"/>
      <c r="AA22" s="3"/>
      <c r="AB22" s="3"/>
      <c r="AC22" s="3"/>
      <c r="AD22" s="3"/>
      <c r="AE22" s="3"/>
      <c r="AF22" s="3"/>
      <c r="AG22" s="3"/>
      <c r="AH22" s="3"/>
      <c r="AI22" s="3"/>
      <c r="AJ22" s="3"/>
      <c r="AK22" s="3"/>
    </row>
    <row r="23" spans="1:37" s="5" customFormat="1" ht="18" customHeight="1">
      <c r="A23" s="3"/>
      <c r="B23" s="407"/>
      <c r="C23" s="776" t="s">
        <v>2646</v>
      </c>
      <c r="D23" s="776"/>
      <c r="E23" s="777">
        <f>+'4-Pto de Costos y Gastos'!D33</f>
        <v>32706936</v>
      </c>
      <c r="F23" s="777"/>
      <c r="G23" s="777">
        <f>+E23*'4-Pto de Costos y Gastos'!H45</f>
        <v>33688144.079999998</v>
      </c>
      <c r="H23" s="777"/>
      <c r="I23" s="778">
        <f>+G23*'4-Pto de Costos y Gastos'!H46</f>
        <v>34698788.402400002</v>
      </c>
      <c r="J23" s="778"/>
      <c r="K23" s="778">
        <f>+I23*'4-Pto de Costos y Gastos'!H47</f>
        <v>35739752.054471999</v>
      </c>
      <c r="L23" s="778"/>
      <c r="M23" s="778">
        <f>+K23*'4-Pto de Costos y Gastos'!H48</f>
        <v>36811944.61610616</v>
      </c>
      <c r="N23" s="778"/>
      <c r="O23" s="413"/>
      <c r="P23" s="3"/>
      <c r="Q23" s="3"/>
      <c r="R23" s="3"/>
      <c r="S23" s="3"/>
      <c r="T23" s="3"/>
      <c r="U23" s="3"/>
      <c r="V23" s="3"/>
      <c r="W23" s="3"/>
      <c r="X23" s="3"/>
      <c r="Y23" s="3"/>
      <c r="Z23" s="3"/>
      <c r="AA23" s="3"/>
      <c r="AB23" s="3"/>
      <c r="AC23" s="3"/>
      <c r="AD23" s="3"/>
      <c r="AE23" s="3"/>
      <c r="AF23" s="3"/>
      <c r="AG23" s="3"/>
      <c r="AH23" s="3"/>
      <c r="AI23" s="3"/>
      <c r="AJ23" s="3"/>
      <c r="AK23" s="3"/>
    </row>
    <row r="24" spans="1:37" s="5" customFormat="1" ht="18" customHeight="1">
      <c r="A24" s="3"/>
      <c r="B24" s="407"/>
      <c r="C24" s="776" t="s">
        <v>2652</v>
      </c>
      <c r="D24" s="776"/>
      <c r="E24" s="777">
        <f>+'4-Pto de Costos y Gastos'!D34</f>
        <v>1308277.44</v>
      </c>
      <c r="F24" s="777"/>
      <c r="G24" s="777">
        <f>+G23*'4-Pto de Costos y Gastos'!D44</f>
        <v>1347525.7631999999</v>
      </c>
      <c r="H24" s="777"/>
      <c r="I24" s="778">
        <f>+$I$23*'4-Pto de Costos y Gastos'!D44</f>
        <v>1387951.5360960001</v>
      </c>
      <c r="J24" s="778"/>
      <c r="K24" s="778">
        <f>+$K$23*'4-Pto de Costos y Gastos'!D44</f>
        <v>1429590.08217888</v>
      </c>
      <c r="L24" s="778"/>
      <c r="M24" s="778">
        <f>+$M$23*'4-Pto de Costos y Gastos'!D44</f>
        <v>1472477.7846442463</v>
      </c>
      <c r="N24" s="778"/>
      <c r="O24" s="413"/>
      <c r="P24" s="3"/>
      <c r="Q24" s="3"/>
      <c r="R24" s="3"/>
      <c r="S24" s="3"/>
      <c r="T24" s="3"/>
      <c r="U24" s="3"/>
      <c r="V24" s="3"/>
      <c r="W24" s="3"/>
      <c r="X24" s="3"/>
      <c r="Y24" s="3"/>
      <c r="Z24" s="3"/>
      <c r="AA24" s="3"/>
      <c r="AB24" s="3"/>
      <c r="AC24" s="3"/>
      <c r="AD24" s="3"/>
      <c r="AE24" s="3"/>
      <c r="AF24" s="3"/>
      <c r="AG24" s="3"/>
      <c r="AH24" s="3"/>
      <c r="AI24" s="3"/>
      <c r="AJ24" s="3"/>
      <c r="AK24" s="3"/>
    </row>
    <row r="25" spans="1:37" s="5" customFormat="1" ht="18" customHeight="1">
      <c r="A25" s="3"/>
      <c r="B25" s="407"/>
      <c r="C25" s="775" t="s">
        <v>65</v>
      </c>
      <c r="D25" s="775"/>
      <c r="E25" s="777">
        <f>+'4-Pto de Costos y Gastos'!D36</f>
        <v>2724487.7687999997</v>
      </c>
      <c r="F25" s="777"/>
      <c r="G25" s="777">
        <f>+G23*'4-Pto de Costos y Gastos'!D46</f>
        <v>2806222.4018639997</v>
      </c>
      <c r="H25" s="777"/>
      <c r="I25" s="778">
        <f>+$I$23*'4-Pto de Costos y Gastos'!D46</f>
        <v>2890409.0739199203</v>
      </c>
      <c r="J25" s="778"/>
      <c r="K25" s="778">
        <f>+$K$23*'4-Pto de Costos y Gastos'!D46</f>
        <v>2977121.3461375176</v>
      </c>
      <c r="L25" s="778"/>
      <c r="M25" s="778">
        <f>+$M$23*'4-Pto de Costos y Gastos'!D46</f>
        <v>3066434.9865216431</v>
      </c>
      <c r="N25" s="778"/>
      <c r="O25" s="413"/>
      <c r="P25" s="3"/>
      <c r="Q25" s="3"/>
      <c r="R25" s="3"/>
      <c r="S25" s="3"/>
      <c r="T25" s="3"/>
      <c r="U25" s="3"/>
      <c r="V25" s="3"/>
      <c r="W25" s="3"/>
      <c r="X25" s="3"/>
      <c r="Y25" s="3"/>
      <c r="Z25" s="3"/>
      <c r="AA25" s="3"/>
      <c r="AB25" s="3"/>
      <c r="AC25" s="3"/>
      <c r="AD25" s="3"/>
      <c r="AE25" s="3"/>
      <c r="AF25" s="3"/>
      <c r="AG25" s="3"/>
      <c r="AH25" s="3"/>
      <c r="AI25" s="3"/>
      <c r="AJ25" s="3"/>
      <c r="AK25" s="3"/>
    </row>
    <row r="26" spans="1:37" s="5" customFormat="1" ht="18" customHeight="1">
      <c r="A26" s="3"/>
      <c r="B26" s="407"/>
      <c r="C26" s="775" t="s">
        <v>70</v>
      </c>
      <c r="D26" s="775"/>
      <c r="E26" s="777">
        <f>+'4-Pto de Costos y Gastos'!D37</f>
        <v>3269.3853225599996</v>
      </c>
      <c r="F26" s="777"/>
      <c r="G26" s="777">
        <f>+G25*'4-Pto de Costos y Gastos'!D47</f>
        <v>3367.4668822367994</v>
      </c>
      <c r="H26" s="777"/>
      <c r="I26" s="778">
        <f>+I25*'4-Pto de Costos y Gastos'!D47</f>
        <v>3468.4908887039041</v>
      </c>
      <c r="J26" s="778"/>
      <c r="K26" s="778">
        <f>+K25*'4-Pto de Costos y Gastos'!D47</f>
        <v>3572.5456153650207</v>
      </c>
      <c r="L26" s="778"/>
      <c r="M26" s="778">
        <f>+M25*'4-Pto de Costos y Gastos'!D47</f>
        <v>3679.7219838259716</v>
      </c>
      <c r="N26" s="778"/>
      <c r="O26" s="413"/>
      <c r="P26" s="3"/>
      <c r="Q26" s="3"/>
      <c r="R26" s="3"/>
      <c r="S26" s="3"/>
      <c r="T26" s="3"/>
      <c r="U26" s="3"/>
      <c r="V26" s="3"/>
      <c r="W26" s="3"/>
      <c r="X26" s="3"/>
      <c r="Y26" s="3"/>
      <c r="Z26" s="3"/>
      <c r="AA26" s="3"/>
      <c r="AB26" s="3"/>
      <c r="AC26" s="3"/>
      <c r="AD26" s="3"/>
      <c r="AE26" s="3"/>
      <c r="AF26" s="3"/>
      <c r="AG26" s="3"/>
      <c r="AH26" s="3"/>
      <c r="AI26" s="3"/>
      <c r="AJ26" s="3"/>
      <c r="AK26" s="3"/>
    </row>
    <row r="27" spans="1:37" s="5" customFormat="1" ht="18" customHeight="1">
      <c r="A27" s="3"/>
      <c r="B27" s="407"/>
      <c r="C27" s="775" t="s">
        <v>71</v>
      </c>
      <c r="D27" s="775"/>
      <c r="E27" s="777">
        <f>+'4-Pto de Costos y Gastos'!D38</f>
        <v>2724487.7687999997</v>
      </c>
      <c r="F27" s="777"/>
      <c r="G27" s="777">
        <f>+G23*'4-Pto de Costos y Gastos'!D48</f>
        <v>2806222.4018639997</v>
      </c>
      <c r="H27" s="777"/>
      <c r="I27" s="778">
        <f>+$I$23*'4-Pto de Costos y Gastos'!D48</f>
        <v>2890409.0739199203</v>
      </c>
      <c r="J27" s="778"/>
      <c r="K27" s="778">
        <f>+$K$23*'4-Pto de Costos y Gastos'!D48</f>
        <v>2977121.3461375176</v>
      </c>
      <c r="L27" s="778"/>
      <c r="M27" s="778">
        <f>+$M$23*'4-Pto de Costos y Gastos'!D48</f>
        <v>3066434.9865216431</v>
      </c>
      <c r="N27" s="778"/>
      <c r="O27" s="413"/>
      <c r="P27" s="3"/>
      <c r="Q27" s="3"/>
      <c r="R27" s="3"/>
      <c r="S27" s="3"/>
      <c r="T27" s="3"/>
      <c r="U27" s="3"/>
      <c r="V27" s="3"/>
      <c r="W27" s="3"/>
      <c r="X27" s="3"/>
      <c r="Y27" s="3"/>
      <c r="Z27" s="3"/>
      <c r="AA27" s="3"/>
      <c r="AB27" s="3"/>
      <c r="AC27" s="3"/>
      <c r="AD27" s="3"/>
      <c r="AE27" s="3"/>
      <c r="AF27" s="3"/>
      <c r="AG27" s="3"/>
      <c r="AH27" s="3"/>
      <c r="AI27" s="3"/>
      <c r="AJ27" s="3"/>
      <c r="AK27" s="3"/>
    </row>
    <row r="28" spans="1:37" s="5" customFormat="1" ht="18" customHeight="1">
      <c r="A28" s="3"/>
      <c r="B28" s="407"/>
      <c r="C28" s="775" t="s">
        <v>69</v>
      </c>
      <c r="D28" s="775"/>
      <c r="E28" s="777">
        <f>+'4-Pto de Costos y Gastos'!D39</f>
        <v>1363879.2312</v>
      </c>
      <c r="F28" s="777"/>
      <c r="G28" s="777">
        <f>+G23*'4-Pto de Costos y Gastos'!D49</f>
        <v>1404795.6081359999</v>
      </c>
      <c r="H28" s="777"/>
      <c r="I28" s="778">
        <f>+$I$23*'4-Pto de Costos y Gastos'!D49</f>
        <v>1446939.4763800802</v>
      </c>
      <c r="J28" s="778"/>
      <c r="K28" s="778">
        <f>+$K$23*'4-Pto de Costos y Gastos'!D49</f>
        <v>1490347.6606714823</v>
      </c>
      <c r="L28" s="778"/>
      <c r="M28" s="778">
        <f>+$M$23*'4-Pto de Costos y Gastos'!D49</f>
        <v>1535058.0904916269</v>
      </c>
      <c r="N28" s="778"/>
      <c r="O28" s="413"/>
      <c r="P28" s="3"/>
      <c r="Q28" s="3"/>
      <c r="R28" s="3"/>
      <c r="S28" s="3"/>
      <c r="T28" s="3"/>
      <c r="U28" s="3"/>
      <c r="V28" s="3"/>
      <c r="W28" s="3"/>
      <c r="X28" s="3"/>
      <c r="Y28" s="3"/>
      <c r="Z28" s="3"/>
      <c r="AA28" s="3"/>
      <c r="AB28" s="3"/>
      <c r="AC28" s="3"/>
      <c r="AD28" s="3"/>
      <c r="AE28" s="3"/>
      <c r="AF28" s="3"/>
      <c r="AG28" s="3"/>
      <c r="AH28" s="3"/>
      <c r="AI28" s="3"/>
      <c r="AJ28" s="3"/>
      <c r="AK28" s="3"/>
    </row>
    <row r="29" spans="1:37" s="5" customFormat="1" ht="17.25" customHeight="1">
      <c r="A29" s="3"/>
      <c r="B29" s="407"/>
      <c r="C29" s="699" t="s">
        <v>12</v>
      </c>
      <c r="D29" s="699"/>
      <c r="E29" s="779">
        <f>SUM(E23:E28)</f>
        <v>40831337.594122559</v>
      </c>
      <c r="F29" s="779"/>
      <c r="G29" s="779">
        <f>SUM(G23:G28)</f>
        <v>42056277.721946232</v>
      </c>
      <c r="H29" s="779"/>
      <c r="I29" s="779">
        <f>SUM(I23:I28)</f>
        <v>43317966.053604633</v>
      </c>
      <c r="J29" s="779"/>
      <c r="K29" s="779">
        <f>SUM(K23:K28)</f>
        <v>44617505.035212763</v>
      </c>
      <c r="L29" s="779"/>
      <c r="M29" s="779">
        <f>SUM(M23:M28)</f>
        <v>45956030.186269157</v>
      </c>
      <c r="N29" s="779"/>
      <c r="O29" s="413"/>
      <c r="P29" s="3"/>
      <c r="Q29" s="3"/>
      <c r="R29" s="3"/>
      <c r="S29" s="3"/>
      <c r="T29" s="3"/>
      <c r="U29" s="3"/>
      <c r="V29" s="3"/>
      <c r="W29" s="3"/>
      <c r="X29" s="3"/>
      <c r="Y29" s="3"/>
      <c r="Z29" s="3"/>
      <c r="AA29" s="3"/>
      <c r="AB29" s="3"/>
      <c r="AC29" s="3"/>
      <c r="AD29" s="3"/>
      <c r="AE29" s="3"/>
      <c r="AF29" s="3"/>
      <c r="AG29" s="3"/>
      <c r="AH29" s="3"/>
      <c r="AI29" s="3"/>
      <c r="AJ29" s="3"/>
      <c r="AK29" s="3"/>
    </row>
    <row r="30" spans="1:37" s="4" customFormat="1" ht="21" customHeight="1">
      <c r="B30" s="407"/>
      <c r="C30" s="6"/>
      <c r="D30" s="6"/>
      <c r="E30" s="16"/>
      <c r="F30" s="16"/>
      <c r="G30" s="16"/>
      <c r="H30" s="16"/>
      <c r="I30" s="6"/>
      <c r="J30" s="6"/>
      <c r="K30" s="16"/>
      <c r="L30" s="16"/>
      <c r="M30" s="16"/>
      <c r="O30" s="410"/>
    </row>
    <row r="31" spans="1:37" s="4" customFormat="1" ht="25.5" customHeight="1">
      <c r="B31" s="407"/>
      <c r="C31" s="699" t="s">
        <v>2711</v>
      </c>
      <c r="D31" s="699"/>
      <c r="E31" s="699"/>
      <c r="F31" s="699"/>
      <c r="G31" s="699"/>
      <c r="H31" s="699"/>
      <c r="I31" s="699"/>
      <c r="J31" s="699"/>
      <c r="K31" s="699"/>
      <c r="L31" s="699"/>
      <c r="M31" s="699"/>
      <c r="N31" s="699"/>
      <c r="O31" s="410"/>
    </row>
    <row r="32" spans="1:37" s="4" customFormat="1" ht="25.5" customHeight="1">
      <c r="B32" s="403"/>
      <c r="C32" s="699" t="s">
        <v>2637</v>
      </c>
      <c r="D32" s="699"/>
      <c r="E32" s="626" t="s">
        <v>78</v>
      </c>
      <c r="F32" s="626"/>
      <c r="G32" s="626" t="s">
        <v>79</v>
      </c>
      <c r="H32" s="626"/>
      <c r="I32" s="626" t="s">
        <v>60</v>
      </c>
      <c r="J32" s="626"/>
      <c r="K32" s="626" t="s">
        <v>61</v>
      </c>
      <c r="L32" s="626"/>
      <c r="M32" s="626" t="s">
        <v>62</v>
      </c>
      <c r="N32" s="626"/>
      <c r="O32" s="410"/>
    </row>
    <row r="33" spans="2:15" s="4" customFormat="1" ht="18" customHeight="1">
      <c r="B33" s="403"/>
      <c r="C33" s="776" t="s">
        <v>2646</v>
      </c>
      <c r="D33" s="776"/>
      <c r="E33" s="777">
        <f>+'4-Pto de Costos y Gastos'!G33</f>
        <v>0</v>
      </c>
      <c r="F33" s="777"/>
      <c r="G33" s="777">
        <f>+E33*'4-Pto de Costos y Gastos'!H45</f>
        <v>0</v>
      </c>
      <c r="H33" s="777"/>
      <c r="I33" s="778">
        <f>+G33*'4-Pto de Costos y Gastos'!H46</f>
        <v>0</v>
      </c>
      <c r="J33" s="778"/>
      <c r="K33" s="778">
        <f>+I33*'4-Pto de Costos y Gastos'!H47</f>
        <v>0</v>
      </c>
      <c r="L33" s="778"/>
      <c r="M33" s="778">
        <f>+K33*'4-Pto de Costos y Gastos'!H48</f>
        <v>0</v>
      </c>
      <c r="N33" s="778"/>
      <c r="O33" s="410"/>
    </row>
    <row r="34" spans="2:15" s="4" customFormat="1" ht="18" customHeight="1">
      <c r="B34" s="403"/>
      <c r="C34" s="775" t="s">
        <v>64</v>
      </c>
      <c r="D34" s="775"/>
      <c r="E34" s="777">
        <f>+'4-Pto de Costos y Gastos'!G34</f>
        <v>0</v>
      </c>
      <c r="F34" s="777"/>
      <c r="G34" s="777">
        <f>+$G$33*'4-Pto de Costos y Gastos'!D44</f>
        <v>0</v>
      </c>
      <c r="H34" s="777"/>
      <c r="I34" s="778">
        <f>+$I$33*'4-Pto de Costos y Gastos'!D44</f>
        <v>0</v>
      </c>
      <c r="J34" s="778"/>
      <c r="K34" s="778">
        <f>+$K$33*'4-Pto de Costos y Gastos'!D44</f>
        <v>0</v>
      </c>
      <c r="L34" s="778"/>
      <c r="M34" s="778">
        <f>+$M$33*'4-Pto de Costos y Gastos'!D44</f>
        <v>0</v>
      </c>
      <c r="N34" s="778"/>
      <c r="O34" s="410"/>
    </row>
    <row r="35" spans="2:15" s="4" customFormat="1" ht="18" customHeight="1">
      <c r="B35" s="403"/>
      <c r="C35" s="775" t="s">
        <v>65</v>
      </c>
      <c r="D35" s="775"/>
      <c r="E35" s="777">
        <f>+'4-Pto de Costos y Gastos'!G36</f>
        <v>0</v>
      </c>
      <c r="F35" s="777"/>
      <c r="G35" s="777">
        <f>+$G$33*'4-Pto de Costos y Gastos'!D46</f>
        <v>0</v>
      </c>
      <c r="H35" s="777"/>
      <c r="I35" s="778">
        <f>+$I$33*'4-Pto de Costos y Gastos'!D46</f>
        <v>0</v>
      </c>
      <c r="J35" s="778"/>
      <c r="K35" s="778">
        <f>+$K$33*'4-Pto de Costos y Gastos'!D46</f>
        <v>0</v>
      </c>
      <c r="L35" s="778"/>
      <c r="M35" s="778">
        <f>+$M$33*'4-Pto de Costos y Gastos'!D46</f>
        <v>0</v>
      </c>
      <c r="N35" s="778"/>
      <c r="O35" s="410"/>
    </row>
    <row r="36" spans="2:15" s="4" customFormat="1" ht="18" customHeight="1">
      <c r="B36" s="403"/>
      <c r="C36" s="775" t="s">
        <v>70</v>
      </c>
      <c r="D36" s="775"/>
      <c r="E36" s="777">
        <f>+'4-Pto de Costos y Gastos'!G37</f>
        <v>0</v>
      </c>
      <c r="F36" s="777"/>
      <c r="G36" s="777">
        <f>+G35*'4-Pto de Costos y Gastos'!D47</f>
        <v>0</v>
      </c>
      <c r="H36" s="777"/>
      <c r="I36" s="777">
        <f>+I35*'4-Pto de Costos y Gastos'!D47</f>
        <v>0</v>
      </c>
      <c r="J36" s="777"/>
      <c r="K36" s="777">
        <f>+K35*'4-Pto de Costos y Gastos'!D47</f>
        <v>0</v>
      </c>
      <c r="L36" s="777"/>
      <c r="M36" s="777">
        <f>+M35*'4-Pto de Costos y Gastos'!D47</f>
        <v>0</v>
      </c>
      <c r="N36" s="777"/>
      <c r="O36" s="410"/>
    </row>
    <row r="37" spans="2:15" s="4" customFormat="1" ht="18" customHeight="1">
      <c r="B37" s="403"/>
      <c r="C37" s="775" t="s">
        <v>71</v>
      </c>
      <c r="D37" s="775"/>
      <c r="E37" s="777">
        <f>+'4-Pto de Costos y Gastos'!G38</f>
        <v>0</v>
      </c>
      <c r="F37" s="777"/>
      <c r="G37" s="777">
        <f>+$G$33*'4-Pto de Costos y Gastos'!D48</f>
        <v>0</v>
      </c>
      <c r="H37" s="777"/>
      <c r="I37" s="778">
        <f>+$I$33*'4-Pto de Costos y Gastos'!D48</f>
        <v>0</v>
      </c>
      <c r="J37" s="778"/>
      <c r="K37" s="778">
        <f>+$K$33*'4-Pto de Costos y Gastos'!D48</f>
        <v>0</v>
      </c>
      <c r="L37" s="778"/>
      <c r="M37" s="778">
        <f>+$M$33*'4-Pto de Costos y Gastos'!D48</f>
        <v>0</v>
      </c>
      <c r="N37" s="778"/>
      <c r="O37" s="410"/>
    </row>
    <row r="38" spans="2:15" s="4" customFormat="1" ht="18" customHeight="1">
      <c r="B38" s="403"/>
      <c r="C38" s="775" t="s">
        <v>69</v>
      </c>
      <c r="D38" s="775"/>
      <c r="E38" s="777">
        <f>+'4-Pto de Costos y Gastos'!G39</f>
        <v>0</v>
      </c>
      <c r="F38" s="777"/>
      <c r="G38" s="777">
        <f>+$G$33*'4-Pto de Costos y Gastos'!D49</f>
        <v>0</v>
      </c>
      <c r="H38" s="777"/>
      <c r="I38" s="778">
        <f>+$I$33*'4-Pto de Costos y Gastos'!D49</f>
        <v>0</v>
      </c>
      <c r="J38" s="778"/>
      <c r="K38" s="778">
        <f>+$K$33*'4-Pto de Costos y Gastos'!D49</f>
        <v>0</v>
      </c>
      <c r="L38" s="778"/>
      <c r="M38" s="778">
        <f>+$M$33*'4-Pto de Costos y Gastos'!D49</f>
        <v>0</v>
      </c>
      <c r="N38" s="778"/>
      <c r="O38" s="410"/>
    </row>
    <row r="39" spans="2:15" s="4" customFormat="1" ht="21" customHeight="1">
      <c r="B39" s="403"/>
      <c r="C39" s="699" t="s">
        <v>12</v>
      </c>
      <c r="D39" s="699"/>
      <c r="E39" s="779">
        <f>SUM(E33:E38)</f>
        <v>0</v>
      </c>
      <c r="F39" s="779"/>
      <c r="G39" s="779">
        <f>SUM(G33:G38)</f>
        <v>0</v>
      </c>
      <c r="H39" s="779"/>
      <c r="I39" s="779">
        <f>SUM(I33:I38)</f>
        <v>0</v>
      </c>
      <c r="J39" s="779"/>
      <c r="K39" s="779">
        <f>SUM(K33:K38)</f>
        <v>0</v>
      </c>
      <c r="L39" s="779"/>
      <c r="M39" s="779">
        <f>SUM(M33:M38)</f>
        <v>0</v>
      </c>
      <c r="N39" s="779"/>
      <c r="O39" s="410"/>
    </row>
    <row r="40" spans="2:15" s="4" customFormat="1" ht="21" customHeight="1">
      <c r="B40" s="403"/>
      <c r="C40" s="6"/>
      <c r="D40" s="6"/>
      <c r="E40" s="16"/>
      <c r="F40" s="16"/>
      <c r="G40" s="16"/>
      <c r="H40" s="16"/>
      <c r="I40" s="6"/>
      <c r="J40" s="6"/>
      <c r="K40" s="16"/>
      <c r="L40" s="16"/>
      <c r="M40" s="16"/>
      <c r="O40" s="410"/>
    </row>
    <row r="41" spans="2:15" s="4" customFormat="1" ht="25.5" customHeight="1">
      <c r="B41" s="403"/>
      <c r="C41" s="699" t="s">
        <v>11</v>
      </c>
      <c r="D41" s="699"/>
      <c r="E41" s="699"/>
      <c r="F41" s="699"/>
      <c r="G41" s="699"/>
      <c r="H41" s="699"/>
      <c r="I41" s="699"/>
      <c r="J41" s="699"/>
      <c r="K41" s="699"/>
      <c r="L41" s="699"/>
      <c r="M41" s="699"/>
      <c r="N41" s="699"/>
      <c r="O41" s="410"/>
    </row>
    <row r="42" spans="2:15" s="4" customFormat="1" ht="25.5" customHeight="1">
      <c r="B42" s="403"/>
      <c r="C42" s="699" t="s">
        <v>2637</v>
      </c>
      <c r="D42" s="699"/>
      <c r="E42" s="626" t="s">
        <v>78</v>
      </c>
      <c r="F42" s="626"/>
      <c r="G42" s="626" t="s">
        <v>79</v>
      </c>
      <c r="H42" s="626"/>
      <c r="I42" s="626" t="s">
        <v>60</v>
      </c>
      <c r="J42" s="626"/>
      <c r="K42" s="626" t="s">
        <v>61</v>
      </c>
      <c r="L42" s="626"/>
      <c r="M42" s="626" t="s">
        <v>62</v>
      </c>
      <c r="N42" s="626"/>
      <c r="O42" s="410"/>
    </row>
    <row r="43" spans="2:15" s="4" customFormat="1" ht="18" customHeight="1">
      <c r="B43" s="403"/>
      <c r="C43" s="776" t="s">
        <v>2646</v>
      </c>
      <c r="D43" s="776"/>
      <c r="E43" s="777">
        <f>+'4-Pto de Costos y Gastos'!J23</f>
        <v>0</v>
      </c>
      <c r="F43" s="777"/>
      <c r="G43" s="777">
        <f>+E43*'4-Pto de Costos y Gastos'!H45</f>
        <v>0</v>
      </c>
      <c r="H43" s="777"/>
      <c r="I43" s="778">
        <f>+G43*'4-Pto de Costos y Gastos'!H46</f>
        <v>0</v>
      </c>
      <c r="J43" s="778"/>
      <c r="K43" s="778">
        <f>+I43*'4-Pto de Costos y Gastos'!H47</f>
        <v>0</v>
      </c>
      <c r="L43" s="778"/>
      <c r="M43" s="778">
        <f>+K43*'4-Pto de Costos y Gastos'!H48</f>
        <v>0</v>
      </c>
      <c r="N43" s="778"/>
      <c r="O43" s="410"/>
    </row>
    <row r="44" spans="2:15" s="4" customFormat="1" ht="18" customHeight="1">
      <c r="B44" s="403"/>
      <c r="C44" s="775" t="s">
        <v>64</v>
      </c>
      <c r="D44" s="775"/>
      <c r="E44" s="777">
        <f>+'4-Pto de Costos y Gastos'!J34</f>
        <v>0</v>
      </c>
      <c r="F44" s="777"/>
      <c r="G44" s="777">
        <f>+$G$43*'4-Pto de Costos y Gastos'!D44</f>
        <v>0</v>
      </c>
      <c r="H44" s="777"/>
      <c r="I44" s="778">
        <f>+$I$43*'4-Pto de Costos y Gastos'!D44</f>
        <v>0</v>
      </c>
      <c r="J44" s="778"/>
      <c r="K44" s="778">
        <f>+$K$43*'4-Pto de Costos y Gastos'!D44</f>
        <v>0</v>
      </c>
      <c r="L44" s="778"/>
      <c r="M44" s="778">
        <f>+$M$43*'4-Pto de Costos y Gastos'!D44</f>
        <v>0</v>
      </c>
      <c r="N44" s="778"/>
      <c r="O44" s="410"/>
    </row>
    <row r="45" spans="2:15" s="4" customFormat="1" ht="18" customHeight="1">
      <c r="B45" s="403"/>
      <c r="C45" s="775" t="s">
        <v>65</v>
      </c>
      <c r="D45" s="775"/>
      <c r="E45" s="777">
        <f>+'4-Pto de Costos y Gastos'!J36</f>
        <v>0</v>
      </c>
      <c r="F45" s="777"/>
      <c r="G45" s="777">
        <f>+$G$43*'4-Pto de Costos y Gastos'!D46</f>
        <v>0</v>
      </c>
      <c r="H45" s="777"/>
      <c r="I45" s="778">
        <f>+$I$43*'4-Pto de Costos y Gastos'!D46</f>
        <v>0</v>
      </c>
      <c r="J45" s="778"/>
      <c r="K45" s="778">
        <f>+$K$43*'4-Pto de Costos y Gastos'!D46</f>
        <v>0</v>
      </c>
      <c r="L45" s="778"/>
      <c r="M45" s="778">
        <f>+$M$43*'4-Pto de Costos y Gastos'!D46</f>
        <v>0</v>
      </c>
      <c r="N45" s="778"/>
      <c r="O45" s="410"/>
    </row>
    <row r="46" spans="2:15" s="4" customFormat="1" ht="18" customHeight="1">
      <c r="B46" s="403"/>
      <c r="C46" s="775" t="s">
        <v>70</v>
      </c>
      <c r="D46" s="775"/>
      <c r="E46" s="777">
        <f>+'4-Pto de Costos y Gastos'!J37</f>
        <v>0</v>
      </c>
      <c r="F46" s="777"/>
      <c r="G46" s="777">
        <f>+G45*'4-Pto de Costos y Gastos'!D47</f>
        <v>0</v>
      </c>
      <c r="H46" s="777"/>
      <c r="I46" s="778">
        <f>+I45*'4-Pto de Costos y Gastos'!D47</f>
        <v>0</v>
      </c>
      <c r="J46" s="778"/>
      <c r="K46" s="778">
        <f>+K45*'4-Pto de Costos y Gastos'!D47</f>
        <v>0</v>
      </c>
      <c r="L46" s="778"/>
      <c r="M46" s="778">
        <f>+M45*'4-Pto de Costos y Gastos'!D47</f>
        <v>0</v>
      </c>
      <c r="N46" s="778"/>
      <c r="O46" s="410"/>
    </row>
    <row r="47" spans="2:15" s="4" customFormat="1" ht="18" customHeight="1">
      <c r="B47" s="403"/>
      <c r="C47" s="775" t="s">
        <v>71</v>
      </c>
      <c r="D47" s="775"/>
      <c r="E47" s="777">
        <f>+'4-Pto de Costos y Gastos'!J38</f>
        <v>0</v>
      </c>
      <c r="F47" s="777"/>
      <c r="G47" s="777">
        <f>+$G$43*'4-Pto de Costos y Gastos'!D48</f>
        <v>0</v>
      </c>
      <c r="H47" s="777"/>
      <c r="I47" s="778">
        <f>+$I$43*'4-Pto de Costos y Gastos'!D48</f>
        <v>0</v>
      </c>
      <c r="J47" s="778"/>
      <c r="K47" s="778">
        <f>+$K$43*'4-Pto de Costos y Gastos'!D48</f>
        <v>0</v>
      </c>
      <c r="L47" s="778"/>
      <c r="M47" s="778">
        <f>+$M$43*'4-Pto de Costos y Gastos'!D48</f>
        <v>0</v>
      </c>
      <c r="N47" s="778"/>
      <c r="O47" s="410"/>
    </row>
    <row r="48" spans="2:15" s="4" customFormat="1" ht="18" customHeight="1">
      <c r="B48" s="403"/>
      <c r="C48" s="775" t="s">
        <v>69</v>
      </c>
      <c r="D48" s="775"/>
      <c r="E48" s="777">
        <f>+'4-Pto de Costos y Gastos'!J39</f>
        <v>0</v>
      </c>
      <c r="F48" s="777"/>
      <c r="G48" s="777">
        <f>+$G$43*'4-Pto de Costos y Gastos'!D49</f>
        <v>0</v>
      </c>
      <c r="H48" s="777"/>
      <c r="I48" s="778">
        <f>+$I$43*'4-Pto de Costos y Gastos'!D49</f>
        <v>0</v>
      </c>
      <c r="J48" s="778"/>
      <c r="K48" s="778">
        <f>+$K$43*'4-Pto de Costos y Gastos'!D49</f>
        <v>0</v>
      </c>
      <c r="L48" s="778"/>
      <c r="M48" s="778">
        <f>+$M$43*'4-Pto de Costos y Gastos'!D49</f>
        <v>0</v>
      </c>
      <c r="N48" s="778"/>
      <c r="O48" s="410"/>
    </row>
    <row r="49" spans="2:38" s="4" customFormat="1" ht="21" customHeight="1">
      <c r="B49" s="403"/>
      <c r="C49" s="699" t="s">
        <v>12</v>
      </c>
      <c r="D49" s="699"/>
      <c r="E49" s="779">
        <f>SUM(E43:E48)</f>
        <v>0</v>
      </c>
      <c r="F49" s="779"/>
      <c r="G49" s="779">
        <f>SUM(G43:G48)</f>
        <v>0</v>
      </c>
      <c r="H49" s="779"/>
      <c r="I49" s="779">
        <f>SUM(I43:I48)</f>
        <v>0</v>
      </c>
      <c r="J49" s="779"/>
      <c r="K49" s="779">
        <f>SUM(K43:K48)</f>
        <v>0</v>
      </c>
      <c r="L49" s="779"/>
      <c r="M49" s="779">
        <f>SUM(M43:M48)</f>
        <v>0</v>
      </c>
      <c r="N49" s="779"/>
      <c r="O49" s="410"/>
    </row>
    <row r="50" spans="2:38" ht="15" customHeight="1">
      <c r="B50" s="407"/>
      <c r="C50" s="3"/>
      <c r="D50" s="3"/>
      <c r="E50" s="3"/>
      <c r="F50" s="3"/>
      <c r="G50" s="3"/>
      <c r="H50" s="3"/>
      <c r="I50" s="3"/>
      <c r="J50" s="3"/>
      <c r="K50" s="3"/>
      <c r="L50" s="3"/>
      <c r="M50" s="3"/>
      <c r="N50" s="3"/>
      <c r="O50" s="413"/>
    </row>
    <row r="51" spans="2:38" ht="15" customHeight="1">
      <c r="B51" s="407"/>
      <c r="C51" s="3"/>
      <c r="D51" s="3"/>
      <c r="E51" s="3"/>
      <c r="F51" s="3"/>
      <c r="G51" s="3"/>
      <c r="H51" s="3"/>
      <c r="I51" s="3"/>
      <c r="J51" s="3"/>
      <c r="K51" s="3"/>
      <c r="L51" s="3"/>
      <c r="M51" s="3"/>
      <c r="N51" s="3"/>
      <c r="O51" s="413"/>
    </row>
    <row r="52" spans="2:38" ht="15" customHeight="1" thickBot="1">
      <c r="B52" s="407"/>
      <c r="C52" s="3"/>
      <c r="D52" s="3"/>
      <c r="E52" s="3"/>
      <c r="F52" s="3"/>
      <c r="G52" s="3"/>
      <c r="H52" s="3"/>
      <c r="I52" s="3"/>
      <c r="J52" s="3"/>
      <c r="K52" s="3"/>
      <c r="L52" s="3"/>
      <c r="M52" s="3"/>
      <c r="N52" s="3"/>
      <c r="O52" s="413"/>
    </row>
    <row r="53" spans="2:38" s="56" customFormat="1" ht="25.5" customHeight="1" thickBot="1">
      <c r="B53" s="765" t="s">
        <v>49</v>
      </c>
      <c r="C53" s="766"/>
      <c r="D53" s="766"/>
      <c r="E53" s="766"/>
      <c r="F53" s="766"/>
      <c r="G53" s="766"/>
      <c r="H53" s="766"/>
      <c r="I53" s="766"/>
      <c r="J53" s="766"/>
      <c r="K53" s="766"/>
      <c r="L53" s="766"/>
      <c r="M53" s="766"/>
      <c r="N53" s="766"/>
      <c r="O53" s="767"/>
    </row>
    <row r="54" spans="2:38">
      <c r="B54" s="407"/>
      <c r="C54" s="3"/>
      <c r="D54" s="3"/>
      <c r="E54" s="3"/>
      <c r="F54" s="3"/>
      <c r="G54" s="3"/>
      <c r="H54" s="3"/>
      <c r="I54" s="3"/>
      <c r="J54" s="3"/>
      <c r="K54" s="3"/>
      <c r="L54" s="3"/>
      <c r="M54" s="3"/>
      <c r="N54" s="3"/>
      <c r="O54" s="418"/>
    </row>
    <row r="55" spans="2:38">
      <c r="B55" s="407"/>
      <c r="C55" s="3"/>
      <c r="D55" s="3"/>
      <c r="E55" s="3"/>
      <c r="F55" s="3"/>
      <c r="G55" s="3"/>
      <c r="H55" s="414"/>
      <c r="I55" s="414"/>
      <c r="J55" s="3"/>
      <c r="K55" s="3"/>
      <c r="L55" s="3"/>
      <c r="M55" s="3"/>
      <c r="N55" s="3"/>
      <c r="O55" s="413"/>
    </row>
    <row r="56" spans="2:38" s="1" customFormat="1" ht="25.5" customHeight="1">
      <c r="B56" s="403"/>
      <c r="C56" s="699" t="s">
        <v>2637</v>
      </c>
      <c r="D56" s="699"/>
      <c r="E56" s="626" t="s">
        <v>78</v>
      </c>
      <c r="F56" s="626"/>
      <c r="G56" s="626" t="s">
        <v>79</v>
      </c>
      <c r="H56" s="626"/>
      <c r="I56" s="626" t="s">
        <v>60</v>
      </c>
      <c r="J56" s="626"/>
      <c r="K56" s="626" t="s">
        <v>61</v>
      </c>
      <c r="L56" s="626"/>
      <c r="M56" s="626" t="s">
        <v>62</v>
      </c>
      <c r="N56" s="626"/>
      <c r="O56" s="410"/>
      <c r="P56" s="4"/>
      <c r="Q56" s="4"/>
      <c r="R56" s="4"/>
      <c r="S56" s="4"/>
      <c r="T56" s="4"/>
      <c r="U56" s="4"/>
      <c r="V56" s="4"/>
      <c r="W56" s="4"/>
      <c r="X56" s="4"/>
      <c r="Y56" s="4"/>
      <c r="Z56" s="4"/>
      <c r="AA56" s="4"/>
      <c r="AB56" s="4"/>
      <c r="AC56" s="4"/>
      <c r="AD56" s="4"/>
      <c r="AE56" s="4"/>
      <c r="AF56" s="4"/>
      <c r="AG56" s="4"/>
      <c r="AH56" s="4"/>
      <c r="AI56" s="4"/>
      <c r="AJ56" s="4"/>
      <c r="AK56" s="4"/>
      <c r="AL56" s="4"/>
    </row>
    <row r="57" spans="2:38" s="1" customFormat="1" ht="18" customHeight="1">
      <c r="B57" s="403"/>
      <c r="C57" s="780" t="s">
        <v>2698</v>
      </c>
      <c r="D57" s="780"/>
      <c r="E57" s="777">
        <f>'4-Pto de Costos y Gastos'!D69</f>
        <v>10344000</v>
      </c>
      <c r="F57" s="777"/>
      <c r="G57" s="777">
        <f>+E57*'4-Pto de Costos y Gastos'!G73</f>
        <v>10654320</v>
      </c>
      <c r="H57" s="777"/>
      <c r="I57" s="778">
        <f>+G57*'4-Pto de Costos y Gastos'!G74</f>
        <v>10973949.6</v>
      </c>
      <c r="J57" s="778"/>
      <c r="K57" s="778">
        <f>+I57*'4-Pto de Costos y Gastos'!G75</f>
        <v>11303168.088</v>
      </c>
      <c r="L57" s="778"/>
      <c r="M57" s="778">
        <f>+K57*'4-Pto de Costos y Gastos'!G76</f>
        <v>11642263.13064</v>
      </c>
      <c r="N57" s="778"/>
      <c r="O57" s="410"/>
      <c r="P57" s="4"/>
      <c r="Q57" s="4"/>
      <c r="R57" s="4"/>
      <c r="S57" s="4"/>
      <c r="T57" s="4"/>
      <c r="U57" s="4"/>
      <c r="V57" s="4"/>
      <c r="W57" s="4"/>
      <c r="X57" s="4"/>
      <c r="Y57" s="4"/>
      <c r="Z57" s="4"/>
      <c r="AA57" s="4"/>
      <c r="AB57" s="4"/>
      <c r="AC57" s="4"/>
      <c r="AD57" s="4"/>
      <c r="AE57" s="4"/>
      <c r="AF57" s="4"/>
      <c r="AG57" s="4"/>
      <c r="AH57" s="4"/>
      <c r="AI57" s="4"/>
      <c r="AJ57" s="4"/>
      <c r="AK57" s="4"/>
      <c r="AL57" s="4"/>
    </row>
    <row r="58" spans="2:38" s="1" customFormat="1" ht="18" customHeight="1">
      <c r="B58" s="403"/>
      <c r="C58" s="775" t="s">
        <v>72</v>
      </c>
      <c r="D58" s="775"/>
      <c r="E58" s="777">
        <f>'4-Pto de Costos y Gastos'!F69</f>
        <v>0</v>
      </c>
      <c r="F58" s="777"/>
      <c r="G58" s="777">
        <f>+E58*'4-Pto de Costos y Gastos'!G73</f>
        <v>0</v>
      </c>
      <c r="H58" s="777"/>
      <c r="I58" s="778">
        <f>+G58*'4-Pto de Costos y Gastos'!G74</f>
        <v>0</v>
      </c>
      <c r="J58" s="778"/>
      <c r="K58" s="778">
        <f>+I58*'4-Pto de Costos y Gastos'!G75</f>
        <v>0</v>
      </c>
      <c r="L58" s="778"/>
      <c r="M58" s="778">
        <f>+K58*'4-Pto de Costos y Gastos'!G76</f>
        <v>0</v>
      </c>
      <c r="N58" s="778"/>
      <c r="O58" s="410"/>
      <c r="P58" s="4"/>
      <c r="Q58" s="4"/>
      <c r="R58" s="4"/>
      <c r="S58" s="4"/>
      <c r="T58" s="4"/>
      <c r="U58" s="4"/>
      <c r="V58" s="4"/>
      <c r="W58" s="4"/>
      <c r="X58" s="4"/>
      <c r="Y58" s="4"/>
      <c r="Z58" s="4"/>
      <c r="AA58" s="4"/>
      <c r="AB58" s="4"/>
      <c r="AC58" s="4"/>
      <c r="AD58" s="4"/>
      <c r="AE58" s="4"/>
      <c r="AF58" s="4"/>
      <c r="AG58" s="4"/>
      <c r="AH58" s="4"/>
      <c r="AI58" s="4"/>
      <c r="AJ58" s="4"/>
      <c r="AK58" s="4"/>
      <c r="AL58" s="4"/>
    </row>
    <row r="59" spans="2:38" s="1" customFormat="1" ht="18" customHeight="1">
      <c r="B59" s="403"/>
      <c r="C59" s="775" t="s">
        <v>73</v>
      </c>
      <c r="D59" s="775"/>
      <c r="E59" s="777">
        <f>'4-Pto de Costos y Gastos'!J69</f>
        <v>0</v>
      </c>
      <c r="F59" s="777"/>
      <c r="G59" s="777">
        <f>+E59*'4-Pto de Costos y Gastos'!G73</f>
        <v>0</v>
      </c>
      <c r="H59" s="777"/>
      <c r="I59" s="778">
        <f>+G59*'4-Pto de Costos y Gastos'!G74</f>
        <v>0</v>
      </c>
      <c r="J59" s="778"/>
      <c r="K59" s="778">
        <f>+I59*'4-Pto de Costos y Gastos'!G75</f>
        <v>0</v>
      </c>
      <c r="L59" s="778"/>
      <c r="M59" s="778">
        <f>+K59*'4-Pto de Costos y Gastos'!G76</f>
        <v>0</v>
      </c>
      <c r="N59" s="778"/>
      <c r="O59" s="410"/>
      <c r="P59" s="4"/>
      <c r="Q59" s="4"/>
      <c r="R59" s="4"/>
      <c r="S59" s="4"/>
      <c r="T59" s="4"/>
      <c r="U59" s="4"/>
      <c r="V59" s="4"/>
      <c r="W59" s="4"/>
      <c r="X59" s="4"/>
      <c r="Y59" s="4"/>
      <c r="Z59" s="4"/>
      <c r="AA59" s="4"/>
      <c r="AB59" s="4"/>
      <c r="AC59" s="4"/>
      <c r="AD59" s="4"/>
      <c r="AE59" s="4"/>
      <c r="AF59" s="4"/>
      <c r="AG59" s="4"/>
      <c r="AH59" s="4"/>
      <c r="AI59" s="4"/>
      <c r="AJ59" s="4"/>
      <c r="AK59" s="4"/>
      <c r="AL59" s="4"/>
    </row>
    <row r="60" spans="2:38" s="1" customFormat="1" ht="25.5" customHeight="1">
      <c r="B60" s="403"/>
      <c r="C60" s="699" t="s">
        <v>12</v>
      </c>
      <c r="D60" s="699"/>
      <c r="E60" s="779">
        <f>SUM(E57:E59)</f>
        <v>10344000</v>
      </c>
      <c r="F60" s="779"/>
      <c r="G60" s="779">
        <f>SUM(G57:G59)</f>
        <v>10654320</v>
      </c>
      <c r="H60" s="779"/>
      <c r="I60" s="779">
        <f>SUM(I57:I59)</f>
        <v>10973949.6</v>
      </c>
      <c r="J60" s="779"/>
      <c r="K60" s="779">
        <f>SUM(K57:K59)</f>
        <v>11303168.088</v>
      </c>
      <c r="L60" s="779"/>
      <c r="M60" s="779">
        <f>SUM(M57:M59)</f>
        <v>11642263.13064</v>
      </c>
      <c r="N60" s="779"/>
      <c r="O60" s="410"/>
      <c r="P60" s="4"/>
      <c r="Q60" s="4"/>
      <c r="R60" s="4"/>
      <c r="S60" s="4"/>
      <c r="T60" s="4"/>
      <c r="U60" s="4"/>
      <c r="V60" s="4"/>
      <c r="W60" s="4"/>
      <c r="X60" s="4"/>
      <c r="Y60" s="4"/>
      <c r="Z60" s="4"/>
      <c r="AA60" s="4"/>
      <c r="AB60" s="4"/>
      <c r="AC60" s="4"/>
      <c r="AD60" s="4"/>
      <c r="AE60" s="4"/>
      <c r="AF60" s="4"/>
      <c r="AG60" s="4"/>
      <c r="AH60" s="4"/>
      <c r="AI60" s="4"/>
      <c r="AJ60" s="4"/>
      <c r="AK60" s="4"/>
      <c r="AL60" s="4"/>
    </row>
    <row r="61" spans="2:38" ht="15" customHeight="1">
      <c r="B61" s="407"/>
      <c r="C61" s="3"/>
      <c r="D61" s="3"/>
      <c r="E61" s="3"/>
      <c r="F61" s="3"/>
      <c r="G61" s="3"/>
      <c r="H61" s="3"/>
      <c r="I61" s="3"/>
      <c r="J61" s="3"/>
      <c r="K61" s="3"/>
      <c r="L61" s="3"/>
      <c r="M61" s="3"/>
      <c r="N61" s="3"/>
      <c r="O61" s="413"/>
    </row>
    <row r="62" spans="2:38" ht="15" customHeight="1">
      <c r="B62" s="407"/>
      <c r="C62" s="3"/>
      <c r="D62" s="3"/>
      <c r="E62" s="3"/>
      <c r="F62" s="3"/>
      <c r="G62" s="3"/>
      <c r="H62" s="3"/>
      <c r="I62" s="3"/>
      <c r="J62" s="3"/>
      <c r="K62" s="3"/>
      <c r="L62" s="3"/>
      <c r="M62" s="3"/>
      <c r="N62" s="3"/>
      <c r="O62" s="413"/>
    </row>
    <row r="63" spans="2:38" s="63" customFormat="1" ht="15" customHeight="1" thickBot="1">
      <c r="B63" s="376"/>
      <c r="C63" s="241"/>
      <c r="D63" s="241"/>
      <c r="E63" s="241"/>
      <c r="F63" s="241"/>
      <c r="G63" s="241"/>
      <c r="H63" s="241"/>
      <c r="I63" s="241"/>
      <c r="J63" s="241"/>
      <c r="K63" s="241"/>
      <c r="L63" s="241"/>
      <c r="M63" s="241"/>
      <c r="N63" s="241"/>
      <c r="O63" s="380"/>
    </row>
    <row r="64" spans="2:38" s="56" customFormat="1" ht="14.25" thickTop="1" thickBot="1">
      <c r="B64" s="269"/>
      <c r="C64" s="270"/>
      <c r="D64" s="270"/>
      <c r="E64" s="270"/>
      <c r="F64" s="270"/>
      <c r="G64" s="270"/>
      <c r="H64" s="270"/>
      <c r="I64" s="270"/>
      <c r="J64" s="270"/>
      <c r="K64" s="270"/>
      <c r="L64" s="270"/>
      <c r="M64" s="270"/>
      <c r="N64" s="270"/>
      <c r="O64" s="271"/>
      <c r="P64" s="201"/>
      <c r="Q64" s="65"/>
      <c r="R64" s="65"/>
    </row>
    <row r="65" spans="2:32" ht="13.5" thickTop="1"/>
    <row r="66" spans="2:32" s="1" customFormat="1" ht="16.5" hidden="1" customHeight="1">
      <c r="B66" s="50"/>
      <c r="C66" s="51"/>
      <c r="D66" s="51"/>
      <c r="E66" s="51"/>
      <c r="F66" s="51"/>
      <c r="G66" s="51"/>
      <c r="H66" s="4"/>
      <c r="I66" s="4"/>
      <c r="J66" s="4"/>
      <c r="K66" s="4"/>
      <c r="L66" s="4"/>
      <c r="M66" s="4"/>
      <c r="N66" s="4"/>
      <c r="O66" s="4"/>
      <c r="P66" s="4"/>
      <c r="Q66" s="4"/>
      <c r="R66" s="4"/>
      <c r="S66" s="4"/>
      <c r="T66" s="4"/>
      <c r="U66" s="4"/>
      <c r="V66" s="4"/>
      <c r="W66" s="4"/>
      <c r="X66" s="4"/>
      <c r="Y66" s="4"/>
      <c r="Z66" s="4"/>
      <c r="AA66" s="4"/>
      <c r="AB66" s="4"/>
      <c r="AC66" s="4"/>
      <c r="AD66" s="4"/>
      <c r="AE66" s="4"/>
      <c r="AF66" s="4"/>
    </row>
    <row r="67" spans="2:32" s="1" customFormat="1" ht="16.5" hidden="1" customHeight="1">
      <c r="B67" s="50"/>
      <c r="C67" s="51"/>
      <c r="D67" s="51"/>
      <c r="E67" s="51"/>
      <c r="F67" s="51"/>
      <c r="G67" s="51"/>
      <c r="H67" s="4"/>
      <c r="I67" s="4"/>
      <c r="J67" s="4"/>
      <c r="K67" s="4"/>
      <c r="L67" s="4"/>
      <c r="M67" s="4"/>
      <c r="N67" s="4"/>
      <c r="O67" s="4"/>
      <c r="P67" s="4"/>
      <c r="Q67" s="4"/>
      <c r="R67" s="4"/>
      <c r="S67" s="4"/>
      <c r="T67" s="4"/>
      <c r="U67" s="4"/>
      <c r="V67" s="4"/>
      <c r="W67" s="4"/>
      <c r="X67" s="4"/>
      <c r="Y67" s="4"/>
      <c r="Z67" s="4"/>
      <c r="AA67" s="4"/>
      <c r="AB67" s="4"/>
      <c r="AC67" s="4"/>
      <c r="AD67" s="4"/>
      <c r="AE67" s="4"/>
      <c r="AF67" s="4"/>
    </row>
    <row r="68" spans="2:32" s="1" customFormat="1" ht="16.5" hidden="1" customHeight="1">
      <c r="B68" s="50"/>
      <c r="C68" s="51"/>
      <c r="D68" s="51"/>
      <c r="E68" s="51"/>
      <c r="F68" s="51"/>
      <c r="G68" s="51"/>
      <c r="H68" s="4"/>
      <c r="I68" s="4"/>
      <c r="J68" s="4"/>
      <c r="K68" s="4"/>
      <c r="L68" s="4"/>
      <c r="M68" s="4"/>
      <c r="N68" s="4"/>
      <c r="O68" s="4"/>
      <c r="P68" s="4"/>
      <c r="Q68" s="4"/>
      <c r="R68" s="4"/>
      <c r="S68" s="4"/>
      <c r="T68" s="4"/>
      <c r="U68" s="4"/>
      <c r="V68" s="4"/>
      <c r="W68" s="4"/>
      <c r="X68" s="4"/>
      <c r="Y68" s="4"/>
      <c r="Z68" s="4"/>
      <c r="AA68" s="4"/>
      <c r="AB68" s="4"/>
      <c r="AC68" s="4"/>
      <c r="AD68" s="4"/>
      <c r="AE68" s="4"/>
      <c r="AF68" s="4"/>
    </row>
    <row r="69" spans="2:32" s="1" customFormat="1" ht="16.5" hidden="1" customHeight="1">
      <c r="B69" s="50"/>
      <c r="C69" s="51"/>
      <c r="D69" s="51"/>
      <c r="E69" s="51"/>
      <c r="F69" s="51"/>
      <c r="G69" s="51"/>
      <c r="H69" s="4"/>
      <c r="I69" s="4"/>
      <c r="J69" s="4"/>
      <c r="K69" s="4"/>
      <c r="L69" s="4"/>
      <c r="M69" s="4"/>
      <c r="N69" s="4"/>
      <c r="O69" s="4"/>
      <c r="P69" s="4"/>
      <c r="Q69" s="4"/>
      <c r="R69" s="4"/>
      <c r="S69" s="4"/>
      <c r="T69" s="4"/>
      <c r="U69" s="4"/>
      <c r="V69" s="4"/>
      <c r="W69" s="4"/>
      <c r="X69" s="4"/>
      <c r="Y69" s="4"/>
      <c r="Z69" s="4"/>
      <c r="AA69" s="4"/>
      <c r="AB69" s="4"/>
      <c r="AC69" s="4"/>
      <c r="AD69" s="4"/>
      <c r="AE69" s="4"/>
      <c r="AF69" s="4"/>
    </row>
    <row r="70" spans="2:32" s="1" customFormat="1" ht="16.5" hidden="1" customHeight="1">
      <c r="B70" s="50"/>
      <c r="C70" s="51"/>
      <c r="D70" s="51"/>
      <c r="E70" s="51"/>
      <c r="F70" s="51"/>
      <c r="G70" s="51"/>
      <c r="H70" s="4"/>
      <c r="I70" s="4"/>
      <c r="J70" s="4"/>
      <c r="K70" s="4"/>
      <c r="L70" s="4"/>
      <c r="M70" s="4"/>
      <c r="N70" s="4"/>
      <c r="O70" s="4"/>
      <c r="P70" s="4"/>
      <c r="Q70" s="4"/>
      <c r="R70" s="4"/>
      <c r="S70" s="4"/>
      <c r="T70" s="4"/>
      <c r="U70" s="4"/>
      <c r="V70" s="4"/>
      <c r="W70" s="4"/>
      <c r="X70" s="4"/>
      <c r="Y70" s="4"/>
      <c r="Z70" s="4"/>
      <c r="AA70" s="4"/>
      <c r="AB70" s="4"/>
      <c r="AC70" s="4"/>
      <c r="AD70" s="4"/>
      <c r="AE70" s="4"/>
      <c r="AF70" s="4"/>
    </row>
    <row r="71" spans="2:32" s="1" customFormat="1" ht="16.5" hidden="1" customHeight="1">
      <c r="B71" s="50"/>
      <c r="C71" s="51"/>
      <c r="D71" s="51"/>
      <c r="E71" s="51"/>
      <c r="F71" s="51"/>
      <c r="G71" s="51"/>
      <c r="H71" s="4"/>
      <c r="I71" s="4"/>
      <c r="J71" s="4"/>
      <c r="K71" s="4"/>
      <c r="L71" s="4"/>
      <c r="M71" s="4"/>
      <c r="N71" s="4"/>
      <c r="O71" s="4"/>
      <c r="P71" s="4"/>
      <c r="Q71" s="4"/>
      <c r="R71" s="4"/>
      <c r="S71" s="4"/>
      <c r="T71" s="4"/>
      <c r="U71" s="4"/>
      <c r="V71" s="4"/>
      <c r="W71" s="4"/>
      <c r="X71" s="4"/>
      <c r="Y71" s="4"/>
      <c r="Z71" s="4"/>
      <c r="AA71" s="4"/>
      <c r="AB71" s="4"/>
      <c r="AC71" s="4"/>
      <c r="AD71" s="4"/>
      <c r="AE71" s="4"/>
      <c r="AF71" s="4"/>
    </row>
    <row r="72" spans="2:32" s="1" customFormat="1" ht="16.5" hidden="1" customHeight="1">
      <c r="B72" s="50"/>
      <c r="C72" s="51"/>
      <c r="D72" s="51"/>
      <c r="E72" s="51"/>
      <c r="F72" s="51"/>
      <c r="G72" s="51"/>
      <c r="H72" s="4"/>
      <c r="I72" s="4"/>
      <c r="J72" s="4"/>
      <c r="K72" s="4"/>
      <c r="L72" s="4"/>
      <c r="M72" s="4"/>
      <c r="N72" s="4"/>
      <c r="O72" s="4"/>
      <c r="P72" s="4"/>
      <c r="Q72" s="4"/>
      <c r="R72" s="4"/>
      <c r="S72" s="4"/>
      <c r="T72" s="4"/>
      <c r="U72" s="4"/>
      <c r="V72" s="4"/>
      <c r="W72" s="4"/>
      <c r="X72" s="4"/>
      <c r="Y72" s="4"/>
      <c r="Z72" s="4"/>
      <c r="AA72" s="4"/>
      <c r="AB72" s="4"/>
      <c r="AC72" s="4"/>
      <c r="AD72" s="4"/>
      <c r="AE72" s="4"/>
      <c r="AF72" s="4"/>
    </row>
    <row r="73" spans="2:32" s="1" customFormat="1" ht="16.5" hidden="1" customHeight="1">
      <c r="B73" s="50"/>
      <c r="C73" s="51"/>
      <c r="D73" s="51"/>
      <c r="E73" s="51"/>
      <c r="F73" s="51"/>
      <c r="G73" s="51"/>
      <c r="H73" s="4"/>
      <c r="I73" s="4"/>
      <c r="J73" s="4"/>
      <c r="K73" s="4"/>
      <c r="L73" s="4"/>
      <c r="M73" s="4"/>
      <c r="N73" s="4"/>
      <c r="O73" s="4"/>
      <c r="P73" s="4"/>
      <c r="Q73" s="4"/>
      <c r="R73" s="4"/>
      <c r="S73" s="4"/>
      <c r="T73" s="4"/>
      <c r="U73" s="4"/>
      <c r="V73" s="4"/>
      <c r="W73" s="4"/>
      <c r="X73" s="4"/>
      <c r="Y73" s="4"/>
      <c r="Z73" s="4"/>
      <c r="AA73" s="4"/>
      <c r="AB73" s="4"/>
      <c r="AC73" s="4"/>
      <c r="AD73" s="4"/>
      <c r="AE73" s="4"/>
      <c r="AF73" s="4"/>
    </row>
    <row r="74" spans="2:32" s="1" customFormat="1" ht="16.5" hidden="1" customHeight="1">
      <c r="B74" s="50"/>
      <c r="C74" s="51"/>
      <c r="D74" s="51"/>
      <c r="E74" s="51"/>
      <c r="F74" s="51"/>
      <c r="G74" s="51"/>
      <c r="H74" s="4"/>
      <c r="I74" s="4"/>
      <c r="J74" s="4"/>
      <c r="K74" s="4"/>
      <c r="L74" s="4"/>
      <c r="M74" s="4"/>
      <c r="N74" s="4"/>
      <c r="O74" s="4"/>
      <c r="P74" s="4"/>
      <c r="Q74" s="4"/>
      <c r="R74" s="4"/>
      <c r="S74" s="4"/>
      <c r="T74" s="4"/>
      <c r="U74" s="4"/>
      <c r="V74" s="4"/>
      <c r="W74" s="4"/>
      <c r="X74" s="4"/>
      <c r="Y74" s="4"/>
      <c r="Z74" s="4"/>
      <c r="AA74" s="4"/>
      <c r="AB74" s="4"/>
      <c r="AC74" s="4"/>
      <c r="AD74" s="4"/>
      <c r="AE74" s="4"/>
      <c r="AF74" s="4"/>
    </row>
    <row r="75" spans="2:32" s="1" customFormat="1" ht="16.5" hidden="1" customHeight="1">
      <c r="B75" s="50"/>
      <c r="C75" s="51"/>
      <c r="D75" s="51"/>
      <c r="E75" s="51"/>
      <c r="F75" s="51"/>
      <c r="G75" s="51"/>
      <c r="H75" s="4"/>
      <c r="I75" s="4"/>
      <c r="J75" s="4"/>
      <c r="K75" s="4"/>
      <c r="L75" s="4"/>
      <c r="M75" s="4"/>
      <c r="N75" s="4"/>
      <c r="O75" s="4"/>
      <c r="P75" s="4"/>
      <c r="Q75" s="4"/>
      <c r="R75" s="4"/>
      <c r="S75" s="4"/>
      <c r="T75" s="4"/>
      <c r="U75" s="4"/>
      <c r="V75" s="4"/>
      <c r="W75" s="4"/>
      <c r="X75" s="4"/>
      <c r="Y75" s="4"/>
      <c r="Z75" s="4"/>
      <c r="AA75" s="4"/>
      <c r="AB75" s="4"/>
      <c r="AC75" s="4"/>
      <c r="AD75" s="4"/>
      <c r="AE75" s="4"/>
      <c r="AF75" s="4"/>
    </row>
    <row r="76" spans="2:32" s="1" customFormat="1" ht="16.5" hidden="1" customHeight="1">
      <c r="B76" s="50"/>
      <c r="C76" s="51"/>
      <c r="D76" s="51"/>
      <c r="E76" s="51"/>
      <c r="F76" s="51"/>
      <c r="G76" s="51"/>
      <c r="H76" s="4"/>
      <c r="I76" s="4"/>
      <c r="J76" s="4"/>
      <c r="K76" s="4"/>
      <c r="L76" s="4"/>
      <c r="M76" s="4"/>
      <c r="N76" s="4"/>
      <c r="O76" s="4"/>
      <c r="P76" s="4"/>
      <c r="Q76" s="4"/>
      <c r="R76" s="4"/>
      <c r="S76" s="4"/>
      <c r="T76" s="4"/>
      <c r="U76" s="4"/>
      <c r="V76" s="4"/>
      <c r="W76" s="4"/>
      <c r="X76" s="4"/>
      <c r="Y76" s="4"/>
      <c r="Z76" s="4"/>
      <c r="AA76" s="4"/>
      <c r="AB76" s="4"/>
      <c r="AC76" s="4"/>
      <c r="AD76" s="4"/>
      <c r="AE76" s="4"/>
      <c r="AF76" s="4"/>
    </row>
    <row r="77" spans="2:32" s="1" customFormat="1" ht="16.5" hidden="1" customHeight="1">
      <c r="B77" s="50"/>
      <c r="C77" s="51"/>
      <c r="D77" s="51"/>
      <c r="E77" s="51"/>
      <c r="F77" s="51"/>
      <c r="G77" s="51"/>
      <c r="H77" s="4"/>
      <c r="I77" s="4"/>
      <c r="J77" s="4"/>
      <c r="K77" s="4"/>
      <c r="L77" s="4"/>
      <c r="M77" s="4"/>
      <c r="N77" s="4"/>
      <c r="O77" s="4"/>
      <c r="P77" s="4"/>
      <c r="Q77" s="4"/>
      <c r="R77" s="4"/>
      <c r="S77" s="4"/>
      <c r="T77" s="4"/>
      <c r="U77" s="4"/>
      <c r="V77" s="4"/>
      <c r="W77" s="4"/>
      <c r="X77" s="4"/>
      <c r="Y77" s="4"/>
      <c r="Z77" s="4"/>
      <c r="AA77" s="4"/>
      <c r="AB77" s="4"/>
      <c r="AC77" s="4"/>
      <c r="AD77" s="4"/>
      <c r="AE77" s="4"/>
      <c r="AF77" s="4"/>
    </row>
    <row r="79" spans="2:32" hidden="1">
      <c r="C79" s="30"/>
      <c r="D79" s="30"/>
      <c r="E79" s="30"/>
      <c r="F79" s="30"/>
      <c r="G79" s="30"/>
    </row>
  </sheetData>
  <sheetProtection algorithmName="SHA-512" hashValue="vmNpVNmqstV+L2YHHzo2da5RYBURixMjfmbefZHUdirx7L9KhTJFHLt6ELBBz/8eiLBpfpmHedEqp8HiAjANgA==" saltValue="wuIqy+XXnvyQDBo8j8C21g==" spinCount="100000" sheet="1" objects="1" scenarios="1" selectLockedCells="1"/>
  <mergeCells count="183">
    <mergeCell ref="I59:J59"/>
    <mergeCell ref="I60:J60"/>
    <mergeCell ref="C59:D59"/>
    <mergeCell ref="C60:D60"/>
    <mergeCell ref="E56:F56"/>
    <mergeCell ref="E57:F57"/>
    <mergeCell ref="E58:F58"/>
    <mergeCell ref="E59:F59"/>
    <mergeCell ref="E60:F60"/>
    <mergeCell ref="K59:L59"/>
    <mergeCell ref="K60:L60"/>
    <mergeCell ref="M56:N56"/>
    <mergeCell ref="M57:N57"/>
    <mergeCell ref="M58:N58"/>
    <mergeCell ref="M59:N59"/>
    <mergeCell ref="M60:N60"/>
    <mergeCell ref="K48:L48"/>
    <mergeCell ref="K49:L49"/>
    <mergeCell ref="B53:O53"/>
    <mergeCell ref="C56:D56"/>
    <mergeCell ref="C57:D57"/>
    <mergeCell ref="C58:D58"/>
    <mergeCell ref="G56:H56"/>
    <mergeCell ref="G57:H57"/>
    <mergeCell ref="G58:H58"/>
    <mergeCell ref="K56:L56"/>
    <mergeCell ref="K57:L57"/>
    <mergeCell ref="K58:L58"/>
    <mergeCell ref="G59:H59"/>
    <mergeCell ref="G60:H60"/>
    <mergeCell ref="I56:J56"/>
    <mergeCell ref="I57:J57"/>
    <mergeCell ref="I58:J58"/>
    <mergeCell ref="M43:N43"/>
    <mergeCell ref="M44:N44"/>
    <mergeCell ref="M45:N45"/>
    <mergeCell ref="M46:N46"/>
    <mergeCell ref="M47:N47"/>
    <mergeCell ref="M48:N48"/>
    <mergeCell ref="M49:N49"/>
    <mergeCell ref="K43:L43"/>
    <mergeCell ref="K44:L44"/>
    <mergeCell ref="K45:L45"/>
    <mergeCell ref="K46:L46"/>
    <mergeCell ref="K47:L47"/>
    <mergeCell ref="G48:H48"/>
    <mergeCell ref="G49:H49"/>
    <mergeCell ref="I43:J43"/>
    <mergeCell ref="I44:J44"/>
    <mergeCell ref="I45:J45"/>
    <mergeCell ref="I46:J46"/>
    <mergeCell ref="I47:J47"/>
    <mergeCell ref="I48:J48"/>
    <mergeCell ref="I49:J49"/>
    <mergeCell ref="G43:H43"/>
    <mergeCell ref="G44:H44"/>
    <mergeCell ref="G45:H45"/>
    <mergeCell ref="G46:H46"/>
    <mergeCell ref="G47:H47"/>
    <mergeCell ref="C48:D48"/>
    <mergeCell ref="C49:D49"/>
    <mergeCell ref="E43:F43"/>
    <mergeCell ref="E44:F44"/>
    <mergeCell ref="E45:F45"/>
    <mergeCell ref="E46:F46"/>
    <mergeCell ref="E47:F47"/>
    <mergeCell ref="E48:F48"/>
    <mergeCell ref="E49:F49"/>
    <mergeCell ref="C43:D43"/>
    <mergeCell ref="C44:D44"/>
    <mergeCell ref="C45:D45"/>
    <mergeCell ref="C46:D46"/>
    <mergeCell ref="C47:D47"/>
    <mergeCell ref="C41:N41"/>
    <mergeCell ref="C42:D42"/>
    <mergeCell ref="E42:F42"/>
    <mergeCell ref="G42:H42"/>
    <mergeCell ref="I42:J42"/>
    <mergeCell ref="K42:L42"/>
    <mergeCell ref="M42:N42"/>
    <mergeCell ref="K38:L38"/>
    <mergeCell ref="K39:L39"/>
    <mergeCell ref="G38:H38"/>
    <mergeCell ref="G39:H39"/>
    <mergeCell ref="C38:D38"/>
    <mergeCell ref="C39:D39"/>
    <mergeCell ref="M33:N33"/>
    <mergeCell ref="M34:N34"/>
    <mergeCell ref="M35:N35"/>
    <mergeCell ref="M36:N36"/>
    <mergeCell ref="M37:N37"/>
    <mergeCell ref="M38:N38"/>
    <mergeCell ref="M39:N39"/>
    <mergeCell ref="K33:L33"/>
    <mergeCell ref="K34:L34"/>
    <mergeCell ref="K35:L35"/>
    <mergeCell ref="K36:L36"/>
    <mergeCell ref="K37:L37"/>
    <mergeCell ref="I33:J33"/>
    <mergeCell ref="I34:J34"/>
    <mergeCell ref="I35:J35"/>
    <mergeCell ref="I36:J36"/>
    <mergeCell ref="I37:J37"/>
    <mergeCell ref="I38:J38"/>
    <mergeCell ref="I39:J39"/>
    <mergeCell ref="G33:H33"/>
    <mergeCell ref="G34:H34"/>
    <mergeCell ref="G35:H35"/>
    <mergeCell ref="G36:H36"/>
    <mergeCell ref="G37:H37"/>
    <mergeCell ref="E33:F33"/>
    <mergeCell ref="E34:F34"/>
    <mergeCell ref="E35:F35"/>
    <mergeCell ref="E36:F36"/>
    <mergeCell ref="E37:F37"/>
    <mergeCell ref="E38:F38"/>
    <mergeCell ref="E39:F39"/>
    <mergeCell ref="C33:D33"/>
    <mergeCell ref="C34:D34"/>
    <mergeCell ref="C35:D35"/>
    <mergeCell ref="C36:D36"/>
    <mergeCell ref="C37:D37"/>
    <mergeCell ref="M28:N28"/>
    <mergeCell ref="M29:N29"/>
    <mergeCell ref="C31:N31"/>
    <mergeCell ref="C32:D32"/>
    <mergeCell ref="E32:F32"/>
    <mergeCell ref="G32:H32"/>
    <mergeCell ref="I32:J32"/>
    <mergeCell ref="K32:L32"/>
    <mergeCell ref="M32:N32"/>
    <mergeCell ref="E28:F28"/>
    <mergeCell ref="E29:F29"/>
    <mergeCell ref="G28:H28"/>
    <mergeCell ref="G29:H29"/>
    <mergeCell ref="I28:J28"/>
    <mergeCell ref="I29:J29"/>
    <mergeCell ref="K28:L28"/>
    <mergeCell ref="K29:L29"/>
    <mergeCell ref="E23:F23"/>
    <mergeCell ref="E24:F24"/>
    <mergeCell ref="E25:F25"/>
    <mergeCell ref="E26:F26"/>
    <mergeCell ref="E27:F27"/>
    <mergeCell ref="M23:N23"/>
    <mergeCell ref="M24:N24"/>
    <mergeCell ref="M25:N25"/>
    <mergeCell ref="M26:N26"/>
    <mergeCell ref="M27:N27"/>
    <mergeCell ref="K23:L23"/>
    <mergeCell ref="K24:L24"/>
    <mergeCell ref="K25:L25"/>
    <mergeCell ref="K26:L26"/>
    <mergeCell ref="K27:L27"/>
    <mergeCell ref="I23:J23"/>
    <mergeCell ref="I24:J24"/>
    <mergeCell ref="I25:J25"/>
    <mergeCell ref="I26:J26"/>
    <mergeCell ref="I27:J27"/>
    <mergeCell ref="C25:D25"/>
    <mergeCell ref="C26:D26"/>
    <mergeCell ref="C27:D27"/>
    <mergeCell ref="C28:D28"/>
    <mergeCell ref="C29:D29"/>
    <mergeCell ref="B3:O3"/>
    <mergeCell ref="I5:L5"/>
    <mergeCell ref="I7:L7"/>
    <mergeCell ref="B10:O10"/>
    <mergeCell ref="B18:O18"/>
    <mergeCell ref="C21:N21"/>
    <mergeCell ref="C22:D22"/>
    <mergeCell ref="E22:F22"/>
    <mergeCell ref="G22:H22"/>
    <mergeCell ref="I22:J22"/>
    <mergeCell ref="K22:L22"/>
    <mergeCell ref="M22:N22"/>
    <mergeCell ref="C23:D23"/>
    <mergeCell ref="C24:D24"/>
    <mergeCell ref="G23:H23"/>
    <mergeCell ref="G24:H24"/>
    <mergeCell ref="G25:H25"/>
    <mergeCell ref="G26:H26"/>
    <mergeCell ref="G27:H27"/>
  </mergeCells>
  <phoneticPr fontId="9" type="noConversion"/>
  <pageMargins left="0.38" right="0.75" top="0.49" bottom="1" header="0" footer="0"/>
  <pageSetup scale="79" orientation="landscape" verticalDpi="300" r:id="rId1"/>
  <headerFooter alignWithMargins="0"/>
  <rowBreaks count="1" manualBreakCount="1">
    <brk id="52" max="11" man="1"/>
  </rowBreaks>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7">
    <pageSetUpPr autoPageBreaks="0"/>
  </sheetPr>
  <dimension ref="A1:P138"/>
  <sheetViews>
    <sheetView showGridLines="0" showRowColHeaders="0" showZeros="0" zoomScaleNormal="100" workbookViewId="0"/>
  </sheetViews>
  <sheetFormatPr baseColWidth="10" defaultColWidth="0" defaultRowHeight="12.75" zeroHeight="1"/>
  <cols>
    <col min="1" max="1" width="2.28515625" customWidth="1"/>
    <col min="2" max="14" width="11.42578125" customWidth="1"/>
    <col min="15" max="16" width="0" hidden="1" customWidth="1"/>
    <col min="17" max="16384" width="11.42578125" hidden="1"/>
  </cols>
  <sheetData>
    <row r="1" spans="1:15" s="63" customFormat="1" ht="13.5" thickBot="1">
      <c r="A1" s="246"/>
      <c r="B1" s="56"/>
      <c r="C1" s="56"/>
      <c r="D1" s="56"/>
      <c r="E1" s="56"/>
      <c r="F1" s="56"/>
      <c r="H1" s="56"/>
      <c r="I1" s="56"/>
      <c r="J1" s="56"/>
      <c r="K1" s="56"/>
      <c r="L1" s="56"/>
    </row>
    <row r="2" spans="1:15" s="63" customFormat="1" ht="7.5" customHeight="1" thickTop="1">
      <c r="A2" s="56"/>
      <c r="B2" s="37"/>
      <c r="C2" s="38"/>
      <c r="D2" s="233"/>
      <c r="E2" s="233"/>
      <c r="F2" s="233"/>
      <c r="G2" s="233"/>
      <c r="H2" s="233"/>
      <c r="I2" s="233"/>
      <c r="J2" s="233"/>
      <c r="K2" s="233"/>
      <c r="L2" s="233"/>
      <c r="M2" s="234"/>
      <c r="N2" s="56"/>
      <c r="O2" s="64"/>
    </row>
    <row r="3" spans="1:15" s="63" customFormat="1" ht="20.25">
      <c r="A3" s="56"/>
      <c r="B3" s="618" t="s">
        <v>2712</v>
      </c>
      <c r="C3" s="619"/>
      <c r="D3" s="619"/>
      <c r="E3" s="619"/>
      <c r="F3" s="619"/>
      <c r="G3" s="619"/>
      <c r="H3" s="619"/>
      <c r="I3" s="619"/>
      <c r="J3" s="619"/>
      <c r="K3" s="619"/>
      <c r="L3" s="619"/>
      <c r="M3" s="620"/>
      <c r="N3" s="56"/>
      <c r="O3" s="64"/>
    </row>
    <row r="4" spans="1:15" s="63" customFormat="1" ht="13.5" thickBot="1">
      <c r="A4" s="56"/>
      <c r="B4" s="201"/>
      <c r="C4" s="65"/>
      <c r="D4" s="65"/>
      <c r="E4" s="65"/>
      <c r="F4" s="65"/>
      <c r="G4" s="65"/>
      <c r="H4" s="65"/>
      <c r="I4" s="65"/>
      <c r="J4" s="65"/>
      <c r="K4" s="65"/>
      <c r="L4" s="65"/>
      <c r="M4" s="274"/>
      <c r="N4" s="56"/>
      <c r="O4" s="64"/>
    </row>
    <row r="5" spans="1:15" s="63" customFormat="1" ht="14.25" thickTop="1" thickBot="1">
      <c r="B5" s="210"/>
      <c r="D5" s="393" t="s">
        <v>2579</v>
      </c>
      <c r="E5" s="393"/>
      <c r="F5" s="393"/>
      <c r="G5" s="280"/>
      <c r="H5" s="621" t="str">
        <f>+'1-Datos Generales'!$H$5</f>
        <v>SEGI</v>
      </c>
      <c r="I5" s="622"/>
      <c r="J5" s="622"/>
      <c r="K5" s="623"/>
      <c r="L5" s="388"/>
      <c r="M5" s="202"/>
      <c r="O5" s="64"/>
    </row>
    <row r="6" spans="1:15" s="56" customFormat="1" ht="4.5" customHeight="1" thickTop="1" thickBot="1">
      <c r="B6" s="201" t="s">
        <v>212</v>
      </c>
      <c r="D6" s="65"/>
      <c r="E6" s="65" t="s">
        <v>7</v>
      </c>
      <c r="F6" s="196"/>
      <c r="G6" s="196"/>
      <c r="H6" s="196"/>
      <c r="I6" s="65"/>
      <c r="J6" s="65"/>
      <c r="K6" s="65"/>
      <c r="L6" s="65"/>
      <c r="M6" s="202"/>
      <c r="N6" s="65"/>
      <c r="O6" s="65"/>
    </row>
    <row r="7" spans="1:15" s="63" customFormat="1" ht="14.25" thickTop="1" thickBot="1">
      <c r="B7" s="210"/>
      <c r="D7" s="393" t="s">
        <v>2576</v>
      </c>
      <c r="E7" s="393"/>
      <c r="F7" s="393"/>
      <c r="G7" s="280"/>
      <c r="H7" s="621">
        <f>+'1-Datos Generales'!$D$11</f>
        <v>0</v>
      </c>
      <c r="I7" s="622"/>
      <c r="J7" s="622"/>
      <c r="K7" s="623"/>
      <c r="L7" s="388"/>
      <c r="M7" s="202"/>
      <c r="O7" s="64"/>
    </row>
    <row r="8" spans="1:15" s="2" customFormat="1" ht="13.5" thickTop="1">
      <c r="B8" s="391"/>
      <c r="C8" s="47"/>
      <c r="D8" s="47"/>
      <c r="E8" s="47"/>
      <c r="F8" s="47"/>
      <c r="G8" s="47"/>
      <c r="H8" s="47"/>
      <c r="I8" s="47"/>
      <c r="J8" s="78"/>
      <c r="K8" s="78"/>
      <c r="L8" s="78"/>
      <c r="M8" s="392"/>
      <c r="N8" s="76"/>
    </row>
    <row r="9" spans="1:15" s="56" customFormat="1" ht="4.5" customHeight="1" thickBot="1">
      <c r="B9" s="201" t="s">
        <v>212</v>
      </c>
      <c r="C9" s="65"/>
      <c r="D9" s="65" t="s">
        <v>7</v>
      </c>
      <c r="E9" s="196"/>
      <c r="F9" s="196"/>
      <c r="G9" s="196"/>
      <c r="H9" s="65"/>
      <c r="I9" s="65"/>
      <c r="J9" s="65"/>
      <c r="K9" s="65"/>
      <c r="L9" s="65"/>
      <c r="M9" s="202"/>
      <c r="N9" s="65"/>
      <c r="O9" s="65"/>
    </row>
    <row r="10" spans="1:15" s="56" customFormat="1" ht="25.5" customHeight="1" thickBot="1">
      <c r="B10" s="765" t="s">
        <v>2591</v>
      </c>
      <c r="C10" s="766"/>
      <c r="D10" s="766"/>
      <c r="E10" s="766"/>
      <c r="F10" s="766"/>
      <c r="G10" s="766"/>
      <c r="H10" s="766"/>
      <c r="I10" s="766"/>
      <c r="J10" s="766"/>
      <c r="K10" s="766"/>
      <c r="L10" s="766"/>
      <c r="M10" s="767"/>
    </row>
    <row r="11" spans="1:15" s="63" customFormat="1" ht="16.5" customHeight="1">
      <c r="B11" s="257"/>
      <c r="C11" s="345"/>
      <c r="D11" s="345"/>
      <c r="E11" s="345"/>
      <c r="F11" s="345"/>
      <c r="G11" s="345"/>
      <c r="H11" s="345"/>
      <c r="I11" s="345"/>
      <c r="J11" s="345"/>
      <c r="K11" s="345"/>
      <c r="L11" s="345"/>
      <c r="M11" s="258"/>
      <c r="O11" s="64"/>
    </row>
    <row r="12" spans="1:15" s="2" customFormat="1" ht="15" customHeight="1">
      <c r="A12" s="47"/>
      <c r="B12" s="402"/>
      <c r="C12" s="49"/>
      <c r="D12" s="49"/>
      <c r="E12" s="49"/>
      <c r="F12" s="49"/>
      <c r="G12" s="49"/>
      <c r="H12" s="49"/>
      <c r="I12" s="49"/>
      <c r="J12" s="77"/>
      <c r="K12" s="77"/>
      <c r="L12" s="77"/>
      <c r="M12" s="408"/>
      <c r="N12" s="76"/>
    </row>
    <row r="13" spans="1:15" s="2" customFormat="1">
      <c r="B13" s="391"/>
      <c r="C13" s="47"/>
      <c r="D13" s="47"/>
      <c r="E13" s="47"/>
      <c r="F13" s="47"/>
      <c r="G13" s="47"/>
      <c r="H13" s="47"/>
      <c r="I13" s="47"/>
      <c r="J13" s="78"/>
      <c r="K13" s="78"/>
      <c r="L13" s="78"/>
      <c r="M13" s="392"/>
      <c r="N13" s="76"/>
    </row>
    <row r="14" spans="1:15" s="2" customFormat="1">
      <c r="B14" s="391"/>
      <c r="C14" s="47"/>
      <c r="D14" s="47"/>
      <c r="E14" s="47"/>
      <c r="F14" s="47"/>
      <c r="G14" s="47"/>
      <c r="H14" s="47"/>
      <c r="I14" s="47"/>
      <c r="J14" s="78"/>
      <c r="K14" s="78"/>
      <c r="L14" s="78"/>
      <c r="M14" s="392"/>
      <c r="N14" s="76"/>
    </row>
    <row r="15" spans="1:15" s="2" customFormat="1">
      <c r="B15" s="391"/>
      <c r="C15" s="47"/>
      <c r="D15" s="47"/>
      <c r="E15" s="47"/>
      <c r="F15" s="47"/>
      <c r="G15" s="47"/>
      <c r="H15" s="47"/>
      <c r="I15" s="47"/>
      <c r="J15" s="78"/>
      <c r="K15" s="78"/>
      <c r="L15" s="78"/>
      <c r="M15" s="392"/>
      <c r="N15" s="76"/>
    </row>
    <row r="16" spans="1:15" s="2" customFormat="1" ht="48" customHeight="1">
      <c r="B16" s="391"/>
      <c r="C16" s="47"/>
      <c r="D16" s="47"/>
      <c r="E16" s="47"/>
      <c r="F16" s="47"/>
      <c r="G16" s="47"/>
      <c r="H16" s="47"/>
      <c r="I16" s="47"/>
      <c r="J16" s="78"/>
      <c r="K16" s="78"/>
      <c r="L16" s="78"/>
      <c r="M16" s="392"/>
      <c r="N16" s="76"/>
    </row>
    <row r="17" spans="1:14" s="2" customFormat="1" ht="21" customHeight="1">
      <c r="B17" s="391"/>
      <c r="C17" s="47"/>
      <c r="D17" s="47"/>
      <c r="E17" s="47"/>
      <c r="F17" s="47"/>
      <c r="G17" s="47"/>
      <c r="H17" s="47"/>
      <c r="I17" s="47"/>
      <c r="J17" s="78"/>
      <c r="K17" s="78"/>
      <c r="L17" s="78"/>
      <c r="M17" s="392"/>
      <c r="N17" s="76"/>
    </row>
    <row r="18" spans="1:14" s="47" customFormat="1" ht="25.5" customHeight="1" thickBot="1">
      <c r="B18" s="391"/>
      <c r="M18" s="409"/>
    </row>
    <row r="19" spans="1:14" s="56" customFormat="1" ht="25.5" customHeight="1" thickBot="1">
      <c r="B19" s="765" t="s">
        <v>50</v>
      </c>
      <c r="C19" s="766"/>
      <c r="D19" s="766"/>
      <c r="E19" s="766"/>
      <c r="F19" s="766"/>
      <c r="G19" s="766"/>
      <c r="H19" s="766"/>
      <c r="I19" s="766"/>
      <c r="J19" s="766"/>
      <c r="K19" s="766"/>
      <c r="L19" s="766"/>
      <c r="M19" s="767"/>
    </row>
    <row r="20" spans="1:14" s="1" customFormat="1">
      <c r="B20" s="416"/>
      <c r="C20" s="4"/>
      <c r="D20" s="4"/>
      <c r="E20" s="4"/>
      <c r="F20" s="4"/>
      <c r="G20" s="4"/>
      <c r="H20" s="4"/>
      <c r="I20" s="64"/>
      <c r="J20" s="4"/>
      <c r="K20" s="4"/>
      <c r="L20" s="4"/>
      <c r="M20" s="417"/>
    </row>
    <row r="21" spans="1:14" s="2" customFormat="1">
      <c r="B21" s="391"/>
      <c r="G21" s="247"/>
      <c r="M21" s="409"/>
    </row>
    <row r="22" spans="1:14" s="10" customFormat="1" ht="25.5" customHeight="1">
      <c r="A22" s="8"/>
      <c r="B22" s="420"/>
      <c r="C22" s="8"/>
      <c r="D22" s="634" t="s">
        <v>2664</v>
      </c>
      <c r="E22" s="634"/>
      <c r="F22" s="634" t="s">
        <v>2713</v>
      </c>
      <c r="G22" s="790"/>
      <c r="H22" s="626" t="s">
        <v>2714</v>
      </c>
      <c r="I22" s="794"/>
      <c r="J22" s="634" t="s">
        <v>12</v>
      </c>
      <c r="K22" s="790"/>
      <c r="M22" s="423"/>
    </row>
    <row r="23" spans="1:14" s="8" customFormat="1" ht="18" customHeight="1">
      <c r="B23" s="420"/>
      <c r="D23" s="775" t="s">
        <v>35</v>
      </c>
      <c r="E23" s="775"/>
      <c r="F23" s="791">
        <f>+'5-Plan de Inversion'!H48</f>
        <v>0</v>
      </c>
      <c r="G23" s="791"/>
      <c r="H23" s="791">
        <f>+'5-Plan de Inversion'!F48</f>
        <v>0</v>
      </c>
      <c r="I23" s="791"/>
      <c r="J23" s="791">
        <f>SUM(F23:H23)</f>
        <v>0</v>
      </c>
      <c r="K23" s="791"/>
      <c r="M23" s="424"/>
    </row>
    <row r="24" spans="1:14" s="8" customFormat="1" ht="18" customHeight="1">
      <c r="B24" s="420"/>
      <c r="D24" s="775" t="s">
        <v>36</v>
      </c>
      <c r="E24" s="775"/>
      <c r="F24" s="791">
        <f>+'5-Plan de Inversion'!H49</f>
        <v>0</v>
      </c>
      <c r="G24" s="791"/>
      <c r="H24" s="791">
        <f>+'5-Plan de Inversion'!F49</f>
        <v>0</v>
      </c>
      <c r="I24" s="791"/>
      <c r="J24" s="791">
        <f>SUM(F24:H24)</f>
        <v>0</v>
      </c>
      <c r="K24" s="791"/>
      <c r="M24" s="424"/>
    </row>
    <row r="25" spans="1:14" s="8" customFormat="1" ht="18" customHeight="1">
      <c r="B25" s="420"/>
      <c r="D25" s="775" t="s">
        <v>37</v>
      </c>
      <c r="E25" s="775"/>
      <c r="F25" s="791">
        <f>+'5-Plan de Inversion'!H50</f>
        <v>0</v>
      </c>
      <c r="G25" s="791"/>
      <c r="H25" s="791">
        <f>+'5-Plan de Inversion'!F50</f>
        <v>0</v>
      </c>
      <c r="I25" s="791"/>
      <c r="J25" s="791">
        <f>SUM(F25:H25)</f>
        <v>0</v>
      </c>
      <c r="K25" s="791"/>
      <c r="M25" s="424"/>
    </row>
    <row r="26" spans="1:14" s="8" customFormat="1" ht="18" customHeight="1">
      <c r="B26" s="420"/>
      <c r="D26" s="775" t="s">
        <v>38</v>
      </c>
      <c r="E26" s="775"/>
      <c r="F26" s="791">
        <f>+'5-Plan de Inversion'!H51</f>
        <v>0</v>
      </c>
      <c r="G26" s="791"/>
      <c r="H26" s="791">
        <f>+'5-Plan de Inversion'!F51</f>
        <v>0</v>
      </c>
      <c r="I26" s="791"/>
      <c r="J26" s="791">
        <f>SUM(F26:H26)</f>
        <v>0</v>
      </c>
      <c r="K26" s="791"/>
      <c r="M26" s="424"/>
    </row>
    <row r="27" spans="1:14" s="10" customFormat="1" ht="25.5" customHeight="1">
      <c r="A27" s="8"/>
      <c r="B27" s="420"/>
      <c r="C27" s="8"/>
      <c r="D27" s="790" t="s">
        <v>39</v>
      </c>
      <c r="E27" s="790"/>
      <c r="F27" s="793">
        <f>SUM(F23:F26)</f>
        <v>0</v>
      </c>
      <c r="G27" s="793"/>
      <c r="H27" s="793">
        <f>SUM(H23:H26)</f>
        <v>0</v>
      </c>
      <c r="I27" s="793"/>
      <c r="J27" s="793">
        <f>SUM(J23:J26)</f>
        <v>0</v>
      </c>
      <c r="K27" s="793"/>
      <c r="M27" s="423"/>
    </row>
    <row r="28" spans="1:14" s="12" customFormat="1" ht="21.75" customHeight="1">
      <c r="B28" s="421"/>
      <c r="D28" s="419"/>
      <c r="E28" s="419"/>
      <c r="F28" s="19"/>
      <c r="G28" s="19"/>
      <c r="H28" s="434"/>
      <c r="I28" s="19"/>
      <c r="J28" s="19"/>
      <c r="M28" s="425"/>
    </row>
    <row r="29" spans="1:14" s="10" customFormat="1" ht="30" customHeight="1">
      <c r="B29" s="422"/>
      <c r="D29" s="626" t="s">
        <v>2715</v>
      </c>
      <c r="E29" s="794"/>
      <c r="F29" s="634" t="s">
        <v>2713</v>
      </c>
      <c r="G29" s="790"/>
      <c r="H29" s="626" t="s">
        <v>2714</v>
      </c>
      <c r="I29" s="794"/>
      <c r="J29" s="634" t="s">
        <v>12</v>
      </c>
      <c r="K29" s="790"/>
      <c r="L29" s="18"/>
      <c r="M29" s="423"/>
    </row>
    <row r="30" spans="1:14" s="10" customFormat="1" ht="18" customHeight="1">
      <c r="B30" s="422"/>
      <c r="D30" s="775" t="s">
        <v>40</v>
      </c>
      <c r="E30" s="775"/>
      <c r="F30" s="795">
        <f>+'5-Plan de Inversion'!G55</f>
        <v>0</v>
      </c>
      <c r="G30" s="795"/>
      <c r="H30" s="795">
        <f>+'5-Plan de Inversion'!E55</f>
        <v>0</v>
      </c>
      <c r="I30" s="795"/>
      <c r="J30" s="795">
        <f>+'5-Plan de Inversion'!F55</f>
        <v>0</v>
      </c>
      <c r="K30" s="795"/>
      <c r="L30" s="19"/>
      <c r="M30" s="423"/>
    </row>
    <row r="31" spans="1:14" s="10" customFormat="1" ht="18" customHeight="1">
      <c r="B31" s="422"/>
      <c r="D31" s="775" t="s">
        <v>41</v>
      </c>
      <c r="E31" s="775"/>
      <c r="F31" s="795">
        <f>+'5-Plan de Inversion'!G56</f>
        <v>0</v>
      </c>
      <c r="G31" s="795"/>
      <c r="H31" s="795">
        <f>+'5-Plan de Inversion'!E56</f>
        <v>0</v>
      </c>
      <c r="I31" s="795"/>
      <c r="J31" s="795">
        <f>+'5-Plan de Inversion'!F56</f>
        <v>0</v>
      </c>
      <c r="K31" s="795"/>
      <c r="L31" s="19"/>
      <c r="M31" s="423"/>
    </row>
    <row r="32" spans="1:14" s="10" customFormat="1" ht="18" customHeight="1">
      <c r="B32" s="422"/>
      <c r="D32" s="775" t="s">
        <v>42</v>
      </c>
      <c r="E32" s="775"/>
      <c r="F32" s="795">
        <f>+'5-Plan de Inversion'!G66</f>
        <v>-27388382</v>
      </c>
      <c r="G32" s="795"/>
      <c r="H32" s="795">
        <f>+'5-Plan de Inversion'!E66</f>
        <v>42170000</v>
      </c>
      <c r="I32" s="795"/>
      <c r="J32" s="795">
        <f>+'5-Plan de Inversion'!F66</f>
        <v>14781618</v>
      </c>
      <c r="K32" s="795"/>
      <c r="L32" s="19"/>
      <c r="M32" s="423"/>
    </row>
    <row r="33" spans="2:13" s="10" customFormat="1" ht="18" customHeight="1">
      <c r="B33" s="422"/>
      <c r="D33" s="775" t="s">
        <v>43</v>
      </c>
      <c r="E33" s="775"/>
      <c r="F33" s="795">
        <f>+'5-Plan de Inversion'!G73</f>
        <v>-300000</v>
      </c>
      <c r="G33" s="795"/>
      <c r="H33" s="795">
        <f>+'5-Plan de Inversion'!E73</f>
        <v>1350000</v>
      </c>
      <c r="I33" s="795"/>
      <c r="J33" s="795">
        <f>+'5-Plan de Inversion'!F73</f>
        <v>1050000</v>
      </c>
      <c r="K33" s="795"/>
      <c r="L33" s="19"/>
      <c r="M33" s="423"/>
    </row>
    <row r="34" spans="2:13" s="10" customFormat="1" ht="18" customHeight="1">
      <c r="B34" s="422"/>
      <c r="D34" s="775" t="s">
        <v>44</v>
      </c>
      <c r="E34" s="775"/>
      <c r="F34" s="795">
        <f>+'5-Plan de Inversion'!G79</f>
        <v>0</v>
      </c>
      <c r="G34" s="795"/>
      <c r="H34" s="795">
        <f>+'5-Plan de Inversion'!E79</f>
        <v>0</v>
      </c>
      <c r="I34" s="795"/>
      <c r="J34" s="795">
        <f>+'5-Plan de Inversion'!F79</f>
        <v>0</v>
      </c>
      <c r="K34" s="795"/>
      <c r="L34" s="19"/>
      <c r="M34" s="423"/>
    </row>
    <row r="35" spans="2:13" s="10" customFormat="1" ht="25.5" customHeight="1">
      <c r="B35" s="422"/>
      <c r="D35" s="790" t="s">
        <v>56</v>
      </c>
      <c r="E35" s="790"/>
      <c r="F35" s="793">
        <f>SUM(F30:F34)</f>
        <v>-27688382</v>
      </c>
      <c r="G35" s="793"/>
      <c r="H35" s="793">
        <f>SUM(H30:H34)</f>
        <v>43520000</v>
      </c>
      <c r="I35" s="793"/>
      <c r="J35" s="793">
        <f>SUM(J30:J34)</f>
        <v>15831618</v>
      </c>
      <c r="K35" s="793"/>
      <c r="L35" s="21"/>
      <c r="M35" s="423"/>
    </row>
    <row r="36" spans="2:13" s="10" customFormat="1" ht="33" customHeight="1">
      <c r="B36" s="422"/>
      <c r="D36" s="798" t="s">
        <v>2653</v>
      </c>
      <c r="E36" s="798"/>
      <c r="F36" s="796">
        <f>+F27+F35</f>
        <v>-27688382</v>
      </c>
      <c r="G36" s="796"/>
      <c r="H36" s="796">
        <f>+H27+H35</f>
        <v>43520000</v>
      </c>
      <c r="I36" s="796"/>
      <c r="J36" s="796">
        <f>+J27+J35</f>
        <v>15831618</v>
      </c>
      <c r="K36" s="796"/>
      <c r="L36" s="22"/>
      <c r="M36" s="423"/>
    </row>
    <row r="37" spans="2:13" s="10" customFormat="1" ht="25.5" customHeight="1">
      <c r="B37" s="422"/>
      <c r="D37" s="790" t="s">
        <v>58</v>
      </c>
      <c r="E37" s="790"/>
      <c r="F37" s="797">
        <f>+F36/J36</f>
        <v>-1.7489293892765729</v>
      </c>
      <c r="G37" s="797"/>
      <c r="H37" s="797">
        <f>+H36/J36</f>
        <v>2.7489293892765732</v>
      </c>
      <c r="I37" s="797"/>
      <c r="J37" s="797">
        <f>SUM(F37:H37)</f>
        <v>1.0000000000000002</v>
      </c>
      <c r="K37" s="797"/>
      <c r="L37" s="17"/>
      <c r="M37" s="423"/>
    </row>
    <row r="38" spans="2:13" ht="15" customHeight="1">
      <c r="B38" s="407"/>
      <c r="C38" s="3"/>
      <c r="D38" s="3"/>
      <c r="E38" s="3"/>
      <c r="F38" s="3"/>
      <c r="G38" s="3"/>
      <c r="H38" s="3"/>
      <c r="I38" s="3"/>
      <c r="J38" s="3"/>
      <c r="K38" s="3"/>
      <c r="L38" s="3"/>
      <c r="M38" s="413"/>
    </row>
    <row r="39" spans="2:13" ht="15" customHeight="1">
      <c r="B39" s="407"/>
      <c r="C39" s="3"/>
      <c r="D39" s="3"/>
      <c r="E39" s="3"/>
      <c r="F39" s="3"/>
      <c r="G39" s="3"/>
      <c r="H39" s="3"/>
      <c r="I39" s="3"/>
      <c r="J39" s="3"/>
      <c r="K39" s="3"/>
      <c r="L39" s="3"/>
      <c r="M39" s="413"/>
    </row>
    <row r="40" spans="2:13" ht="15" customHeight="1" thickBot="1">
      <c r="B40" s="407"/>
      <c r="C40" s="3"/>
      <c r="D40" s="3"/>
      <c r="E40" s="3"/>
      <c r="F40" s="3"/>
      <c r="G40" s="3"/>
      <c r="H40" s="3"/>
      <c r="I40" s="3"/>
      <c r="J40" s="3"/>
      <c r="K40" s="3"/>
      <c r="L40" s="3"/>
      <c r="M40" s="413"/>
    </row>
    <row r="41" spans="2:13" s="56" customFormat="1" ht="25.5" customHeight="1" thickBot="1">
      <c r="B41" s="765" t="s">
        <v>76</v>
      </c>
      <c r="C41" s="766"/>
      <c r="D41" s="766"/>
      <c r="E41" s="766"/>
      <c r="F41" s="766"/>
      <c r="G41" s="766"/>
      <c r="H41" s="766"/>
      <c r="I41" s="766"/>
      <c r="J41" s="766"/>
      <c r="K41" s="766"/>
      <c r="L41" s="766"/>
      <c r="M41" s="767"/>
    </row>
    <row r="42" spans="2:13">
      <c r="B42" s="426"/>
      <c r="C42" s="427"/>
      <c r="D42" s="427"/>
      <c r="E42" s="427"/>
      <c r="F42" s="427"/>
      <c r="G42" s="427"/>
      <c r="H42" s="427"/>
      <c r="I42" s="427"/>
      <c r="J42" s="427"/>
      <c r="K42" s="427"/>
      <c r="L42" s="427"/>
      <c r="M42" s="418"/>
    </row>
    <row r="43" spans="2:13" ht="25.5" customHeight="1">
      <c r="B43" s="803" t="s">
        <v>77</v>
      </c>
      <c r="C43" s="790"/>
      <c r="D43" s="626" t="s">
        <v>78</v>
      </c>
      <c r="E43" s="626"/>
      <c r="F43" s="626" t="s">
        <v>79</v>
      </c>
      <c r="G43" s="626"/>
      <c r="H43" s="626" t="s">
        <v>60</v>
      </c>
      <c r="I43" s="626"/>
      <c r="J43" s="626" t="s">
        <v>61</v>
      </c>
      <c r="K43" s="626"/>
      <c r="L43" s="626" t="s">
        <v>62</v>
      </c>
      <c r="M43" s="800"/>
    </row>
    <row r="44" spans="2:13" ht="18" customHeight="1">
      <c r="B44" s="804" t="s">
        <v>41</v>
      </c>
      <c r="C44" s="775"/>
      <c r="D44" s="795">
        <f>+'5-Plan de Inversion'!I56</f>
        <v>0</v>
      </c>
      <c r="E44" s="795"/>
      <c r="F44" s="795">
        <f>IF('5-Plan de Inversion'!$H$56&gt;1,+'5-Plan de Inversion'!$F$56/'5-Plan de Inversion'!$H$56,0)</f>
        <v>0</v>
      </c>
      <c r="G44" s="795"/>
      <c r="H44" s="795">
        <f>IF('5-Plan de Inversion'!$H$56&gt;2,+'5-Plan de Inversion'!$F$56/'5-Plan de Inversion'!$H$56,0)</f>
        <v>0</v>
      </c>
      <c r="I44" s="795"/>
      <c r="J44" s="795">
        <f>IF('5-Plan de Inversion'!$H$56&gt;3,+'5-Plan de Inversion'!$F$56/'5-Plan de Inversion'!$H$56,0)</f>
        <v>0</v>
      </c>
      <c r="K44" s="795"/>
      <c r="L44" s="795">
        <f>IF('5-Plan de Inversion'!$H$56&gt;4,+'5-Plan de Inversion'!$F$56/'5-Plan de Inversion'!$H$56,0)</f>
        <v>0</v>
      </c>
      <c r="M44" s="801"/>
    </row>
    <row r="45" spans="2:13" ht="18" customHeight="1">
      <c r="B45" s="804" t="s">
        <v>42</v>
      </c>
      <c r="C45" s="775"/>
      <c r="D45" s="795">
        <f>+'5-Plan de Inversion'!I58</f>
        <v>4927206</v>
      </c>
      <c r="E45" s="795"/>
      <c r="F45" s="795">
        <f>IF('5-Plan de Inversion'!$H$58&gt;1,+'5-Plan de Inversion'!$F$66/'5-Plan de Inversion'!$H$58,0)</f>
        <v>4927206</v>
      </c>
      <c r="G45" s="795"/>
      <c r="H45" s="795">
        <f>IF('5-Plan de Inversion'!$H$58&gt;2,+'5-Plan de Inversion'!$F$66/'5-Plan de Inversion'!$H$58,0)</f>
        <v>4927206</v>
      </c>
      <c r="I45" s="795"/>
      <c r="J45" s="795">
        <f>IF('5-Plan de Inversion'!$H$58&gt;3,+'5-Plan de Inversion'!$F$66/'5-Plan de Inversion'!$H$58,0)</f>
        <v>0</v>
      </c>
      <c r="K45" s="795"/>
      <c r="L45" s="795">
        <f>IF('5-Plan de Inversion'!$H$58&gt;4,+'5-Plan de Inversion'!$F$66/'5-Plan de Inversion'!$H$58,0)</f>
        <v>0</v>
      </c>
      <c r="M45" s="801"/>
    </row>
    <row r="46" spans="2:13" ht="18" customHeight="1">
      <c r="B46" s="804" t="s">
        <v>43</v>
      </c>
      <c r="C46" s="775"/>
      <c r="D46" s="795">
        <f>+'5-Plan de Inversion'!I68</f>
        <v>105000</v>
      </c>
      <c r="E46" s="795"/>
      <c r="F46" s="795">
        <f>IF('5-Plan de Inversion'!$H$68&gt;1,+'5-Plan de Inversion'!$F$73/'5-Plan de Inversion'!$H$68,0)</f>
        <v>105000</v>
      </c>
      <c r="G46" s="795"/>
      <c r="H46" s="795">
        <f>IF('5-Plan de Inversion'!$H$68&gt;2,+'5-Plan de Inversion'!$F$73/'5-Plan de Inversion'!$H$68,0)</f>
        <v>105000</v>
      </c>
      <c r="I46" s="795"/>
      <c r="J46" s="795">
        <f>IF('5-Plan de Inversion'!$H$68&gt;3,+'5-Plan de Inversion'!$F$73/'5-Plan de Inversion'!$H$68,0)</f>
        <v>105000</v>
      </c>
      <c r="K46" s="795"/>
      <c r="L46" s="795">
        <f>IF('5-Plan de Inversion'!$H$68&gt;4,+'5-Plan de Inversion'!$F$73/'5-Plan de Inversion'!$H$68,0)</f>
        <v>105000</v>
      </c>
      <c r="M46" s="801"/>
    </row>
    <row r="47" spans="2:13" ht="18" customHeight="1">
      <c r="B47" s="804" t="s">
        <v>44</v>
      </c>
      <c r="C47" s="775"/>
      <c r="D47" s="795">
        <f>+'5-Plan de Inversion'!I75</f>
        <v>0</v>
      </c>
      <c r="E47" s="795"/>
      <c r="F47" s="795">
        <f>IF('5-Plan de Inversion'!$H$75&gt;1,+'5-Plan de Inversion'!$F$79/'5-Plan de Inversion'!$H$75,0)</f>
        <v>0</v>
      </c>
      <c r="G47" s="795"/>
      <c r="H47" s="795">
        <f>IF('5-Plan de Inversion'!$H$75&gt;2,+'5-Plan de Inversion'!$F$79/'5-Plan de Inversion'!$H$75,0)</f>
        <v>0</v>
      </c>
      <c r="I47" s="795"/>
      <c r="J47" s="795">
        <f>IF('5-Plan de Inversion'!$H$75&gt;3,+'5-Plan de Inversion'!$F$79/'5-Plan de Inversion'!$H$75,0)</f>
        <v>0</v>
      </c>
      <c r="K47" s="795"/>
      <c r="L47" s="795">
        <f>IF('5-Plan de Inversion'!$H$75&gt;4,+'5-Plan de Inversion'!$F$79/'5-Plan de Inversion'!$H$75,0)</f>
        <v>0</v>
      </c>
      <c r="M47" s="801"/>
    </row>
    <row r="48" spans="2:13" ht="25.5" customHeight="1">
      <c r="B48" s="805" t="s">
        <v>12</v>
      </c>
      <c r="C48" s="699"/>
      <c r="D48" s="799">
        <f>SUM(D44:D47)</f>
        <v>5032206</v>
      </c>
      <c r="E48" s="799"/>
      <c r="F48" s="799">
        <f>SUM(F44:F47)</f>
        <v>5032206</v>
      </c>
      <c r="G48" s="799"/>
      <c r="H48" s="799">
        <f>SUM(H44:H47)</f>
        <v>5032206</v>
      </c>
      <c r="I48" s="799"/>
      <c r="J48" s="799">
        <f>SUM(J44:J47)</f>
        <v>105000</v>
      </c>
      <c r="K48" s="799"/>
      <c r="L48" s="799">
        <f>SUM(L44:L47)</f>
        <v>105000</v>
      </c>
      <c r="M48" s="806"/>
    </row>
    <row r="49" spans="2:13" ht="15" customHeight="1" thickBot="1">
      <c r="B49" s="428"/>
      <c r="C49" s="429"/>
      <c r="D49" s="3"/>
      <c r="E49" s="3"/>
      <c r="F49" s="3"/>
      <c r="G49" s="3"/>
      <c r="H49" s="414"/>
      <c r="I49" s="3"/>
      <c r="J49" s="3"/>
      <c r="K49" s="3"/>
      <c r="L49" s="3"/>
      <c r="M49" s="413"/>
    </row>
    <row r="50" spans="2:13" s="56" customFormat="1" ht="25.5" customHeight="1" thickBot="1">
      <c r="B50" s="765" t="s">
        <v>112</v>
      </c>
      <c r="C50" s="766"/>
      <c r="D50" s="766"/>
      <c r="E50" s="766"/>
      <c r="F50" s="766"/>
      <c r="G50" s="766"/>
      <c r="H50" s="766"/>
      <c r="I50" s="766"/>
      <c r="J50" s="766"/>
      <c r="K50" s="766"/>
      <c r="L50" s="766"/>
      <c r="M50" s="767"/>
    </row>
    <row r="51" spans="2:13">
      <c r="B51" s="426"/>
      <c r="C51" s="427"/>
      <c r="D51" s="427"/>
      <c r="E51" s="427"/>
      <c r="F51" s="427"/>
      <c r="G51" s="427"/>
      <c r="H51" s="427"/>
      <c r="I51" s="427"/>
      <c r="J51" s="427"/>
      <c r="K51" s="427"/>
      <c r="L51" s="427"/>
      <c r="M51" s="418"/>
    </row>
    <row r="52" spans="2:13" ht="25.5" customHeight="1">
      <c r="B52" s="803"/>
      <c r="C52" s="790"/>
      <c r="D52" s="626" t="s">
        <v>78</v>
      </c>
      <c r="E52" s="626"/>
      <c r="F52" s="626" t="s">
        <v>79</v>
      </c>
      <c r="G52" s="626"/>
      <c r="H52" s="626" t="s">
        <v>60</v>
      </c>
      <c r="I52" s="626"/>
      <c r="J52" s="626" t="s">
        <v>61</v>
      </c>
      <c r="K52" s="626"/>
      <c r="L52" s="626" t="s">
        <v>62</v>
      </c>
      <c r="M52" s="800"/>
    </row>
    <row r="53" spans="2:13" ht="18" customHeight="1">
      <c r="B53" s="807" t="s">
        <v>113</v>
      </c>
      <c r="C53" s="808"/>
      <c r="D53" s="795">
        <f>'5-Plan de Inversion'!F37/'5-Plan de Inversion'!G30</f>
        <v>0</v>
      </c>
      <c r="E53" s="795"/>
      <c r="F53" s="795">
        <f>IF('5-Plan de Inversion'!$F$37&gt;1,+'5-Plan de Inversion'!$F$37/'5-Plan de Inversion'!$G$30,0)</f>
        <v>0</v>
      </c>
      <c r="G53" s="795"/>
      <c r="H53" s="795">
        <f>IF('5-Plan de Inversion'!$F$37&gt;2,+'5-Plan de Inversion'!$F$37/'5-Plan de Inversion'!$G$30,0)</f>
        <v>0</v>
      </c>
      <c r="I53" s="795"/>
      <c r="J53" s="795">
        <f>IF('5-Plan de Inversion'!$F$37&gt;3,+'5-Plan de Inversion'!$F$37/'5-Plan de Inversion'!$G$30,0)</f>
        <v>0</v>
      </c>
      <c r="K53" s="795"/>
      <c r="L53" s="795">
        <f>IF('5-Plan de Inversion'!$F$37&gt;4,+'5-Plan de Inversion'!$F$37/'5-Plan de Inversion'!$G$30,0)</f>
        <v>0</v>
      </c>
      <c r="M53" s="801"/>
    </row>
    <row r="54" spans="2:13">
      <c r="B54" s="407"/>
      <c r="C54" s="3"/>
      <c r="D54" s="3"/>
      <c r="E54" s="3"/>
      <c r="F54" s="3"/>
      <c r="G54" s="3"/>
      <c r="H54" s="3"/>
      <c r="I54" s="3"/>
      <c r="J54" s="3"/>
      <c r="K54" s="3"/>
      <c r="L54" s="3"/>
      <c r="M54" s="413"/>
    </row>
    <row r="55" spans="2:13" ht="15" customHeight="1">
      <c r="B55" s="407"/>
      <c r="C55" s="3"/>
      <c r="D55" s="3"/>
      <c r="E55" s="3"/>
      <c r="F55" s="3"/>
      <c r="G55" s="3"/>
      <c r="H55" s="3"/>
      <c r="I55" s="3"/>
      <c r="J55" s="3"/>
      <c r="K55" s="3"/>
      <c r="L55" s="3"/>
      <c r="M55" s="413"/>
    </row>
    <row r="56" spans="2:13" ht="15" customHeight="1">
      <c r="B56" s="407"/>
      <c r="C56" s="3"/>
      <c r="D56" s="3"/>
      <c r="E56" s="3"/>
      <c r="F56" s="3"/>
      <c r="G56" s="3"/>
      <c r="H56" s="3"/>
      <c r="I56" s="3"/>
      <c r="J56" s="3"/>
      <c r="K56" s="3"/>
      <c r="L56" s="3"/>
      <c r="M56" s="413"/>
    </row>
    <row r="57" spans="2:13" ht="15" customHeight="1" thickBot="1">
      <c r="B57" s="407"/>
      <c r="C57" s="3"/>
      <c r="D57" s="3"/>
      <c r="E57" s="3"/>
      <c r="F57" s="3"/>
      <c r="G57" s="3"/>
      <c r="H57" s="3"/>
      <c r="I57" s="3"/>
      <c r="J57" s="3"/>
      <c r="K57" s="3"/>
      <c r="L57" s="3"/>
      <c r="M57" s="413"/>
    </row>
    <row r="58" spans="2:13" s="56" customFormat="1" ht="25.5" customHeight="1" thickBot="1">
      <c r="B58" s="765" t="s">
        <v>2710</v>
      </c>
      <c r="C58" s="766"/>
      <c r="D58" s="766"/>
      <c r="E58" s="766"/>
      <c r="F58" s="766"/>
      <c r="G58" s="766"/>
      <c r="H58" s="766"/>
      <c r="I58" s="766"/>
      <c r="J58" s="766"/>
      <c r="K58" s="766"/>
      <c r="L58" s="766"/>
      <c r="M58" s="767"/>
    </row>
    <row r="59" spans="2:13">
      <c r="B59" s="407"/>
      <c r="C59" s="3"/>
      <c r="D59" s="3"/>
      <c r="E59" s="3"/>
      <c r="F59" s="3"/>
      <c r="G59" s="3"/>
      <c r="H59" s="3"/>
      <c r="I59" s="3"/>
      <c r="J59" s="3"/>
      <c r="K59" s="3"/>
      <c r="L59" s="3"/>
      <c r="M59" s="418"/>
    </row>
    <row r="60" spans="2:13">
      <c r="B60" s="430"/>
      <c r="C60" s="53"/>
      <c r="D60" s="53"/>
      <c r="E60" s="53"/>
      <c r="F60" s="53"/>
      <c r="G60" s="3"/>
      <c r="H60" s="3"/>
      <c r="I60" s="3"/>
      <c r="J60" s="3"/>
      <c r="K60" s="3"/>
      <c r="L60" s="3"/>
      <c r="M60" s="413"/>
    </row>
    <row r="61" spans="2:13" ht="25.5" customHeight="1">
      <c r="B61" s="407"/>
      <c r="C61" s="3"/>
      <c r="D61" s="3"/>
      <c r="E61" s="3"/>
      <c r="F61" s="782" t="s">
        <v>120</v>
      </c>
      <c r="G61" s="782"/>
      <c r="H61" s="782"/>
      <c r="I61" s="782"/>
      <c r="J61" s="782"/>
      <c r="K61" s="53"/>
      <c r="L61" s="3"/>
      <c r="M61" s="413"/>
    </row>
    <row r="62" spans="2:13">
      <c r="B62" s="407"/>
      <c r="C62" s="3"/>
      <c r="D62" s="3"/>
      <c r="E62" s="3"/>
      <c r="F62" s="53"/>
      <c r="G62" s="53" t="s">
        <v>7</v>
      </c>
      <c r="H62" s="540"/>
      <c r="I62" s="53"/>
      <c r="J62" s="53"/>
      <c r="K62" s="53"/>
      <c r="L62" s="3"/>
      <c r="M62" s="413"/>
    </row>
    <row r="63" spans="2:13" ht="25.5" customHeight="1">
      <c r="B63" s="407"/>
      <c r="C63" s="3"/>
      <c r="D63" s="3"/>
      <c r="E63" s="3"/>
      <c r="F63" s="785" t="s">
        <v>45</v>
      </c>
      <c r="G63" s="785"/>
      <c r="H63" s="785"/>
      <c r="I63" s="785" t="s">
        <v>116</v>
      </c>
      <c r="J63" s="785"/>
      <c r="K63" s="53"/>
      <c r="L63" s="3"/>
      <c r="M63" s="413"/>
    </row>
    <row r="64" spans="2:13" ht="18" customHeight="1">
      <c r="B64" s="407"/>
      <c r="C64" s="3"/>
      <c r="D64" s="3"/>
      <c r="E64" s="3"/>
      <c r="F64" s="792" t="s">
        <v>97</v>
      </c>
      <c r="G64" s="792"/>
      <c r="H64" s="792"/>
      <c r="I64" s="786">
        <v>0.34</v>
      </c>
      <c r="J64" s="786"/>
      <c r="K64" s="53"/>
      <c r="L64" s="3"/>
      <c r="M64" s="413"/>
    </row>
    <row r="65" spans="2:13" ht="18" customHeight="1">
      <c r="B65" s="407"/>
      <c r="C65" s="3"/>
      <c r="D65" s="3"/>
      <c r="E65" s="3"/>
      <c r="F65" s="792" t="s">
        <v>115</v>
      </c>
      <c r="G65" s="792"/>
      <c r="H65" s="792"/>
      <c r="I65" s="786">
        <v>0.19</v>
      </c>
      <c r="J65" s="786"/>
      <c r="K65" s="53"/>
      <c r="L65" s="3"/>
      <c r="M65" s="413"/>
    </row>
    <row r="66" spans="2:13">
      <c r="B66" s="407"/>
      <c r="C66" s="3"/>
      <c r="D66" s="3"/>
      <c r="E66" s="3"/>
      <c r="F66" s="431"/>
      <c r="G66" s="431"/>
      <c r="H66" s="431"/>
      <c r="I66" s="431"/>
      <c r="J66" s="431"/>
      <c r="K66" s="53"/>
      <c r="L66" s="3"/>
      <c r="M66" s="413"/>
    </row>
    <row r="67" spans="2:13" ht="18" customHeight="1">
      <c r="B67" s="407"/>
      <c r="C67" s="3"/>
      <c r="D67" s="3"/>
      <c r="E67" s="3"/>
      <c r="F67" s="784" t="s">
        <v>117</v>
      </c>
      <c r="G67" s="784"/>
      <c r="H67" s="784"/>
      <c r="I67" s="787">
        <f>'5-Plan de Inversion'!G80</f>
        <v>-27688382</v>
      </c>
      <c r="J67" s="787"/>
      <c r="K67" s="32"/>
      <c r="L67" s="3"/>
      <c r="M67" s="413"/>
    </row>
    <row r="68" spans="2:13" ht="18" customHeight="1">
      <c r="B68" s="407"/>
      <c r="C68" s="3"/>
      <c r="D68" s="3"/>
      <c r="E68" s="3"/>
      <c r="F68" s="784" t="s">
        <v>118</v>
      </c>
      <c r="G68" s="784"/>
      <c r="H68" s="784"/>
      <c r="I68" s="788">
        <f>+(1+I70)^(12)-1</f>
        <v>0.26228645365126191</v>
      </c>
      <c r="J68" s="788"/>
      <c r="K68" s="32"/>
      <c r="L68" s="3"/>
      <c r="M68" s="413"/>
    </row>
    <row r="69" spans="2:13" ht="18" customHeight="1">
      <c r="B69" s="407"/>
      <c r="C69" s="3"/>
      <c r="D69" s="3"/>
      <c r="E69" s="3"/>
      <c r="F69" s="784" t="s">
        <v>2654</v>
      </c>
      <c r="G69" s="784"/>
      <c r="H69" s="784"/>
      <c r="I69" s="788">
        <f>+I70*12</f>
        <v>0.23519999999999999</v>
      </c>
      <c r="J69" s="788"/>
      <c r="K69" s="32"/>
      <c r="L69" s="3"/>
      <c r="M69" s="413"/>
    </row>
    <row r="70" spans="2:13" ht="18" customHeight="1">
      <c r="B70" s="407"/>
      <c r="C70" s="3"/>
      <c r="D70" s="3"/>
      <c r="E70" s="3"/>
      <c r="F70" s="784" t="s">
        <v>119</v>
      </c>
      <c r="G70" s="784"/>
      <c r="H70" s="784"/>
      <c r="I70" s="786">
        <v>1.9599999999999999E-2</v>
      </c>
      <c r="J70" s="786"/>
      <c r="K70" s="32"/>
      <c r="L70" s="3"/>
      <c r="M70" s="413"/>
    </row>
    <row r="71" spans="2:13" ht="18" customHeight="1">
      <c r="B71" s="407"/>
      <c r="C71" s="3"/>
      <c r="D71" s="3"/>
      <c r="E71" s="3"/>
      <c r="F71" s="784" t="s">
        <v>2655</v>
      </c>
      <c r="G71" s="784"/>
      <c r="H71" s="784"/>
      <c r="I71" s="789">
        <v>60</v>
      </c>
      <c r="J71" s="789"/>
      <c r="K71" s="32"/>
      <c r="L71" s="3"/>
      <c r="M71" s="413"/>
    </row>
    <row r="72" spans="2:13">
      <c r="B72" s="432"/>
      <c r="C72" s="32"/>
      <c r="D72" s="433"/>
      <c r="E72" s="32"/>
      <c r="F72" s="32"/>
      <c r="G72" s="3"/>
      <c r="H72" s="3"/>
      <c r="I72" s="3"/>
      <c r="J72" s="3"/>
      <c r="K72" s="3"/>
      <c r="L72" s="3"/>
      <c r="M72" s="413"/>
    </row>
    <row r="73" spans="2:13" ht="25.5" customHeight="1">
      <c r="B73" s="407"/>
      <c r="C73" s="782" t="s">
        <v>2716</v>
      </c>
      <c r="D73" s="782"/>
      <c r="E73" s="783" t="s">
        <v>2717</v>
      </c>
      <c r="F73" s="783"/>
      <c r="G73" s="783" t="s">
        <v>2718</v>
      </c>
      <c r="H73" s="783"/>
      <c r="I73" s="783" t="s">
        <v>107</v>
      </c>
      <c r="J73" s="783"/>
      <c r="K73" s="783" t="s">
        <v>2719</v>
      </c>
      <c r="L73" s="783"/>
      <c r="M73" s="413"/>
    </row>
    <row r="74" spans="2:13" ht="18" customHeight="1">
      <c r="B74" s="407"/>
      <c r="C74" s="802">
        <v>1</v>
      </c>
      <c r="D74" s="802"/>
      <c r="E74" s="781">
        <f>-PMT($I$70,$I$71,$I$67,0)</f>
        <v>-788842.89330555324</v>
      </c>
      <c r="F74" s="781"/>
      <c r="G74" s="781">
        <f>+I67*I70</f>
        <v>-542692.28720000002</v>
      </c>
      <c r="H74" s="781"/>
      <c r="I74" s="781">
        <f>+E74-G74</f>
        <v>-246150.60610555322</v>
      </c>
      <c r="J74" s="781"/>
      <c r="K74" s="781">
        <f>+I67-I74</f>
        <v>-27442231.393894445</v>
      </c>
      <c r="L74" s="781"/>
      <c r="M74" s="413"/>
    </row>
    <row r="75" spans="2:13" ht="18" customHeight="1">
      <c r="B75" s="407"/>
      <c r="C75" s="802">
        <v>2</v>
      </c>
      <c r="D75" s="802"/>
      <c r="E75" s="781">
        <f t="shared" ref="E75:E106" si="0">IF(C75&gt;$I$71,"",+E74)</f>
        <v>-788842.89330555324</v>
      </c>
      <c r="F75" s="781"/>
      <c r="G75" s="781">
        <f t="shared" ref="G75:G106" si="1">IF(C75&gt;$I$71,"",$I$70*K74)</f>
        <v>-537867.73532033106</v>
      </c>
      <c r="H75" s="781"/>
      <c r="I75" s="781">
        <f t="shared" ref="I75:I106" si="2">IF(C75&gt;$I$71,"",E75-G75)</f>
        <v>-250975.15798522218</v>
      </c>
      <c r="J75" s="781"/>
      <c r="K75" s="781">
        <f t="shared" ref="K75:K106" si="3">IF(C75&gt;$I$71,"",K74-I75)</f>
        <v>-27191256.235909224</v>
      </c>
      <c r="L75" s="781"/>
      <c r="M75" s="413"/>
    </row>
    <row r="76" spans="2:13" ht="18" customHeight="1">
      <c r="B76" s="407"/>
      <c r="C76" s="802">
        <v>3</v>
      </c>
      <c r="D76" s="802"/>
      <c r="E76" s="781">
        <f t="shared" si="0"/>
        <v>-788842.89330555324</v>
      </c>
      <c r="F76" s="781"/>
      <c r="G76" s="781">
        <f t="shared" si="1"/>
        <v>-532948.62222382077</v>
      </c>
      <c r="H76" s="781"/>
      <c r="I76" s="781">
        <f t="shared" si="2"/>
        <v>-255894.27108173247</v>
      </c>
      <c r="J76" s="781"/>
      <c r="K76" s="781">
        <f t="shared" si="3"/>
        <v>-26935361.964827493</v>
      </c>
      <c r="L76" s="781"/>
      <c r="M76" s="413"/>
    </row>
    <row r="77" spans="2:13" ht="18" customHeight="1">
      <c r="B77" s="407"/>
      <c r="C77" s="802">
        <v>4</v>
      </c>
      <c r="D77" s="802"/>
      <c r="E77" s="781">
        <f t="shared" si="0"/>
        <v>-788842.89330555324</v>
      </c>
      <c r="F77" s="781"/>
      <c r="G77" s="781">
        <f t="shared" si="1"/>
        <v>-527933.09451061883</v>
      </c>
      <c r="H77" s="781"/>
      <c r="I77" s="781">
        <f t="shared" si="2"/>
        <v>-260909.79879493441</v>
      </c>
      <c r="J77" s="781"/>
      <c r="K77" s="781">
        <f t="shared" si="3"/>
        <v>-26674452.16603256</v>
      </c>
      <c r="L77" s="781"/>
      <c r="M77" s="413"/>
    </row>
    <row r="78" spans="2:13" ht="18" customHeight="1">
      <c r="B78" s="407"/>
      <c r="C78" s="802">
        <v>5</v>
      </c>
      <c r="D78" s="802"/>
      <c r="E78" s="781">
        <f t="shared" si="0"/>
        <v>-788842.89330555324</v>
      </c>
      <c r="F78" s="781"/>
      <c r="G78" s="781">
        <f t="shared" si="1"/>
        <v>-522819.26245423814</v>
      </c>
      <c r="H78" s="781"/>
      <c r="I78" s="781">
        <f t="shared" si="2"/>
        <v>-266023.6308513151</v>
      </c>
      <c r="J78" s="781"/>
      <c r="K78" s="781">
        <f t="shared" si="3"/>
        <v>-26408428.535181247</v>
      </c>
      <c r="L78" s="781"/>
      <c r="M78" s="413"/>
    </row>
    <row r="79" spans="2:13" ht="18" customHeight="1">
      <c r="B79" s="407"/>
      <c r="C79" s="802">
        <v>6</v>
      </c>
      <c r="D79" s="802"/>
      <c r="E79" s="781">
        <f t="shared" si="0"/>
        <v>-788842.89330555324</v>
      </c>
      <c r="F79" s="781"/>
      <c r="G79" s="781">
        <f t="shared" si="1"/>
        <v>-517605.1992895524</v>
      </c>
      <c r="H79" s="781"/>
      <c r="I79" s="781">
        <f t="shared" si="2"/>
        <v>-271237.69401600084</v>
      </c>
      <c r="J79" s="781"/>
      <c r="K79" s="781">
        <f t="shared" si="3"/>
        <v>-26137190.841165245</v>
      </c>
      <c r="L79" s="781"/>
      <c r="M79" s="413"/>
    </row>
    <row r="80" spans="2:13" ht="18" customHeight="1">
      <c r="B80" s="407"/>
      <c r="C80" s="802">
        <v>7</v>
      </c>
      <c r="D80" s="802"/>
      <c r="E80" s="781">
        <f t="shared" si="0"/>
        <v>-788842.89330555324</v>
      </c>
      <c r="F80" s="781"/>
      <c r="G80" s="781">
        <f t="shared" si="1"/>
        <v>-512288.94048683875</v>
      </c>
      <c r="H80" s="781"/>
      <c r="I80" s="781">
        <f t="shared" si="2"/>
        <v>-276553.95281871449</v>
      </c>
      <c r="J80" s="781"/>
      <c r="K80" s="781">
        <f t="shared" si="3"/>
        <v>-25860636.88834653</v>
      </c>
      <c r="L80" s="781"/>
      <c r="M80" s="413"/>
    </row>
    <row r="81" spans="2:13" ht="18" customHeight="1">
      <c r="B81" s="407"/>
      <c r="C81" s="802">
        <v>8</v>
      </c>
      <c r="D81" s="802"/>
      <c r="E81" s="781">
        <f t="shared" si="0"/>
        <v>-788842.89330555324</v>
      </c>
      <c r="F81" s="781"/>
      <c r="G81" s="781">
        <f t="shared" si="1"/>
        <v>-506868.483011592</v>
      </c>
      <c r="H81" s="781"/>
      <c r="I81" s="781">
        <f t="shared" si="2"/>
        <v>-281974.41029396123</v>
      </c>
      <c r="J81" s="781"/>
      <c r="K81" s="781">
        <f t="shared" si="3"/>
        <v>-25578662.478052568</v>
      </c>
      <c r="L81" s="781"/>
      <c r="M81" s="413"/>
    </row>
    <row r="82" spans="2:13" ht="18" customHeight="1">
      <c r="B82" s="407"/>
      <c r="C82" s="802">
        <v>9</v>
      </c>
      <c r="D82" s="802"/>
      <c r="E82" s="781">
        <f t="shared" si="0"/>
        <v>-788842.89330555324</v>
      </c>
      <c r="F82" s="781"/>
      <c r="G82" s="781">
        <f t="shared" si="1"/>
        <v>-501341.78456983028</v>
      </c>
      <c r="H82" s="781"/>
      <c r="I82" s="781">
        <f t="shared" si="2"/>
        <v>-287501.10873572296</v>
      </c>
      <c r="J82" s="781"/>
      <c r="K82" s="781">
        <f t="shared" si="3"/>
        <v>-25291161.369316846</v>
      </c>
      <c r="L82" s="781"/>
      <c r="M82" s="413"/>
    </row>
    <row r="83" spans="2:13" ht="18" customHeight="1">
      <c r="B83" s="407"/>
      <c r="C83" s="802">
        <v>10</v>
      </c>
      <c r="D83" s="802"/>
      <c r="E83" s="781">
        <f t="shared" si="0"/>
        <v>-788842.89330555324</v>
      </c>
      <c r="F83" s="781"/>
      <c r="G83" s="781">
        <f t="shared" si="1"/>
        <v>-495706.76283861016</v>
      </c>
      <c r="H83" s="781"/>
      <c r="I83" s="781">
        <f t="shared" si="2"/>
        <v>-293136.13046694308</v>
      </c>
      <c r="J83" s="781"/>
      <c r="K83" s="781">
        <f t="shared" si="3"/>
        <v>-24998025.238849904</v>
      </c>
      <c r="L83" s="781"/>
      <c r="M83" s="413"/>
    </row>
    <row r="84" spans="2:13" ht="18" customHeight="1">
      <c r="B84" s="407"/>
      <c r="C84" s="802">
        <v>11</v>
      </c>
      <c r="D84" s="802"/>
      <c r="E84" s="781">
        <f t="shared" si="0"/>
        <v>-788842.89330555324</v>
      </c>
      <c r="F84" s="781"/>
      <c r="G84" s="781">
        <f t="shared" si="1"/>
        <v>-489961.29468145809</v>
      </c>
      <c r="H84" s="781"/>
      <c r="I84" s="781">
        <f t="shared" si="2"/>
        <v>-298881.59862409515</v>
      </c>
      <c r="J84" s="781"/>
      <c r="K84" s="781">
        <f t="shared" si="3"/>
        <v>-24699143.640225809</v>
      </c>
      <c r="L84" s="781"/>
      <c r="M84" s="413"/>
    </row>
    <row r="85" spans="2:13" ht="18" customHeight="1">
      <c r="B85" s="407"/>
      <c r="C85" s="802">
        <v>12</v>
      </c>
      <c r="D85" s="802"/>
      <c r="E85" s="781">
        <f t="shared" si="0"/>
        <v>-788842.89330555324</v>
      </c>
      <c r="F85" s="781"/>
      <c r="G85" s="781">
        <f t="shared" si="1"/>
        <v>-484103.21534842585</v>
      </c>
      <c r="H85" s="781"/>
      <c r="I85" s="781">
        <f t="shared" si="2"/>
        <v>-304739.67795712739</v>
      </c>
      <c r="J85" s="781"/>
      <c r="K85" s="781">
        <f t="shared" si="3"/>
        <v>-24394403.96226868</v>
      </c>
      <c r="L85" s="781"/>
      <c r="M85" s="413"/>
    </row>
    <row r="86" spans="2:13" ht="18" customHeight="1">
      <c r="B86" s="407"/>
      <c r="C86" s="802">
        <v>13</v>
      </c>
      <c r="D86" s="802"/>
      <c r="E86" s="781">
        <f t="shared" si="0"/>
        <v>-788842.89330555324</v>
      </c>
      <c r="F86" s="781"/>
      <c r="G86" s="781">
        <f t="shared" si="1"/>
        <v>-478130.31766046613</v>
      </c>
      <c r="H86" s="781"/>
      <c r="I86" s="781">
        <f t="shared" si="2"/>
        <v>-310712.57564508711</v>
      </c>
      <c r="J86" s="781"/>
      <c r="K86" s="781">
        <f t="shared" si="3"/>
        <v>-24083691.386623595</v>
      </c>
      <c r="L86" s="781"/>
      <c r="M86" s="413"/>
    </row>
    <row r="87" spans="2:13" ht="18" customHeight="1">
      <c r="B87" s="407"/>
      <c r="C87" s="802">
        <v>14</v>
      </c>
      <c r="D87" s="802"/>
      <c r="E87" s="781">
        <f t="shared" si="0"/>
        <v>-788842.89330555324</v>
      </c>
      <c r="F87" s="781"/>
      <c r="G87" s="781">
        <f t="shared" si="1"/>
        <v>-472040.35117782245</v>
      </c>
      <c r="H87" s="781"/>
      <c r="I87" s="781">
        <f t="shared" si="2"/>
        <v>-316802.54212773079</v>
      </c>
      <c r="J87" s="781"/>
      <c r="K87" s="781">
        <f t="shared" si="3"/>
        <v>-23766888.844495863</v>
      </c>
      <c r="L87" s="781"/>
      <c r="M87" s="413"/>
    </row>
    <row r="88" spans="2:13" ht="18" customHeight="1">
      <c r="B88" s="407"/>
      <c r="C88" s="802">
        <v>15</v>
      </c>
      <c r="D88" s="802"/>
      <c r="E88" s="781">
        <f t="shared" si="0"/>
        <v>-788842.89330555324</v>
      </c>
      <c r="F88" s="781"/>
      <c r="G88" s="781">
        <f t="shared" si="1"/>
        <v>-465831.02135211887</v>
      </c>
      <c r="H88" s="781"/>
      <c r="I88" s="781">
        <f t="shared" si="2"/>
        <v>-323011.87195343437</v>
      </c>
      <c r="J88" s="781"/>
      <c r="K88" s="781">
        <f t="shared" si="3"/>
        <v>-23443876.972542427</v>
      </c>
      <c r="L88" s="781"/>
      <c r="M88" s="413"/>
    </row>
    <row r="89" spans="2:13" ht="18" customHeight="1">
      <c r="B89" s="407"/>
      <c r="C89" s="802">
        <v>16</v>
      </c>
      <c r="D89" s="802"/>
      <c r="E89" s="781">
        <f t="shared" si="0"/>
        <v>-788842.89330555324</v>
      </c>
      <c r="F89" s="781"/>
      <c r="G89" s="781">
        <f t="shared" si="1"/>
        <v>-459499.98866183154</v>
      </c>
      <c r="H89" s="781"/>
      <c r="I89" s="781">
        <f t="shared" si="2"/>
        <v>-329342.9046437217</v>
      </c>
      <c r="J89" s="781"/>
      <c r="K89" s="781">
        <f t="shared" si="3"/>
        <v>-23114534.067898706</v>
      </c>
      <c r="L89" s="781"/>
      <c r="M89" s="413"/>
    </row>
    <row r="90" spans="2:13" ht="18" customHeight="1">
      <c r="B90" s="407"/>
      <c r="C90" s="802">
        <v>17</v>
      </c>
      <c r="D90" s="802"/>
      <c r="E90" s="781">
        <f t="shared" si="0"/>
        <v>-788842.89330555324</v>
      </c>
      <c r="F90" s="781"/>
      <c r="G90" s="781">
        <f t="shared" si="1"/>
        <v>-453044.86773081461</v>
      </c>
      <c r="H90" s="781"/>
      <c r="I90" s="781">
        <f t="shared" si="2"/>
        <v>-335798.02557473863</v>
      </c>
      <c r="J90" s="781"/>
      <c r="K90" s="781">
        <f t="shared" si="3"/>
        <v>-22778736.042323966</v>
      </c>
      <c r="L90" s="781"/>
      <c r="M90" s="413"/>
    </row>
    <row r="91" spans="2:13" ht="18" customHeight="1">
      <c r="B91" s="407"/>
      <c r="C91" s="802">
        <v>18</v>
      </c>
      <c r="D91" s="802"/>
      <c r="E91" s="781">
        <f t="shared" si="0"/>
        <v>-788842.89330555324</v>
      </c>
      <c r="F91" s="781"/>
      <c r="G91" s="781">
        <f t="shared" si="1"/>
        <v>-446463.22642954969</v>
      </c>
      <c r="H91" s="781"/>
      <c r="I91" s="781">
        <f t="shared" si="2"/>
        <v>-342379.66687600355</v>
      </c>
      <c r="J91" s="781"/>
      <c r="K91" s="781">
        <f t="shared" si="3"/>
        <v>-22436356.375447962</v>
      </c>
      <c r="L91" s="781"/>
      <c r="M91" s="413"/>
    </row>
    <row r="92" spans="2:13" ht="18" customHeight="1">
      <c r="B92" s="407"/>
      <c r="C92" s="802">
        <v>19</v>
      </c>
      <c r="D92" s="802"/>
      <c r="E92" s="781">
        <f t="shared" si="0"/>
        <v>-788842.89330555324</v>
      </c>
      <c r="F92" s="781"/>
      <c r="G92" s="781">
        <f t="shared" si="1"/>
        <v>-439752.58495878003</v>
      </c>
      <c r="H92" s="781"/>
      <c r="I92" s="781">
        <f t="shared" si="2"/>
        <v>-349090.30834677321</v>
      </c>
      <c r="J92" s="781"/>
      <c r="K92" s="781">
        <f t="shared" si="3"/>
        <v>-22087266.067101188</v>
      </c>
      <c r="L92" s="781"/>
      <c r="M92" s="413"/>
    </row>
    <row r="93" spans="2:13" ht="18" customHeight="1">
      <c r="B93" s="407"/>
      <c r="C93" s="802">
        <v>20</v>
      </c>
      <c r="D93" s="802"/>
      <c r="E93" s="781">
        <f t="shared" si="0"/>
        <v>-788842.89330555324</v>
      </c>
      <c r="F93" s="781"/>
      <c r="G93" s="781">
        <f t="shared" si="1"/>
        <v>-432910.41491518327</v>
      </c>
      <c r="H93" s="781"/>
      <c r="I93" s="781">
        <f t="shared" si="2"/>
        <v>-355932.47839036997</v>
      </c>
      <c r="J93" s="781"/>
      <c r="K93" s="781">
        <f t="shared" si="3"/>
        <v>-21731333.588710818</v>
      </c>
      <c r="L93" s="781"/>
      <c r="M93" s="413"/>
    </row>
    <row r="94" spans="2:13" ht="18" customHeight="1">
      <c r="B94" s="407"/>
      <c r="C94" s="802">
        <v>21</v>
      </c>
      <c r="D94" s="802"/>
      <c r="E94" s="781">
        <f t="shared" si="0"/>
        <v>-788842.89330555324</v>
      </c>
      <c r="F94" s="781"/>
      <c r="G94" s="781">
        <f t="shared" si="1"/>
        <v>-425934.13833873201</v>
      </c>
      <c r="H94" s="781"/>
      <c r="I94" s="781">
        <f t="shared" si="2"/>
        <v>-362908.75496682123</v>
      </c>
      <c r="J94" s="781"/>
      <c r="K94" s="781">
        <f t="shared" si="3"/>
        <v>-21368424.833743997</v>
      </c>
      <c r="L94" s="781"/>
      <c r="M94" s="413"/>
    </row>
    <row r="95" spans="2:13" ht="18" customHeight="1">
      <c r="B95" s="407"/>
      <c r="C95" s="802">
        <v>22</v>
      </c>
      <c r="D95" s="802"/>
      <c r="E95" s="781">
        <f t="shared" si="0"/>
        <v>-788842.89330555324</v>
      </c>
      <c r="F95" s="781"/>
      <c r="G95" s="781">
        <f t="shared" si="1"/>
        <v>-418821.12674138235</v>
      </c>
      <c r="H95" s="781"/>
      <c r="I95" s="781">
        <f t="shared" si="2"/>
        <v>-370021.76656417089</v>
      </c>
      <c r="J95" s="781"/>
      <c r="K95" s="781">
        <f t="shared" si="3"/>
        <v>-20998403.067179825</v>
      </c>
      <c r="L95" s="781"/>
      <c r="M95" s="413"/>
    </row>
    <row r="96" spans="2:13" ht="18" customHeight="1">
      <c r="B96" s="407"/>
      <c r="C96" s="802">
        <v>23</v>
      </c>
      <c r="D96" s="802"/>
      <c r="E96" s="781">
        <f t="shared" si="0"/>
        <v>-788842.89330555324</v>
      </c>
      <c r="F96" s="781"/>
      <c r="G96" s="781">
        <f t="shared" si="1"/>
        <v>-411568.70011672453</v>
      </c>
      <c r="H96" s="781"/>
      <c r="I96" s="781">
        <f t="shared" si="2"/>
        <v>-377274.19318882871</v>
      </c>
      <c r="J96" s="781"/>
      <c r="K96" s="781">
        <f t="shared" si="3"/>
        <v>-20621128.873990998</v>
      </c>
      <c r="L96" s="781"/>
      <c r="M96" s="413"/>
    </row>
    <row r="97" spans="2:13" ht="18" customHeight="1">
      <c r="B97" s="407"/>
      <c r="C97" s="802">
        <v>24</v>
      </c>
      <c r="D97" s="802"/>
      <c r="E97" s="781">
        <f t="shared" si="0"/>
        <v>-788842.89330555324</v>
      </c>
      <c r="F97" s="781"/>
      <c r="G97" s="781">
        <f t="shared" si="1"/>
        <v>-404174.12593022356</v>
      </c>
      <c r="H97" s="781"/>
      <c r="I97" s="781">
        <f t="shared" si="2"/>
        <v>-384668.76737532968</v>
      </c>
      <c r="J97" s="781"/>
      <c r="K97" s="781">
        <f t="shared" si="3"/>
        <v>-20236460.106615666</v>
      </c>
      <c r="L97" s="781"/>
      <c r="M97" s="413"/>
    </row>
    <row r="98" spans="2:13" ht="18" customHeight="1">
      <c r="B98" s="407"/>
      <c r="C98" s="802">
        <v>25</v>
      </c>
      <c r="D98" s="802"/>
      <c r="E98" s="781">
        <f t="shared" si="0"/>
        <v>-788842.89330555324</v>
      </c>
      <c r="F98" s="781"/>
      <c r="G98" s="781">
        <f t="shared" si="1"/>
        <v>-396634.61808966706</v>
      </c>
      <c r="H98" s="781"/>
      <c r="I98" s="781">
        <f t="shared" si="2"/>
        <v>-392208.27521588618</v>
      </c>
      <c r="J98" s="781"/>
      <c r="K98" s="781">
        <f t="shared" si="3"/>
        <v>-19844251.83139978</v>
      </c>
      <c r="L98" s="781"/>
      <c r="M98" s="413"/>
    </row>
    <row r="99" spans="2:13" ht="18" customHeight="1">
      <c r="B99" s="407"/>
      <c r="C99" s="802">
        <v>26</v>
      </c>
      <c r="D99" s="802"/>
      <c r="E99" s="781">
        <f t="shared" si="0"/>
        <v>-788842.89330555324</v>
      </c>
      <c r="F99" s="781"/>
      <c r="G99" s="781">
        <f t="shared" si="1"/>
        <v>-388947.33589543565</v>
      </c>
      <c r="H99" s="781"/>
      <c r="I99" s="781">
        <f t="shared" si="2"/>
        <v>-399895.55741011759</v>
      </c>
      <c r="J99" s="781"/>
      <c r="K99" s="781">
        <f t="shared" si="3"/>
        <v>-19444356.273989663</v>
      </c>
      <c r="L99" s="781"/>
      <c r="M99" s="413"/>
    </row>
    <row r="100" spans="2:13" ht="18" customHeight="1">
      <c r="B100" s="407"/>
      <c r="C100" s="802">
        <v>27</v>
      </c>
      <c r="D100" s="802"/>
      <c r="E100" s="781">
        <f t="shared" si="0"/>
        <v>-788842.89330555324</v>
      </c>
      <c r="F100" s="781"/>
      <c r="G100" s="781">
        <f t="shared" si="1"/>
        <v>-381109.38297019736</v>
      </c>
      <c r="H100" s="781"/>
      <c r="I100" s="781">
        <f t="shared" si="2"/>
        <v>-407733.51033535588</v>
      </c>
      <c r="J100" s="781"/>
      <c r="K100" s="781">
        <f t="shared" si="3"/>
        <v>-19036622.763654307</v>
      </c>
      <c r="L100" s="781"/>
      <c r="M100" s="413"/>
    </row>
    <row r="101" spans="2:13" ht="18" customHeight="1">
      <c r="B101" s="407"/>
      <c r="C101" s="802">
        <v>28</v>
      </c>
      <c r="D101" s="802"/>
      <c r="E101" s="781">
        <f t="shared" si="0"/>
        <v>-788842.89330555324</v>
      </c>
      <c r="F101" s="781"/>
      <c r="G101" s="781">
        <f t="shared" si="1"/>
        <v>-373117.80616762437</v>
      </c>
      <c r="H101" s="781"/>
      <c r="I101" s="781">
        <f t="shared" si="2"/>
        <v>-415725.08713792887</v>
      </c>
      <c r="J101" s="781"/>
      <c r="K101" s="781">
        <f t="shared" si="3"/>
        <v>-18620897.676516376</v>
      </c>
      <c r="L101" s="781"/>
      <c r="M101" s="413"/>
    </row>
    <row r="102" spans="2:13" ht="18" customHeight="1">
      <c r="B102" s="407"/>
      <c r="C102" s="802">
        <v>29</v>
      </c>
      <c r="D102" s="802"/>
      <c r="E102" s="781">
        <f t="shared" si="0"/>
        <v>-788842.89330555324</v>
      </c>
      <c r="F102" s="781"/>
      <c r="G102" s="781">
        <f t="shared" si="1"/>
        <v>-364969.59445972095</v>
      </c>
      <c r="H102" s="781"/>
      <c r="I102" s="781">
        <f t="shared" si="2"/>
        <v>-423873.29884583229</v>
      </c>
      <c r="J102" s="781"/>
      <c r="K102" s="781">
        <f t="shared" si="3"/>
        <v>-18197024.377670545</v>
      </c>
      <c r="L102" s="781"/>
      <c r="M102" s="413"/>
    </row>
    <row r="103" spans="2:13" ht="18" customHeight="1">
      <c r="B103" s="407"/>
      <c r="C103" s="802">
        <v>30</v>
      </c>
      <c r="D103" s="802"/>
      <c r="E103" s="781">
        <f t="shared" si="0"/>
        <v>-788842.89330555324</v>
      </c>
      <c r="F103" s="781"/>
      <c r="G103" s="781">
        <f t="shared" si="1"/>
        <v>-356661.67780234269</v>
      </c>
      <c r="H103" s="781"/>
      <c r="I103" s="781">
        <f t="shared" si="2"/>
        <v>-432181.21550321055</v>
      </c>
      <c r="J103" s="781"/>
      <c r="K103" s="781">
        <f t="shared" si="3"/>
        <v>-17764843.162167333</v>
      </c>
      <c r="L103" s="781"/>
      <c r="M103" s="413"/>
    </row>
    <row r="104" spans="2:13" ht="18" customHeight="1">
      <c r="B104" s="407"/>
      <c r="C104" s="802">
        <v>31</v>
      </c>
      <c r="D104" s="802"/>
      <c r="E104" s="781">
        <f t="shared" si="0"/>
        <v>-788842.89330555324</v>
      </c>
      <c r="F104" s="781"/>
      <c r="G104" s="781">
        <f t="shared" si="1"/>
        <v>-348190.92597847973</v>
      </c>
      <c r="H104" s="781"/>
      <c r="I104" s="781">
        <f t="shared" si="2"/>
        <v>-440651.96732707351</v>
      </c>
      <c r="J104" s="781"/>
      <c r="K104" s="781">
        <f t="shared" si="3"/>
        <v>-17324191.19484026</v>
      </c>
      <c r="L104" s="781"/>
      <c r="M104" s="413"/>
    </row>
    <row r="105" spans="2:13" ht="18" customHeight="1">
      <c r="B105" s="407"/>
      <c r="C105" s="802">
        <v>32</v>
      </c>
      <c r="D105" s="802"/>
      <c r="E105" s="781">
        <f t="shared" si="0"/>
        <v>-788842.89330555324</v>
      </c>
      <c r="F105" s="781"/>
      <c r="G105" s="781">
        <f t="shared" si="1"/>
        <v>-339554.14741886908</v>
      </c>
      <c r="H105" s="781"/>
      <c r="I105" s="781">
        <f t="shared" si="2"/>
        <v>-449288.74588668416</v>
      </c>
      <c r="J105" s="781"/>
      <c r="K105" s="781">
        <f t="shared" si="3"/>
        <v>-16874902.448953576</v>
      </c>
      <c r="L105" s="781"/>
      <c r="M105" s="413"/>
    </row>
    <row r="106" spans="2:13" ht="18" customHeight="1">
      <c r="B106" s="407"/>
      <c r="C106" s="802">
        <v>33</v>
      </c>
      <c r="D106" s="802"/>
      <c r="E106" s="781">
        <f t="shared" si="0"/>
        <v>-788842.89330555324</v>
      </c>
      <c r="F106" s="781"/>
      <c r="G106" s="781">
        <f t="shared" si="1"/>
        <v>-330748.08799949009</v>
      </c>
      <c r="H106" s="781"/>
      <c r="I106" s="781">
        <f t="shared" si="2"/>
        <v>-458094.80530606315</v>
      </c>
      <c r="J106" s="781"/>
      <c r="K106" s="781">
        <f t="shared" si="3"/>
        <v>-16416807.643647512</v>
      </c>
      <c r="L106" s="781"/>
      <c r="M106" s="413"/>
    </row>
    <row r="107" spans="2:13" ht="18" customHeight="1">
      <c r="B107" s="407"/>
      <c r="C107" s="802">
        <v>34</v>
      </c>
      <c r="D107" s="802"/>
      <c r="E107" s="781">
        <f t="shared" ref="E107:E133" si="4">IF(C107&gt;$I$71,"",+E106)</f>
        <v>-788842.89330555324</v>
      </c>
      <c r="F107" s="781"/>
      <c r="G107" s="781">
        <f t="shared" ref="G107:G133" si="5">IF(C107&gt;$I$71,"",$I$70*K106)</f>
        <v>-321769.42981549125</v>
      </c>
      <c r="H107" s="781"/>
      <c r="I107" s="781">
        <f t="shared" ref="I107:I133" si="6">IF(C107&gt;$I$71,"",E107-G107)</f>
        <v>-467073.46349006199</v>
      </c>
      <c r="J107" s="781"/>
      <c r="K107" s="781">
        <f t="shared" ref="K107:K133" si="7">IF(C107&gt;$I$71,"",K106-I107)</f>
        <v>-15949734.180157451</v>
      </c>
      <c r="L107" s="781"/>
      <c r="M107" s="413"/>
    </row>
    <row r="108" spans="2:13" ht="18" customHeight="1">
      <c r="B108" s="407"/>
      <c r="C108" s="802">
        <v>35</v>
      </c>
      <c r="D108" s="802"/>
      <c r="E108" s="781">
        <f t="shared" si="4"/>
        <v>-788842.89330555324</v>
      </c>
      <c r="F108" s="781"/>
      <c r="G108" s="781">
        <f t="shared" si="5"/>
        <v>-312614.78993108601</v>
      </c>
      <c r="H108" s="781"/>
      <c r="I108" s="781">
        <f t="shared" si="6"/>
        <v>-476228.10337446723</v>
      </c>
      <c r="J108" s="781"/>
      <c r="K108" s="781">
        <f t="shared" si="7"/>
        <v>-15473506.076782983</v>
      </c>
      <c r="L108" s="781"/>
      <c r="M108" s="413"/>
    </row>
    <row r="109" spans="2:13" ht="18" customHeight="1">
      <c r="B109" s="407"/>
      <c r="C109" s="802">
        <v>36</v>
      </c>
      <c r="D109" s="802"/>
      <c r="E109" s="781">
        <f t="shared" si="4"/>
        <v>-788842.89330555324</v>
      </c>
      <c r="F109" s="781"/>
      <c r="G109" s="781">
        <f t="shared" si="5"/>
        <v>-303280.71910494647</v>
      </c>
      <c r="H109" s="781"/>
      <c r="I109" s="781">
        <f t="shared" si="6"/>
        <v>-485562.17420060677</v>
      </c>
      <c r="J109" s="781"/>
      <c r="K109" s="781">
        <f t="shared" si="7"/>
        <v>-14987943.902582375</v>
      </c>
      <c r="L109" s="781"/>
      <c r="M109" s="413"/>
    </row>
    <row r="110" spans="2:13" ht="18" customHeight="1">
      <c r="B110" s="407"/>
      <c r="C110" s="802">
        <v>37</v>
      </c>
      <c r="D110" s="802"/>
      <c r="E110" s="781">
        <f t="shared" si="4"/>
        <v>-788842.89330555324</v>
      </c>
      <c r="F110" s="781"/>
      <c r="G110" s="781">
        <f t="shared" si="5"/>
        <v>-293763.70049061457</v>
      </c>
      <c r="H110" s="781"/>
      <c r="I110" s="781">
        <f t="shared" si="6"/>
        <v>-495079.19281493867</v>
      </c>
      <c r="J110" s="781"/>
      <c r="K110" s="781">
        <f t="shared" si="7"/>
        <v>-14492864.709767437</v>
      </c>
      <c r="L110" s="781"/>
      <c r="M110" s="413"/>
    </row>
    <row r="111" spans="2:13" ht="18" customHeight="1">
      <c r="B111" s="407"/>
      <c r="C111" s="802">
        <v>38</v>
      </c>
      <c r="D111" s="802"/>
      <c r="E111" s="781">
        <f t="shared" si="4"/>
        <v>-788842.89330555324</v>
      </c>
      <c r="F111" s="781"/>
      <c r="G111" s="781">
        <f t="shared" si="5"/>
        <v>-284060.14831144176</v>
      </c>
      <c r="H111" s="781"/>
      <c r="I111" s="781">
        <f t="shared" si="6"/>
        <v>-504782.74499411148</v>
      </c>
      <c r="J111" s="781"/>
      <c r="K111" s="781">
        <f t="shared" si="7"/>
        <v>-13988081.964773325</v>
      </c>
      <c r="L111" s="781"/>
      <c r="M111" s="413"/>
    </row>
    <row r="112" spans="2:13" ht="18" customHeight="1">
      <c r="B112" s="407"/>
      <c r="C112" s="802">
        <v>39</v>
      </c>
      <c r="D112" s="802"/>
      <c r="E112" s="781">
        <f t="shared" si="4"/>
        <v>-788842.89330555324</v>
      </c>
      <c r="F112" s="781"/>
      <c r="G112" s="781">
        <f t="shared" si="5"/>
        <v>-274166.40650955716</v>
      </c>
      <c r="H112" s="781"/>
      <c r="I112" s="781">
        <f t="shared" si="6"/>
        <v>-514676.48679599608</v>
      </c>
      <c r="J112" s="781"/>
      <c r="K112" s="781">
        <f t="shared" si="7"/>
        <v>-13473405.47797733</v>
      </c>
      <c r="L112" s="781"/>
      <c r="M112" s="413"/>
    </row>
    <row r="113" spans="2:13" ht="18" customHeight="1">
      <c r="B113" s="407"/>
      <c r="C113" s="802">
        <v>40</v>
      </c>
      <c r="D113" s="802"/>
      <c r="E113" s="781">
        <f t="shared" si="4"/>
        <v>-788842.89330555324</v>
      </c>
      <c r="F113" s="781"/>
      <c r="G113" s="781">
        <f t="shared" si="5"/>
        <v>-264078.74736835563</v>
      </c>
      <c r="H113" s="781"/>
      <c r="I113" s="781">
        <f t="shared" si="6"/>
        <v>-524764.14593719761</v>
      </c>
      <c r="J113" s="781"/>
      <c r="K113" s="781">
        <f t="shared" si="7"/>
        <v>-12948641.332040133</v>
      </c>
      <c r="L113" s="781"/>
      <c r="M113" s="413"/>
    </row>
    <row r="114" spans="2:13" ht="18" customHeight="1">
      <c r="B114" s="407"/>
      <c r="C114" s="802">
        <v>41</v>
      </c>
      <c r="D114" s="802"/>
      <c r="E114" s="781">
        <f t="shared" si="4"/>
        <v>-788842.89330555324</v>
      </c>
      <c r="F114" s="781"/>
      <c r="G114" s="781">
        <f t="shared" si="5"/>
        <v>-253793.37010798659</v>
      </c>
      <c r="H114" s="781"/>
      <c r="I114" s="781">
        <f t="shared" si="6"/>
        <v>-535049.52319756662</v>
      </c>
      <c r="J114" s="781"/>
      <c r="K114" s="781">
        <f t="shared" si="7"/>
        <v>-12413591.808842566</v>
      </c>
      <c r="L114" s="781"/>
      <c r="M114" s="413"/>
    </row>
    <row r="115" spans="2:13" ht="18" customHeight="1">
      <c r="B115" s="407"/>
      <c r="C115" s="802">
        <v>42</v>
      </c>
      <c r="D115" s="802"/>
      <c r="E115" s="781">
        <f t="shared" si="4"/>
        <v>-788842.89330555324</v>
      </c>
      <c r="F115" s="781"/>
      <c r="G115" s="781">
        <f t="shared" si="5"/>
        <v>-243306.39945331428</v>
      </c>
      <c r="H115" s="781"/>
      <c r="I115" s="781">
        <f t="shared" si="6"/>
        <v>-545536.49385223899</v>
      </c>
      <c r="J115" s="781"/>
      <c r="K115" s="781">
        <f t="shared" si="7"/>
        <v>-11868055.314990327</v>
      </c>
      <c r="L115" s="781"/>
      <c r="M115" s="413"/>
    </row>
    <row r="116" spans="2:13" ht="18" customHeight="1">
      <c r="B116" s="407"/>
      <c r="C116" s="802">
        <v>43</v>
      </c>
      <c r="D116" s="802"/>
      <c r="E116" s="781">
        <f t="shared" si="4"/>
        <v>-788842.89330555324</v>
      </c>
      <c r="F116" s="781"/>
      <c r="G116" s="781">
        <f t="shared" si="5"/>
        <v>-232613.88417381039</v>
      </c>
      <c r="H116" s="781"/>
      <c r="I116" s="781">
        <f t="shared" si="6"/>
        <v>-556229.00913174287</v>
      </c>
      <c r="J116" s="781"/>
      <c r="K116" s="781">
        <f t="shared" si="7"/>
        <v>-11311826.305858584</v>
      </c>
      <c r="L116" s="781"/>
      <c r="M116" s="413"/>
    </row>
    <row r="117" spans="2:13" ht="18" customHeight="1">
      <c r="B117" s="407"/>
      <c r="C117" s="802">
        <v>44</v>
      </c>
      <c r="D117" s="802"/>
      <c r="E117" s="781">
        <f t="shared" si="4"/>
        <v>-788842.89330555324</v>
      </c>
      <c r="F117" s="781"/>
      <c r="G117" s="781">
        <f t="shared" si="5"/>
        <v>-221711.79559482823</v>
      </c>
      <c r="H117" s="781"/>
      <c r="I117" s="781">
        <f t="shared" si="6"/>
        <v>-567131.09771072504</v>
      </c>
      <c r="J117" s="781"/>
      <c r="K117" s="781">
        <f t="shared" si="7"/>
        <v>-10744695.208147859</v>
      </c>
      <c r="L117" s="781"/>
      <c r="M117" s="413"/>
    </row>
    <row r="118" spans="2:13" ht="18" customHeight="1">
      <c r="B118" s="407"/>
      <c r="C118" s="802">
        <v>45</v>
      </c>
      <c r="D118" s="802"/>
      <c r="E118" s="781">
        <f t="shared" si="4"/>
        <v>-788842.89330555324</v>
      </c>
      <c r="F118" s="781"/>
      <c r="G118" s="781">
        <f t="shared" si="5"/>
        <v>-210596.02607969803</v>
      </c>
      <c r="H118" s="781"/>
      <c r="I118" s="781">
        <f t="shared" si="6"/>
        <v>-578246.86722585524</v>
      </c>
      <c r="J118" s="781"/>
      <c r="K118" s="781">
        <f t="shared" si="7"/>
        <v>-10166448.340922004</v>
      </c>
      <c r="L118" s="781"/>
      <c r="M118" s="413"/>
    </row>
    <row r="119" spans="2:13" ht="18" customHeight="1">
      <c r="B119" s="407"/>
      <c r="C119" s="802">
        <v>46</v>
      </c>
      <c r="D119" s="802"/>
      <c r="E119" s="781">
        <f t="shared" si="4"/>
        <v>-788842.89330555324</v>
      </c>
      <c r="F119" s="781"/>
      <c r="G119" s="781">
        <f t="shared" si="5"/>
        <v>-199262.38748207127</v>
      </c>
      <c r="H119" s="781"/>
      <c r="I119" s="781">
        <f t="shared" si="6"/>
        <v>-589580.50582348194</v>
      </c>
      <c r="J119" s="781"/>
      <c r="K119" s="781">
        <f t="shared" si="7"/>
        <v>-9576867.8350985218</v>
      </c>
      <c r="L119" s="781"/>
      <c r="M119" s="413"/>
    </row>
    <row r="120" spans="2:13" ht="18" customHeight="1">
      <c r="B120" s="407"/>
      <c r="C120" s="802">
        <v>47</v>
      </c>
      <c r="D120" s="802"/>
      <c r="E120" s="781">
        <f t="shared" si="4"/>
        <v>-788842.89330555324</v>
      </c>
      <c r="F120" s="781"/>
      <c r="G120" s="781">
        <f t="shared" si="5"/>
        <v>-187706.60956793101</v>
      </c>
      <c r="H120" s="781"/>
      <c r="I120" s="781">
        <f t="shared" si="6"/>
        <v>-601136.2837376222</v>
      </c>
      <c r="J120" s="781"/>
      <c r="K120" s="781">
        <f t="shared" si="7"/>
        <v>-8975731.5513608996</v>
      </c>
      <c r="L120" s="781"/>
      <c r="M120" s="413"/>
    </row>
    <row r="121" spans="2:13" ht="18" customHeight="1">
      <c r="B121" s="407"/>
      <c r="C121" s="802">
        <v>48</v>
      </c>
      <c r="D121" s="802"/>
      <c r="E121" s="781">
        <f t="shared" si="4"/>
        <v>-788842.89330555324</v>
      </c>
      <c r="F121" s="781"/>
      <c r="G121" s="781">
        <f t="shared" si="5"/>
        <v>-175924.33840667363</v>
      </c>
      <c r="H121" s="781"/>
      <c r="I121" s="781">
        <f t="shared" si="6"/>
        <v>-612918.55489887961</v>
      </c>
      <c r="J121" s="781"/>
      <c r="K121" s="781">
        <f t="shared" si="7"/>
        <v>-8362812.9964620201</v>
      </c>
      <c r="L121" s="781"/>
      <c r="M121" s="413"/>
    </row>
    <row r="122" spans="2:13" ht="18" customHeight="1">
      <c r="B122" s="407"/>
      <c r="C122" s="802">
        <v>49</v>
      </c>
      <c r="D122" s="802"/>
      <c r="E122" s="781">
        <f t="shared" si="4"/>
        <v>-788842.89330555324</v>
      </c>
      <c r="F122" s="781"/>
      <c r="G122" s="781">
        <f t="shared" si="5"/>
        <v>-163911.13473065558</v>
      </c>
      <c r="H122" s="781"/>
      <c r="I122" s="781">
        <f t="shared" si="6"/>
        <v>-624931.75857489766</v>
      </c>
      <c r="J122" s="781"/>
      <c r="K122" s="781">
        <f t="shared" si="7"/>
        <v>-7737881.2378871227</v>
      </c>
      <c r="L122" s="781"/>
      <c r="M122" s="413"/>
    </row>
    <row r="123" spans="2:13" ht="18" customHeight="1">
      <c r="B123" s="407"/>
      <c r="C123" s="802">
        <v>50</v>
      </c>
      <c r="D123" s="802"/>
      <c r="E123" s="781">
        <f t="shared" si="4"/>
        <v>-788842.89330555324</v>
      </c>
      <c r="F123" s="781"/>
      <c r="G123" s="781">
        <f t="shared" si="5"/>
        <v>-151662.4722625876</v>
      </c>
      <c r="H123" s="781"/>
      <c r="I123" s="781">
        <f t="shared" si="6"/>
        <v>-637180.42104296561</v>
      </c>
      <c r="J123" s="781"/>
      <c r="K123" s="781">
        <f t="shared" si="7"/>
        <v>-7100700.8168441569</v>
      </c>
      <c r="L123" s="781"/>
      <c r="M123" s="413"/>
    </row>
    <row r="124" spans="2:13" ht="18" customHeight="1">
      <c r="B124" s="407"/>
      <c r="C124" s="802">
        <v>51</v>
      </c>
      <c r="D124" s="802"/>
      <c r="E124" s="781">
        <f t="shared" si="4"/>
        <v>-788842.89330555324</v>
      </c>
      <c r="F124" s="781"/>
      <c r="G124" s="781">
        <f t="shared" si="5"/>
        <v>-139173.73601014548</v>
      </c>
      <c r="H124" s="781"/>
      <c r="I124" s="781">
        <f t="shared" si="6"/>
        <v>-649669.15729540773</v>
      </c>
      <c r="J124" s="781"/>
      <c r="K124" s="781">
        <f t="shared" si="7"/>
        <v>-6451031.6595487492</v>
      </c>
      <c r="L124" s="781"/>
      <c r="M124" s="413"/>
    </row>
    <row r="125" spans="2:13" ht="18" customHeight="1">
      <c r="B125" s="407"/>
      <c r="C125" s="802">
        <v>52</v>
      </c>
      <c r="D125" s="802"/>
      <c r="E125" s="781">
        <f t="shared" si="4"/>
        <v>-788842.89330555324</v>
      </c>
      <c r="F125" s="781"/>
      <c r="G125" s="781">
        <f t="shared" si="5"/>
        <v>-126440.22052715548</v>
      </c>
      <c r="H125" s="781"/>
      <c r="I125" s="781">
        <f t="shared" si="6"/>
        <v>-662402.6727783978</v>
      </c>
      <c r="J125" s="781"/>
      <c r="K125" s="781">
        <f t="shared" si="7"/>
        <v>-5788628.9867703514</v>
      </c>
      <c r="L125" s="781"/>
      <c r="M125" s="413"/>
    </row>
    <row r="126" spans="2:13" ht="18" customHeight="1">
      <c r="B126" s="407"/>
      <c r="C126" s="802">
        <v>53</v>
      </c>
      <c r="D126" s="802"/>
      <c r="E126" s="781">
        <f t="shared" si="4"/>
        <v>-788842.89330555324</v>
      </c>
      <c r="F126" s="781"/>
      <c r="G126" s="781">
        <f t="shared" si="5"/>
        <v>-113457.12814069889</v>
      </c>
      <c r="H126" s="781"/>
      <c r="I126" s="781">
        <f t="shared" si="6"/>
        <v>-675385.76516485435</v>
      </c>
      <c r="J126" s="781"/>
      <c r="K126" s="781">
        <f t="shared" si="7"/>
        <v>-5113243.2216054974</v>
      </c>
      <c r="L126" s="781"/>
      <c r="M126" s="413"/>
    </row>
    <row r="127" spans="2:13" ht="18" customHeight="1">
      <c r="B127" s="407"/>
      <c r="C127" s="802">
        <v>54</v>
      </c>
      <c r="D127" s="802"/>
      <c r="E127" s="781">
        <f t="shared" si="4"/>
        <v>-788842.89330555324</v>
      </c>
      <c r="F127" s="781"/>
      <c r="G127" s="781">
        <f t="shared" si="5"/>
        <v>-100219.56714346775</v>
      </c>
      <c r="H127" s="781"/>
      <c r="I127" s="781">
        <f t="shared" si="6"/>
        <v>-688623.32616208552</v>
      </c>
      <c r="J127" s="781"/>
      <c r="K127" s="781">
        <f t="shared" si="7"/>
        <v>-4424619.8954434115</v>
      </c>
      <c r="L127" s="781"/>
      <c r="M127" s="413"/>
    </row>
    <row r="128" spans="2:13" ht="18" customHeight="1">
      <c r="B128" s="407"/>
      <c r="C128" s="802">
        <v>55</v>
      </c>
      <c r="D128" s="802"/>
      <c r="E128" s="781">
        <f t="shared" si="4"/>
        <v>-788842.89330555324</v>
      </c>
      <c r="F128" s="781"/>
      <c r="G128" s="781">
        <f t="shared" si="5"/>
        <v>-86722.549950690867</v>
      </c>
      <c r="H128" s="781"/>
      <c r="I128" s="781">
        <f t="shared" si="6"/>
        <v>-702120.34335486242</v>
      </c>
      <c r="J128" s="781"/>
      <c r="K128" s="781">
        <f t="shared" si="7"/>
        <v>-3722499.5520885494</v>
      </c>
      <c r="L128" s="781"/>
      <c r="M128" s="413"/>
    </row>
    <row r="129" spans="2:16" ht="18" customHeight="1">
      <c r="B129" s="407"/>
      <c r="C129" s="802">
        <v>56</v>
      </c>
      <c r="D129" s="802"/>
      <c r="E129" s="781">
        <f t="shared" si="4"/>
        <v>-788842.89330555324</v>
      </c>
      <c r="F129" s="781"/>
      <c r="G129" s="781">
        <f t="shared" si="5"/>
        <v>-72960.991220935568</v>
      </c>
      <c r="H129" s="781"/>
      <c r="I129" s="781">
        <f t="shared" si="6"/>
        <v>-715881.90208461764</v>
      </c>
      <c r="J129" s="781"/>
      <c r="K129" s="781">
        <f t="shared" si="7"/>
        <v>-3006617.6500039315</v>
      </c>
      <c r="L129" s="781"/>
      <c r="M129" s="413"/>
    </row>
    <row r="130" spans="2:16" ht="18" customHeight="1">
      <c r="B130" s="407"/>
      <c r="C130" s="802">
        <v>57</v>
      </c>
      <c r="D130" s="802"/>
      <c r="E130" s="781">
        <f t="shared" si="4"/>
        <v>-788842.89330555324</v>
      </c>
      <c r="F130" s="781"/>
      <c r="G130" s="781">
        <f t="shared" si="5"/>
        <v>-58929.705940077052</v>
      </c>
      <c r="H130" s="781"/>
      <c r="I130" s="781">
        <f t="shared" si="6"/>
        <v>-729913.18736547616</v>
      </c>
      <c r="J130" s="781"/>
      <c r="K130" s="781">
        <f t="shared" si="7"/>
        <v>-2276704.4626384554</v>
      </c>
      <c r="L130" s="781"/>
      <c r="M130" s="413"/>
    </row>
    <row r="131" spans="2:16" ht="18" customHeight="1">
      <c r="B131" s="407"/>
      <c r="C131" s="802">
        <v>58</v>
      </c>
      <c r="D131" s="802"/>
      <c r="E131" s="781">
        <f t="shared" si="4"/>
        <v>-788842.89330555324</v>
      </c>
      <c r="F131" s="781"/>
      <c r="G131" s="781">
        <f t="shared" si="5"/>
        <v>-44623.407467713725</v>
      </c>
      <c r="H131" s="781"/>
      <c r="I131" s="781">
        <f t="shared" si="6"/>
        <v>-744219.48583783954</v>
      </c>
      <c r="J131" s="781"/>
      <c r="K131" s="781">
        <f t="shared" si="7"/>
        <v>-1532484.9768006159</v>
      </c>
      <c r="L131" s="781"/>
      <c r="M131" s="413"/>
    </row>
    <row r="132" spans="2:16" ht="18" customHeight="1">
      <c r="B132" s="407"/>
      <c r="C132" s="802">
        <v>59</v>
      </c>
      <c r="D132" s="802"/>
      <c r="E132" s="781">
        <f t="shared" si="4"/>
        <v>-788842.89330555324</v>
      </c>
      <c r="F132" s="781"/>
      <c r="G132" s="781">
        <f t="shared" si="5"/>
        <v>-30036.705545292072</v>
      </c>
      <c r="H132" s="781"/>
      <c r="I132" s="781">
        <f t="shared" si="6"/>
        <v>-758806.18776026112</v>
      </c>
      <c r="J132" s="781"/>
      <c r="K132" s="781">
        <f t="shared" si="7"/>
        <v>-773678.78904035478</v>
      </c>
      <c r="L132" s="781"/>
      <c r="M132" s="413"/>
    </row>
    <row r="133" spans="2:16" ht="18" customHeight="1">
      <c r="B133" s="407"/>
      <c r="C133" s="802">
        <v>60</v>
      </c>
      <c r="D133" s="802"/>
      <c r="E133" s="781">
        <f t="shared" si="4"/>
        <v>-788842.89330555324</v>
      </c>
      <c r="F133" s="781"/>
      <c r="G133" s="781">
        <f t="shared" si="5"/>
        <v>-15164.104265190954</v>
      </c>
      <c r="H133" s="781"/>
      <c r="I133" s="781">
        <f t="shared" si="6"/>
        <v>-773678.78904036223</v>
      </c>
      <c r="J133" s="781"/>
      <c r="K133" s="781">
        <f t="shared" si="7"/>
        <v>7.4505805969238281E-9</v>
      </c>
      <c r="L133" s="781"/>
      <c r="M133" s="413"/>
    </row>
    <row r="134" spans="2:16" ht="15" customHeight="1">
      <c r="B134" s="407"/>
      <c r="C134" s="3"/>
      <c r="D134" s="3"/>
      <c r="E134" s="3"/>
      <c r="F134" s="3"/>
      <c r="G134" s="3"/>
      <c r="H134" s="3"/>
      <c r="I134" s="3"/>
      <c r="J134" s="3"/>
      <c r="K134" s="3"/>
      <c r="L134" s="3"/>
      <c r="M134" s="413"/>
    </row>
    <row r="135" spans="2:16" ht="15" customHeight="1">
      <c r="B135" s="407"/>
      <c r="C135" s="3"/>
      <c r="D135" s="3"/>
      <c r="E135" s="3"/>
      <c r="F135" s="3"/>
      <c r="G135" s="3"/>
      <c r="H135" s="3"/>
      <c r="I135" s="3"/>
      <c r="J135" s="3"/>
      <c r="K135" s="3"/>
      <c r="L135" s="3"/>
      <c r="M135" s="413"/>
    </row>
    <row r="136" spans="2:16" s="63" customFormat="1" ht="15" customHeight="1" thickBot="1">
      <c r="B136" s="376"/>
      <c r="C136" s="241"/>
      <c r="D136" s="241"/>
      <c r="E136" s="241"/>
      <c r="F136" s="241"/>
      <c r="G136" s="241"/>
      <c r="H136" s="241"/>
      <c r="I136" s="241"/>
      <c r="J136" s="241"/>
      <c r="K136" s="241"/>
      <c r="L136" s="241"/>
      <c r="M136" s="380"/>
    </row>
    <row r="137" spans="2:16" s="56" customFormat="1" ht="14.25" thickTop="1" thickBot="1">
      <c r="B137" s="269"/>
      <c r="C137" s="270"/>
      <c r="D137" s="270"/>
      <c r="E137" s="270"/>
      <c r="F137" s="270"/>
      <c r="G137" s="270"/>
      <c r="H137" s="270"/>
      <c r="I137" s="270"/>
      <c r="J137" s="270"/>
      <c r="K137" s="270"/>
      <c r="L137" s="270"/>
      <c r="M137" s="271"/>
      <c r="N137" s="201"/>
      <c r="O137" s="65"/>
      <c r="P137" s="65"/>
    </row>
    <row r="138" spans="2:16" ht="13.5" thickTop="1"/>
  </sheetData>
  <sheetProtection algorithmName="SHA-512" hashValue="unOu8jguRhLFdTN5kzWbNgiz+OoWhKwNlGi/w9CvMKG8cTg9SnAjvojqnEFALSp/9dYNeMcgSj4nicvFbpwXCg==" saltValue="6O8jljbfGd003J9Nv3bJAA==" spinCount="100000" sheet="1" objects="1" scenarios="1" selectLockedCells="1"/>
  <mergeCells count="438">
    <mergeCell ref="J47:K47"/>
    <mergeCell ref="J48:K48"/>
    <mergeCell ref="L48:M48"/>
    <mergeCell ref="B52:C52"/>
    <mergeCell ref="B53:C53"/>
    <mergeCell ref="D52:E52"/>
    <mergeCell ref="D53:E53"/>
    <mergeCell ref="F52:G52"/>
    <mergeCell ref="F53:G53"/>
    <mergeCell ref="H52:I52"/>
    <mergeCell ref="H53:I53"/>
    <mergeCell ref="J52:K52"/>
    <mergeCell ref="J53:K53"/>
    <mergeCell ref="L52:M52"/>
    <mergeCell ref="L53:M53"/>
    <mergeCell ref="C133:D133"/>
    <mergeCell ref="B43:C43"/>
    <mergeCell ref="B44:C44"/>
    <mergeCell ref="B45:C45"/>
    <mergeCell ref="B46:C46"/>
    <mergeCell ref="B47:C47"/>
    <mergeCell ref="B48:C48"/>
    <mergeCell ref="D43:E43"/>
    <mergeCell ref="D44:E44"/>
    <mergeCell ref="D45:E45"/>
    <mergeCell ref="D46:E46"/>
    <mergeCell ref="D47:E47"/>
    <mergeCell ref="D48:E48"/>
    <mergeCell ref="C128:D128"/>
    <mergeCell ref="C129:D129"/>
    <mergeCell ref="C130:D130"/>
    <mergeCell ref="C131:D131"/>
    <mergeCell ref="C132:D132"/>
    <mergeCell ref="C123:D123"/>
    <mergeCell ref="C124:D124"/>
    <mergeCell ref="C125:D125"/>
    <mergeCell ref="C126:D126"/>
    <mergeCell ref="C127:D127"/>
    <mergeCell ref="C118:D118"/>
    <mergeCell ref="C119:D119"/>
    <mergeCell ref="C120:D120"/>
    <mergeCell ref="C121:D121"/>
    <mergeCell ref="C122:D122"/>
    <mergeCell ref="C113:D113"/>
    <mergeCell ref="C114:D114"/>
    <mergeCell ref="C115:D115"/>
    <mergeCell ref="C116:D116"/>
    <mergeCell ref="C117:D117"/>
    <mergeCell ref="C108:D108"/>
    <mergeCell ref="C109:D109"/>
    <mergeCell ref="C110:D110"/>
    <mergeCell ref="C111:D111"/>
    <mergeCell ref="C112:D112"/>
    <mergeCell ref="C103:D103"/>
    <mergeCell ref="C104:D104"/>
    <mergeCell ref="C105:D105"/>
    <mergeCell ref="C106:D106"/>
    <mergeCell ref="C107:D107"/>
    <mergeCell ref="C98:D98"/>
    <mergeCell ref="C99:D99"/>
    <mergeCell ref="C100:D100"/>
    <mergeCell ref="C101:D101"/>
    <mergeCell ref="C102:D102"/>
    <mergeCell ref="C93:D93"/>
    <mergeCell ref="C94:D94"/>
    <mergeCell ref="C95:D95"/>
    <mergeCell ref="C96:D96"/>
    <mergeCell ref="C97:D97"/>
    <mergeCell ref="C88:D88"/>
    <mergeCell ref="C89:D89"/>
    <mergeCell ref="C90:D90"/>
    <mergeCell ref="C91:D91"/>
    <mergeCell ref="C92:D92"/>
    <mergeCell ref="C83:D83"/>
    <mergeCell ref="C84:D84"/>
    <mergeCell ref="C85:D85"/>
    <mergeCell ref="C86:D86"/>
    <mergeCell ref="C87:D87"/>
    <mergeCell ref="C78:D78"/>
    <mergeCell ref="C79:D79"/>
    <mergeCell ref="C80:D80"/>
    <mergeCell ref="C81:D81"/>
    <mergeCell ref="C82:D82"/>
    <mergeCell ref="C73:D73"/>
    <mergeCell ref="C74:D74"/>
    <mergeCell ref="C75:D75"/>
    <mergeCell ref="C76:D76"/>
    <mergeCell ref="C77:D77"/>
    <mergeCell ref="B41:M41"/>
    <mergeCell ref="B50:M50"/>
    <mergeCell ref="B58:M58"/>
    <mergeCell ref="F43:G43"/>
    <mergeCell ref="F44:G44"/>
    <mergeCell ref="F45:G45"/>
    <mergeCell ref="F46:G46"/>
    <mergeCell ref="F47:G47"/>
    <mergeCell ref="F48:G48"/>
    <mergeCell ref="H43:I43"/>
    <mergeCell ref="H44:I44"/>
    <mergeCell ref="H45:I45"/>
    <mergeCell ref="H46:I46"/>
    <mergeCell ref="H47:I47"/>
    <mergeCell ref="L43:M43"/>
    <mergeCell ref="L44:M44"/>
    <mergeCell ref="L45:M45"/>
    <mergeCell ref="L46:M46"/>
    <mergeCell ref="L47:M47"/>
    <mergeCell ref="H48:I48"/>
    <mergeCell ref="J43:K43"/>
    <mergeCell ref="J44:K44"/>
    <mergeCell ref="J45:K45"/>
    <mergeCell ref="J46:K46"/>
    <mergeCell ref="J29:K29"/>
    <mergeCell ref="J30:K30"/>
    <mergeCell ref="J31:K31"/>
    <mergeCell ref="F33:G33"/>
    <mergeCell ref="F34:G34"/>
    <mergeCell ref="F35:G35"/>
    <mergeCell ref="F36:G36"/>
    <mergeCell ref="F37:G37"/>
    <mergeCell ref="D33:E33"/>
    <mergeCell ref="D34:E34"/>
    <mergeCell ref="D35:E35"/>
    <mergeCell ref="D36:E36"/>
    <mergeCell ref="D37:E37"/>
    <mergeCell ref="J32:K32"/>
    <mergeCell ref="J33:K33"/>
    <mergeCell ref="J34:K34"/>
    <mergeCell ref="J35:K35"/>
    <mergeCell ref="J36:K36"/>
    <mergeCell ref="H33:I33"/>
    <mergeCell ref="H34:I34"/>
    <mergeCell ref="H35:I35"/>
    <mergeCell ref="H36:I36"/>
    <mergeCell ref="J37:K37"/>
    <mergeCell ref="H37:I37"/>
    <mergeCell ref="D29:E29"/>
    <mergeCell ref="D30:E30"/>
    <mergeCell ref="D31:E31"/>
    <mergeCell ref="D32:E32"/>
    <mergeCell ref="F29:G29"/>
    <mergeCell ref="F30:G30"/>
    <mergeCell ref="F31:G31"/>
    <mergeCell ref="F32:G32"/>
    <mergeCell ref="H29:I29"/>
    <mergeCell ref="H30:I30"/>
    <mergeCell ref="H31:I31"/>
    <mergeCell ref="H32:I32"/>
    <mergeCell ref="F26:G26"/>
    <mergeCell ref="F27:G27"/>
    <mergeCell ref="H22:I22"/>
    <mergeCell ref="H23:I23"/>
    <mergeCell ref="H24:I24"/>
    <mergeCell ref="H25:I25"/>
    <mergeCell ref="H26:I26"/>
    <mergeCell ref="H27:I27"/>
    <mergeCell ref="J27:K27"/>
    <mergeCell ref="D26:E26"/>
    <mergeCell ref="D27:E27"/>
    <mergeCell ref="F22:G22"/>
    <mergeCell ref="F23:G23"/>
    <mergeCell ref="F63:H63"/>
    <mergeCell ref="F64:H64"/>
    <mergeCell ref="F65:H65"/>
    <mergeCell ref="F67:H67"/>
    <mergeCell ref="B3:M3"/>
    <mergeCell ref="H5:K5"/>
    <mergeCell ref="H7:K7"/>
    <mergeCell ref="B10:M10"/>
    <mergeCell ref="B19:M19"/>
    <mergeCell ref="D22:E22"/>
    <mergeCell ref="D23:E23"/>
    <mergeCell ref="D24:E24"/>
    <mergeCell ref="D25:E25"/>
    <mergeCell ref="J22:K22"/>
    <mergeCell ref="J23:K23"/>
    <mergeCell ref="J24:K24"/>
    <mergeCell ref="J25:K25"/>
    <mergeCell ref="J26:K26"/>
    <mergeCell ref="F24:G24"/>
    <mergeCell ref="F25:G25"/>
    <mergeCell ref="F68:H68"/>
    <mergeCell ref="F69:H69"/>
    <mergeCell ref="F70:H70"/>
    <mergeCell ref="F71:H71"/>
    <mergeCell ref="I63:J63"/>
    <mergeCell ref="I64:J64"/>
    <mergeCell ref="I65:J65"/>
    <mergeCell ref="I67:J67"/>
    <mergeCell ref="I68:J68"/>
    <mergeCell ref="I69:J69"/>
    <mergeCell ref="I70:J70"/>
    <mergeCell ref="I71:J71"/>
    <mergeCell ref="E73:F73"/>
    <mergeCell ref="E74:F74"/>
    <mergeCell ref="E75:F75"/>
    <mergeCell ref="E76:F76"/>
    <mergeCell ref="E77:F77"/>
    <mergeCell ref="E78:F78"/>
    <mergeCell ref="E79:F79"/>
    <mergeCell ref="E80:F80"/>
    <mergeCell ref="E81:F81"/>
    <mergeCell ref="E82:F82"/>
    <mergeCell ref="E83:F83"/>
    <mergeCell ref="E84:F84"/>
    <mergeCell ref="E85:F85"/>
    <mergeCell ref="E86:F86"/>
    <mergeCell ref="E87:F87"/>
    <mergeCell ref="E88:F88"/>
    <mergeCell ref="E89:F89"/>
    <mergeCell ref="E90:F90"/>
    <mergeCell ref="E91:F91"/>
    <mergeCell ref="E92:F92"/>
    <mergeCell ref="E93:F93"/>
    <mergeCell ref="E94:F94"/>
    <mergeCell ref="E95:F95"/>
    <mergeCell ref="E96:F96"/>
    <mergeCell ref="E97:F97"/>
    <mergeCell ref="E98:F98"/>
    <mergeCell ref="E99:F99"/>
    <mergeCell ref="E100:F100"/>
    <mergeCell ref="E101:F101"/>
    <mergeCell ref="E102:F102"/>
    <mergeCell ref="E103:F103"/>
    <mergeCell ref="E104:F104"/>
    <mergeCell ref="E105:F105"/>
    <mergeCell ref="E106:F106"/>
    <mergeCell ref="E107:F107"/>
    <mergeCell ref="E108:F108"/>
    <mergeCell ref="E109:F109"/>
    <mergeCell ref="E110:F110"/>
    <mergeCell ref="E111:F111"/>
    <mergeCell ref="E112:F112"/>
    <mergeCell ref="E113:F113"/>
    <mergeCell ref="E114:F114"/>
    <mergeCell ref="E115:F115"/>
    <mergeCell ref="E116:F116"/>
    <mergeCell ref="E117:F117"/>
    <mergeCell ref="E118:F118"/>
    <mergeCell ref="E119:F119"/>
    <mergeCell ref="E120:F120"/>
    <mergeCell ref="E121:F121"/>
    <mergeCell ref="E122:F122"/>
    <mergeCell ref="E123:F123"/>
    <mergeCell ref="E124:F124"/>
    <mergeCell ref="E125:F125"/>
    <mergeCell ref="E126:F126"/>
    <mergeCell ref="E127:F127"/>
    <mergeCell ref="E128:F128"/>
    <mergeCell ref="E129:F129"/>
    <mergeCell ref="E130:F130"/>
    <mergeCell ref="E131:F131"/>
    <mergeCell ref="E132:F132"/>
    <mergeCell ref="E133:F133"/>
    <mergeCell ref="G73:H73"/>
    <mergeCell ref="G74:H74"/>
    <mergeCell ref="G75:H75"/>
    <mergeCell ref="G76:H76"/>
    <mergeCell ref="G77:H77"/>
    <mergeCell ref="G78:H78"/>
    <mergeCell ref="G79:H79"/>
    <mergeCell ref="G80:H80"/>
    <mergeCell ref="G81:H81"/>
    <mergeCell ref="G82:H82"/>
    <mergeCell ref="G83:H83"/>
    <mergeCell ref="G84:H84"/>
    <mergeCell ref="G85:H85"/>
    <mergeCell ref="G86:H86"/>
    <mergeCell ref="G87:H87"/>
    <mergeCell ref="G88:H88"/>
    <mergeCell ref="G89:H89"/>
    <mergeCell ref="G90:H90"/>
    <mergeCell ref="G91:H91"/>
    <mergeCell ref="G92:H92"/>
    <mergeCell ref="G93:H93"/>
    <mergeCell ref="G94:H94"/>
    <mergeCell ref="G95:H95"/>
    <mergeCell ref="G96:H96"/>
    <mergeCell ref="G97:H97"/>
    <mergeCell ref="G98:H98"/>
    <mergeCell ref="G99:H99"/>
    <mergeCell ref="G100:H100"/>
    <mergeCell ref="G101:H101"/>
    <mergeCell ref="G102:H102"/>
    <mergeCell ref="G103:H103"/>
    <mergeCell ref="G104:H104"/>
    <mergeCell ref="G105:H105"/>
    <mergeCell ref="G106:H106"/>
    <mergeCell ref="G107:H107"/>
    <mergeCell ref="G108:H108"/>
    <mergeCell ref="G109:H109"/>
    <mergeCell ref="G110:H110"/>
    <mergeCell ref="G111:H111"/>
    <mergeCell ref="G112:H112"/>
    <mergeCell ref="G113:H113"/>
    <mergeCell ref="G114:H114"/>
    <mergeCell ref="G115:H115"/>
    <mergeCell ref="G116:H116"/>
    <mergeCell ref="G117:H117"/>
    <mergeCell ref="G118:H118"/>
    <mergeCell ref="G119:H119"/>
    <mergeCell ref="G120:H120"/>
    <mergeCell ref="G121:H121"/>
    <mergeCell ref="G122:H122"/>
    <mergeCell ref="G123:H123"/>
    <mergeCell ref="G124:H124"/>
    <mergeCell ref="G125:H125"/>
    <mergeCell ref="G126:H126"/>
    <mergeCell ref="G127:H127"/>
    <mergeCell ref="G128:H128"/>
    <mergeCell ref="G129:H129"/>
    <mergeCell ref="G130:H130"/>
    <mergeCell ref="G131:H131"/>
    <mergeCell ref="G132:H132"/>
    <mergeCell ref="G133:H133"/>
    <mergeCell ref="I73:J73"/>
    <mergeCell ref="I74:J74"/>
    <mergeCell ref="I75:J75"/>
    <mergeCell ref="I76:J76"/>
    <mergeCell ref="I77:J77"/>
    <mergeCell ref="I78:J78"/>
    <mergeCell ref="I79:J79"/>
    <mergeCell ref="I80:J80"/>
    <mergeCell ref="I81:J81"/>
    <mergeCell ref="I82:J82"/>
    <mergeCell ref="I83:J83"/>
    <mergeCell ref="I84:J84"/>
    <mergeCell ref="I85:J85"/>
    <mergeCell ref="I86:J86"/>
    <mergeCell ref="I87:J87"/>
    <mergeCell ref="I88:J88"/>
    <mergeCell ref="I89:J89"/>
    <mergeCell ref="I90:J90"/>
    <mergeCell ref="I91:J91"/>
    <mergeCell ref="I92:J92"/>
    <mergeCell ref="I93:J93"/>
    <mergeCell ref="I94:J94"/>
    <mergeCell ref="I95:J95"/>
    <mergeCell ref="I96:J96"/>
    <mergeCell ref="I97:J97"/>
    <mergeCell ref="I98:J98"/>
    <mergeCell ref="I99:J99"/>
    <mergeCell ref="I100:J100"/>
    <mergeCell ref="I101:J101"/>
    <mergeCell ref="I102:J102"/>
    <mergeCell ref="I103:J103"/>
    <mergeCell ref="I104:J104"/>
    <mergeCell ref="I105:J105"/>
    <mergeCell ref="I106:J106"/>
    <mergeCell ref="I107:J107"/>
    <mergeCell ref="I108:J108"/>
    <mergeCell ref="I109:J109"/>
    <mergeCell ref="I110:J110"/>
    <mergeCell ref="I111:J111"/>
    <mergeCell ref="I112:J112"/>
    <mergeCell ref="I113:J113"/>
    <mergeCell ref="I114:J114"/>
    <mergeCell ref="I115:J115"/>
    <mergeCell ref="I116:J116"/>
    <mergeCell ref="I117:J117"/>
    <mergeCell ref="I118:J118"/>
    <mergeCell ref="I119:J119"/>
    <mergeCell ref="I120:J120"/>
    <mergeCell ref="I121:J121"/>
    <mergeCell ref="I122:J122"/>
    <mergeCell ref="I123:J123"/>
    <mergeCell ref="I124:J124"/>
    <mergeCell ref="I125:J125"/>
    <mergeCell ref="I126:J126"/>
    <mergeCell ref="I127:J127"/>
    <mergeCell ref="I128:J128"/>
    <mergeCell ref="I129:J129"/>
    <mergeCell ref="I130:J130"/>
    <mergeCell ref="I131:J131"/>
    <mergeCell ref="I132:J132"/>
    <mergeCell ref="I133:J133"/>
    <mergeCell ref="K73:L73"/>
    <mergeCell ref="K74:L74"/>
    <mergeCell ref="K75:L75"/>
    <mergeCell ref="K76:L76"/>
    <mergeCell ref="K77:L77"/>
    <mergeCell ref="K78:L78"/>
    <mergeCell ref="K79:L79"/>
    <mergeCell ref="K80:L80"/>
    <mergeCell ref="K81:L81"/>
    <mergeCell ref="K82:L82"/>
    <mergeCell ref="K83:L83"/>
    <mergeCell ref="K84:L84"/>
    <mergeCell ref="K85:L85"/>
    <mergeCell ref="K86:L86"/>
    <mergeCell ref="K87:L87"/>
    <mergeCell ref="K88:L88"/>
    <mergeCell ref="K89:L89"/>
    <mergeCell ref="K90:L90"/>
    <mergeCell ref="K91:L91"/>
    <mergeCell ref="K92:L92"/>
    <mergeCell ref="K93:L93"/>
    <mergeCell ref="K94:L94"/>
    <mergeCell ref="K95:L95"/>
    <mergeCell ref="K96:L96"/>
    <mergeCell ref="K97:L97"/>
    <mergeCell ref="K98:L98"/>
    <mergeCell ref="K99:L99"/>
    <mergeCell ref="K116:L116"/>
    <mergeCell ref="K117:L117"/>
    <mergeCell ref="K100:L100"/>
    <mergeCell ref="K101:L101"/>
    <mergeCell ref="K102:L102"/>
    <mergeCell ref="K103:L103"/>
    <mergeCell ref="K104:L104"/>
    <mergeCell ref="K105:L105"/>
    <mergeCell ref="K106:L106"/>
    <mergeCell ref="K107:L107"/>
    <mergeCell ref="K108:L108"/>
    <mergeCell ref="K127:L127"/>
    <mergeCell ref="K128:L128"/>
    <mergeCell ref="K129:L129"/>
    <mergeCell ref="K130:L130"/>
    <mergeCell ref="K131:L131"/>
    <mergeCell ref="K132:L132"/>
    <mergeCell ref="K133:L133"/>
    <mergeCell ref="F61:J61"/>
    <mergeCell ref="K118:L118"/>
    <mergeCell ref="K119:L119"/>
    <mergeCell ref="K120:L120"/>
    <mergeCell ref="K121:L121"/>
    <mergeCell ref="K122:L122"/>
    <mergeCell ref="K123:L123"/>
    <mergeCell ref="K124:L124"/>
    <mergeCell ref="K125:L125"/>
    <mergeCell ref="K126:L126"/>
    <mergeCell ref="K109:L109"/>
    <mergeCell ref="K110:L110"/>
    <mergeCell ref="K111:L111"/>
    <mergeCell ref="K112:L112"/>
    <mergeCell ref="K113:L113"/>
    <mergeCell ref="K114:L114"/>
    <mergeCell ref="K115:L115"/>
  </mergeCells>
  <phoneticPr fontId="0" type="noConversion"/>
  <pageMargins left="0.69" right="0.75" top="0.96" bottom="1" header="0" footer="0"/>
  <pageSetup scale="53" orientation="landscape" verticalDpi="300" r:id="rId1"/>
  <headerFooter alignWithMargins="0"/>
  <rowBreaks count="2" manualBreakCount="2">
    <brk id="37" max="16383" man="1"/>
    <brk id="122" max="16383" man="1"/>
  </rowBreaks>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0">
    <pageSetUpPr autoPageBreaks="0"/>
  </sheetPr>
  <dimension ref="A1:N41"/>
  <sheetViews>
    <sheetView showGridLines="0" showRowColHeaders="0" showZeros="0" zoomScaleNormal="100" workbookViewId="0"/>
  </sheetViews>
  <sheetFormatPr baseColWidth="10" defaultColWidth="0" defaultRowHeight="12" zeroHeight="1"/>
  <cols>
    <col min="1" max="1" width="2.28515625" style="23" customWidth="1"/>
    <col min="2" max="11" width="17.140625" style="23" customWidth="1"/>
    <col min="12" max="12" width="11.42578125" style="23" customWidth="1"/>
    <col min="13" max="14" width="0" style="23" hidden="1" customWidth="1"/>
    <col min="15" max="16384" width="11.42578125" style="23" hidden="1"/>
  </cols>
  <sheetData>
    <row r="1" spans="1:13" s="63" customFormat="1" ht="13.5" thickBot="1">
      <c r="A1" s="246"/>
      <c r="B1" s="56"/>
      <c r="C1" s="56"/>
      <c r="D1" s="56"/>
      <c r="E1" s="56"/>
      <c r="G1" s="56"/>
      <c r="H1" s="56"/>
      <c r="I1" s="56"/>
      <c r="J1" s="56"/>
    </row>
    <row r="2" spans="1:13" s="63" customFormat="1" ht="7.5" customHeight="1" thickTop="1">
      <c r="A2" s="56"/>
      <c r="B2" s="37"/>
      <c r="C2" s="233"/>
      <c r="D2" s="233"/>
      <c r="E2" s="233"/>
      <c r="F2" s="233"/>
      <c r="G2" s="233"/>
      <c r="H2" s="233"/>
      <c r="I2" s="233"/>
      <c r="J2" s="233"/>
      <c r="K2" s="234"/>
      <c r="L2" s="56"/>
      <c r="M2" s="64"/>
    </row>
    <row r="3" spans="1:13" s="63" customFormat="1" ht="20.25">
      <c r="A3" s="56"/>
      <c r="B3" s="618" t="s">
        <v>2720</v>
      </c>
      <c r="C3" s="619"/>
      <c r="D3" s="619"/>
      <c r="E3" s="619"/>
      <c r="F3" s="619"/>
      <c r="G3" s="619"/>
      <c r="H3" s="619"/>
      <c r="I3" s="619"/>
      <c r="J3" s="619"/>
      <c r="K3" s="620"/>
      <c r="L3" s="56"/>
      <c r="M3" s="64"/>
    </row>
    <row r="4" spans="1:13" s="63" customFormat="1" ht="13.5" thickBot="1">
      <c r="A4" s="56"/>
      <c r="B4" s="201"/>
      <c r="C4" s="65"/>
      <c r="D4" s="65"/>
      <c r="E4" s="65"/>
      <c r="F4" s="65"/>
      <c r="G4" s="65"/>
      <c r="H4" s="65"/>
      <c r="I4" s="65"/>
      <c r="J4" s="65"/>
      <c r="K4" s="274"/>
      <c r="L4" s="56"/>
      <c r="M4" s="64"/>
    </row>
    <row r="5" spans="1:13" s="63" customFormat="1" ht="14.25" thickTop="1" thickBot="1">
      <c r="B5" s="210"/>
      <c r="C5" s="393" t="s">
        <v>2579</v>
      </c>
      <c r="D5" s="393"/>
      <c r="E5" s="393"/>
      <c r="F5" s="280"/>
      <c r="G5" s="621" t="str">
        <f>+'1-Datos Generales'!$H$5</f>
        <v>SEGI</v>
      </c>
      <c r="H5" s="622"/>
      <c r="I5" s="622"/>
      <c r="J5" s="623"/>
      <c r="K5" s="202"/>
      <c r="M5" s="64"/>
    </row>
    <row r="6" spans="1:13" s="56" customFormat="1" ht="4.5" customHeight="1" thickTop="1" thickBot="1">
      <c r="B6" s="201" t="s">
        <v>212</v>
      </c>
      <c r="C6" s="65"/>
      <c r="D6" s="65" t="s">
        <v>7</v>
      </c>
      <c r="E6" s="196"/>
      <c r="F6" s="196"/>
      <c r="G6" s="196"/>
      <c r="H6" s="65"/>
      <c r="I6" s="65"/>
      <c r="J6" s="65"/>
      <c r="K6" s="202"/>
      <c r="L6" s="65"/>
      <c r="M6" s="65"/>
    </row>
    <row r="7" spans="1:13" s="63" customFormat="1" ht="14.25" thickTop="1" thickBot="1">
      <c r="B7" s="210"/>
      <c r="C7" s="393" t="s">
        <v>2576</v>
      </c>
      <c r="D7" s="393"/>
      <c r="E7" s="393"/>
      <c r="F7" s="280"/>
      <c r="G7" s="621">
        <f>+'1-Datos Generales'!$D$11</f>
        <v>0</v>
      </c>
      <c r="H7" s="622"/>
      <c r="I7" s="622"/>
      <c r="J7" s="623"/>
      <c r="K7" s="202"/>
      <c r="M7" s="64"/>
    </row>
    <row r="8" spans="1:13" s="2" customFormat="1" ht="13.5" thickTop="1">
      <c r="B8" s="391"/>
      <c r="C8" s="47"/>
      <c r="D8" s="47"/>
      <c r="E8" s="47"/>
      <c r="F8" s="47"/>
      <c r="G8" s="47"/>
      <c r="H8" s="47"/>
      <c r="I8" s="78"/>
      <c r="J8" s="78"/>
      <c r="K8" s="392"/>
      <c r="L8" s="76"/>
    </row>
    <row r="9" spans="1:13" s="56" customFormat="1" ht="4.5" customHeight="1" thickBot="1">
      <c r="B9" s="201" t="s">
        <v>212</v>
      </c>
      <c r="C9" s="65" t="s">
        <v>7</v>
      </c>
      <c r="D9" s="196"/>
      <c r="E9" s="196"/>
      <c r="F9" s="196"/>
      <c r="G9" s="65"/>
      <c r="H9" s="65"/>
      <c r="I9" s="65"/>
      <c r="J9" s="65"/>
      <c r="K9" s="202"/>
      <c r="L9" s="65"/>
      <c r="M9" s="65"/>
    </row>
    <row r="10" spans="1:13" s="56" customFormat="1" ht="25.5" customHeight="1" thickBot="1">
      <c r="B10" s="765" t="s">
        <v>80</v>
      </c>
      <c r="C10" s="766"/>
      <c r="D10" s="766"/>
      <c r="E10" s="766"/>
      <c r="F10" s="766"/>
      <c r="G10" s="766"/>
      <c r="H10" s="766"/>
      <c r="I10" s="766"/>
      <c r="J10" s="766"/>
      <c r="K10" s="767"/>
    </row>
    <row r="11" spans="1:13">
      <c r="B11" s="430"/>
      <c r="F11" s="27"/>
      <c r="H11" s="79"/>
      <c r="I11" s="79"/>
      <c r="J11" s="79"/>
      <c r="K11" s="443"/>
    </row>
    <row r="12" spans="1:13" ht="30" customHeight="1">
      <c r="B12" s="430"/>
      <c r="C12" s="783" t="s">
        <v>2637</v>
      </c>
      <c r="D12" s="783"/>
      <c r="E12" s="783"/>
      <c r="F12" s="436" t="s">
        <v>78</v>
      </c>
      <c r="G12" s="436" t="s">
        <v>79</v>
      </c>
      <c r="H12" s="436" t="s">
        <v>60</v>
      </c>
      <c r="I12" s="436" t="s">
        <v>61</v>
      </c>
      <c r="J12" s="436" t="s">
        <v>62</v>
      </c>
      <c r="K12" s="444"/>
      <c r="L12" s="79"/>
      <c r="M12" s="79"/>
    </row>
    <row r="13" spans="1:13" s="24" customFormat="1" ht="18" customHeight="1">
      <c r="B13" s="447"/>
      <c r="C13" s="811" t="s">
        <v>11</v>
      </c>
      <c r="D13" s="811"/>
      <c r="E13" s="811"/>
      <c r="F13" s="437">
        <f>+'Salida-1-Pto ingresos-insumos'!E29</f>
        <v>170000000</v>
      </c>
      <c r="G13" s="437">
        <f>+'Salida-1-Pto ingresos-insumos'!H29</f>
        <v>175100000</v>
      </c>
      <c r="H13" s="437">
        <f>+'Salida-1-Pto ingresos-insumos'!K29</f>
        <v>180353000</v>
      </c>
      <c r="I13" s="437">
        <f>+'Salida-1-Pto ingresos-insumos'!N29</f>
        <v>185763590</v>
      </c>
      <c r="J13" s="437">
        <f>+'Salida-1-Pto ingresos-insumos'!Q29</f>
        <v>191336497.69999999</v>
      </c>
      <c r="K13" s="445"/>
      <c r="L13" s="82"/>
      <c r="M13" s="82"/>
    </row>
    <row r="14" spans="1:13" s="24" customFormat="1" ht="18" customHeight="1">
      <c r="B14" s="447"/>
      <c r="C14" s="811" t="s">
        <v>90</v>
      </c>
      <c r="D14" s="811"/>
      <c r="E14" s="811"/>
      <c r="F14" s="437">
        <f>+'Salida-1-Pto ingresos-insumos'!D29</f>
        <v>0</v>
      </c>
      <c r="G14" s="437">
        <f>+'Salida-1-Pto ingresos-insumos'!G29</f>
        <v>0</v>
      </c>
      <c r="H14" s="437">
        <f>+'Salida-1-Pto ingresos-insumos'!J29</f>
        <v>0</v>
      </c>
      <c r="I14" s="437">
        <f>+'Salida-1-Pto ingresos-insumos'!M29</f>
        <v>0</v>
      </c>
      <c r="J14" s="437">
        <f>+'Salida-1-Pto ingresos-insumos'!P29</f>
        <v>0</v>
      </c>
      <c r="K14" s="445"/>
      <c r="L14" s="82"/>
      <c r="M14" s="82"/>
    </row>
    <row r="15" spans="1:13" s="24" customFormat="1" ht="18" customHeight="1">
      <c r="B15" s="447"/>
      <c r="C15" s="811" t="s">
        <v>91</v>
      </c>
      <c r="D15" s="811"/>
      <c r="E15" s="811"/>
      <c r="F15" s="437">
        <f>+'Salida-3-Plan de Inversión'!D48</f>
        <v>5032206</v>
      </c>
      <c r="G15" s="437">
        <f>+'Salida-3-Plan de Inversión'!F48</f>
        <v>5032206</v>
      </c>
      <c r="H15" s="437">
        <f>+'Salida-3-Plan de Inversión'!H48</f>
        <v>5032206</v>
      </c>
      <c r="I15" s="437">
        <f>+'Salida-3-Plan de Inversión'!J48</f>
        <v>105000</v>
      </c>
      <c r="J15" s="437">
        <f>+'Salida-3-Plan de Inversión'!L48</f>
        <v>105000</v>
      </c>
      <c r="K15" s="446"/>
      <c r="L15" s="82"/>
      <c r="M15" s="82"/>
    </row>
    <row r="16" spans="1:13" s="24" customFormat="1" ht="18" customHeight="1">
      <c r="B16" s="447"/>
      <c r="C16" s="811" t="s">
        <v>92</v>
      </c>
      <c r="D16" s="811"/>
      <c r="E16" s="811"/>
      <c r="F16" s="437">
        <f>+'Salida-2-Pto Costos y Gastos'!E57</f>
        <v>10344000</v>
      </c>
      <c r="G16" s="437">
        <f>+'Salida-2-Pto Costos y Gastos'!G57</f>
        <v>10654320</v>
      </c>
      <c r="H16" s="437">
        <f>+'Salida-2-Pto Costos y Gastos'!I57</f>
        <v>10973949.6</v>
      </c>
      <c r="I16" s="437">
        <f>+'Salida-2-Pto Costos y Gastos'!K57</f>
        <v>11303168.088</v>
      </c>
      <c r="J16" s="437">
        <f>+'Salida-2-Pto Costos y Gastos'!M57</f>
        <v>11642263.13064</v>
      </c>
      <c r="K16" s="446"/>
      <c r="L16" s="82"/>
      <c r="M16" s="82"/>
    </row>
    <row r="17" spans="2:13" s="24" customFormat="1" ht="18" customHeight="1">
      <c r="B17" s="447"/>
      <c r="C17" s="811" t="s">
        <v>2639</v>
      </c>
      <c r="D17" s="811"/>
      <c r="E17" s="811"/>
      <c r="F17" s="437">
        <f>+'Salida-2-Pto Costos y Gastos'!E29</f>
        <v>40831337.594122559</v>
      </c>
      <c r="G17" s="437">
        <f>+'Salida-2-Pto Costos y Gastos'!G29</f>
        <v>42056277.721946232</v>
      </c>
      <c r="H17" s="437">
        <f>+'Salida-2-Pto Costos y Gastos'!I29</f>
        <v>43317966.053604633</v>
      </c>
      <c r="I17" s="437">
        <f>+'Salida-2-Pto Costos y Gastos'!K29</f>
        <v>44617505.035212763</v>
      </c>
      <c r="J17" s="437">
        <f>+'Salida-2-Pto Costos y Gastos'!M29</f>
        <v>45956030.186269157</v>
      </c>
      <c r="K17" s="446"/>
      <c r="L17" s="82"/>
      <c r="M17" s="82"/>
    </row>
    <row r="18" spans="2:13" s="24" customFormat="1" ht="25.5" customHeight="1">
      <c r="B18" s="447"/>
      <c r="C18" s="812" t="s">
        <v>2721</v>
      </c>
      <c r="D18" s="812"/>
      <c r="E18" s="812"/>
      <c r="F18" s="438">
        <f>SUM(F14:F17)</f>
        <v>56207543.594122559</v>
      </c>
      <c r="G18" s="438">
        <f>SUM(G14:G17)</f>
        <v>57742803.721946232</v>
      </c>
      <c r="H18" s="438">
        <f>SUM(H14:H17)</f>
        <v>59324121.653604634</v>
      </c>
      <c r="I18" s="438">
        <f>SUM(I14:I17)</f>
        <v>56025673.123212762</v>
      </c>
      <c r="J18" s="438">
        <f>SUM(J14:J17)</f>
        <v>57703293.316909157</v>
      </c>
      <c r="K18" s="446"/>
      <c r="L18" s="82">
        <f>32316573*30</f>
        <v>969497190</v>
      </c>
      <c r="M18" s="82"/>
    </row>
    <row r="19" spans="2:13" s="24" customFormat="1" ht="25.5" customHeight="1">
      <c r="B19" s="447"/>
      <c r="C19" s="809" t="s">
        <v>2722</v>
      </c>
      <c r="D19" s="809"/>
      <c r="E19" s="809"/>
      <c r="F19" s="439">
        <f>+F13-F18</f>
        <v>113792456.40587744</v>
      </c>
      <c r="G19" s="439">
        <f>+G13-G18</f>
        <v>117357196.27805376</v>
      </c>
      <c r="H19" s="439">
        <f>+H13-H18</f>
        <v>121028878.34639537</v>
      </c>
      <c r="I19" s="439">
        <f>+I13-I18</f>
        <v>129737916.87678725</v>
      </c>
      <c r="J19" s="439">
        <f>+J13-J18</f>
        <v>133633204.38309082</v>
      </c>
      <c r="K19" s="446"/>
      <c r="L19" s="82">
        <f>+L18/360</f>
        <v>2693047.75</v>
      </c>
      <c r="M19" s="82"/>
    </row>
    <row r="20" spans="2:13" s="24" customFormat="1" ht="18" customHeight="1">
      <c r="B20" s="447"/>
      <c r="C20" s="811" t="s">
        <v>2656</v>
      </c>
      <c r="D20" s="811"/>
      <c r="E20" s="811"/>
      <c r="F20" s="440">
        <f>+'Salida-2-Pto Costos y Gastos'!E39</f>
        <v>0</v>
      </c>
      <c r="G20" s="440">
        <f>+'Salida-2-Pto Costos y Gastos'!G39</f>
        <v>0</v>
      </c>
      <c r="H20" s="440">
        <f>+'Salida-2-Pto Costos y Gastos'!I39</f>
        <v>0</v>
      </c>
      <c r="I20" s="440">
        <f>+'Salida-2-Pto Costos y Gastos'!K39</f>
        <v>0</v>
      </c>
      <c r="J20" s="440">
        <f>+'Salida-2-Pto Costos y Gastos'!M39</f>
        <v>0</v>
      </c>
      <c r="K20" s="446"/>
      <c r="L20" s="82"/>
      <c r="M20" s="82"/>
    </row>
    <row r="21" spans="2:13" s="24" customFormat="1" ht="18" customHeight="1">
      <c r="B21" s="447"/>
      <c r="C21" s="811" t="s">
        <v>93</v>
      </c>
      <c r="D21" s="811"/>
      <c r="E21" s="811"/>
      <c r="F21" s="440">
        <f>+'Salida-2-Pto Costos y Gastos'!E58</f>
        <v>0</v>
      </c>
      <c r="G21" s="440">
        <f>+'Salida-2-Pto Costos y Gastos'!G58</f>
        <v>0</v>
      </c>
      <c r="H21" s="440">
        <f>+'Salida-2-Pto Costos y Gastos'!I58</f>
        <v>0</v>
      </c>
      <c r="I21" s="440">
        <f>+'Salida-2-Pto Costos y Gastos'!K58</f>
        <v>0</v>
      </c>
      <c r="J21" s="440">
        <f>+'Salida-2-Pto Costos y Gastos'!M58</f>
        <v>0</v>
      </c>
      <c r="K21" s="446"/>
      <c r="L21" s="82"/>
      <c r="M21" s="82"/>
    </row>
    <row r="22" spans="2:13" s="24" customFormat="1" ht="18" customHeight="1">
      <c r="B22" s="447"/>
      <c r="C22" s="811" t="s">
        <v>2657</v>
      </c>
      <c r="D22" s="811"/>
      <c r="E22" s="811"/>
      <c r="F22" s="440">
        <f>+'Salida-2-Pto Costos y Gastos'!E49</f>
        <v>0</v>
      </c>
      <c r="G22" s="440">
        <f>+'Salida-2-Pto Costos y Gastos'!G49</f>
        <v>0</v>
      </c>
      <c r="H22" s="440">
        <f>+'Salida-2-Pto Costos y Gastos'!I49</f>
        <v>0</v>
      </c>
      <c r="I22" s="440">
        <f>+'Salida-2-Pto Costos y Gastos'!K49</f>
        <v>0</v>
      </c>
      <c r="J22" s="440">
        <f>+'Salida-2-Pto Costos y Gastos'!M49</f>
        <v>0</v>
      </c>
      <c r="K22" s="446"/>
      <c r="L22" s="82"/>
      <c r="M22" s="82"/>
    </row>
    <row r="23" spans="2:13" s="24" customFormat="1" ht="18" customHeight="1">
      <c r="B23" s="447"/>
      <c r="C23" s="811" t="s">
        <v>94</v>
      </c>
      <c r="D23" s="811"/>
      <c r="E23" s="811"/>
      <c r="F23" s="440">
        <f>+'Salida-2-Pto Costos y Gastos'!E59</f>
        <v>0</v>
      </c>
      <c r="G23" s="440">
        <f>+'Salida-2-Pto Costos y Gastos'!G59</f>
        <v>0</v>
      </c>
      <c r="H23" s="440">
        <f>+'Salida-2-Pto Costos y Gastos'!I59</f>
        <v>0</v>
      </c>
      <c r="I23" s="440">
        <f>+'Salida-2-Pto Costos y Gastos'!K59</f>
        <v>0</v>
      </c>
      <c r="J23" s="440">
        <f>+'Salida-2-Pto Costos y Gastos'!M59</f>
        <v>0</v>
      </c>
      <c r="K23" s="446">
        <f>+F23+F16</f>
        <v>10344000</v>
      </c>
      <c r="L23" s="82"/>
      <c r="M23" s="82"/>
    </row>
    <row r="24" spans="2:13" s="24" customFormat="1" ht="18" customHeight="1">
      <c r="B24" s="447"/>
      <c r="C24" s="811" t="s">
        <v>114</v>
      </c>
      <c r="D24" s="811"/>
      <c r="E24" s="811"/>
      <c r="F24" s="440">
        <f>+'Salida-3-Plan de Inversión'!D53</f>
        <v>0</v>
      </c>
      <c r="G24" s="440">
        <f>+'Salida-3-Plan de Inversión'!F53</f>
        <v>0</v>
      </c>
      <c r="H24" s="440">
        <f>+'Salida-3-Plan de Inversión'!H53</f>
        <v>0</v>
      </c>
      <c r="I24" s="440">
        <f>+'Salida-3-Plan de Inversión'!J53</f>
        <v>0</v>
      </c>
      <c r="J24" s="440">
        <f>+'Salida-3-Plan de Inversión'!L53</f>
        <v>0</v>
      </c>
      <c r="K24" s="446"/>
      <c r="L24" s="82"/>
      <c r="M24" s="82"/>
    </row>
    <row r="25" spans="2:13" s="24" customFormat="1" ht="25.5" customHeight="1">
      <c r="B25" s="447"/>
      <c r="C25" s="813" t="s">
        <v>2723</v>
      </c>
      <c r="D25" s="813"/>
      <c r="E25" s="813"/>
      <c r="F25" s="438">
        <f>SUM(F20:F24)</f>
        <v>0</v>
      </c>
      <c r="G25" s="438">
        <f>SUM(G20:G24)</f>
        <v>0</v>
      </c>
      <c r="H25" s="438">
        <f>SUM(H20:H24)</f>
        <v>0</v>
      </c>
      <c r="I25" s="438">
        <f>SUM(I20:I24)</f>
        <v>0</v>
      </c>
      <c r="J25" s="438">
        <f>SUM(J20:J24)</f>
        <v>0</v>
      </c>
      <c r="K25" s="446"/>
      <c r="L25" s="82"/>
      <c r="M25" s="82"/>
    </row>
    <row r="26" spans="2:13" s="24" customFormat="1" ht="25.5" customHeight="1">
      <c r="B26" s="447"/>
      <c r="C26" s="809" t="s">
        <v>2724</v>
      </c>
      <c r="D26" s="809"/>
      <c r="E26" s="809"/>
      <c r="F26" s="439">
        <f>+F19-F25</f>
        <v>113792456.40587744</v>
      </c>
      <c r="G26" s="439">
        <f>+G19-G25</f>
        <v>117357196.27805376</v>
      </c>
      <c r="H26" s="439">
        <f>+H19-H25</f>
        <v>121028878.34639537</v>
      </c>
      <c r="I26" s="439">
        <f>+I19-I25</f>
        <v>129737916.87678725</v>
      </c>
      <c r="J26" s="439">
        <f>+J19-J25</f>
        <v>133633204.38309082</v>
      </c>
      <c r="K26" s="446"/>
      <c r="L26" s="82"/>
      <c r="M26" s="82"/>
    </row>
    <row r="27" spans="2:13" s="24" customFormat="1" ht="18" customHeight="1">
      <c r="B27" s="447"/>
      <c r="C27" s="811" t="s">
        <v>95</v>
      </c>
      <c r="D27" s="811"/>
      <c r="E27" s="811"/>
      <c r="F27" s="437">
        <f>SUM('Salida-3-Plan de Inversión'!G74:G85)</f>
        <v>-6172136.6819353169</v>
      </c>
      <c r="G27" s="437">
        <f>SUM('Salida-3-Plan de Inversión'!G86:G97)</f>
        <v>-5308170.864013629</v>
      </c>
      <c r="H27" s="437">
        <f>SUM('Salida-3-Plan de Inversión'!G98:G109)</f>
        <v>-4217598.5156333512</v>
      </c>
      <c r="I27" s="437">
        <f>SUM('Salida-3-Plan de Inversión'!G110:G121)</f>
        <v>-2840983.8135462827</v>
      </c>
      <c r="J27" s="437">
        <f>SUM('Salida-3-Plan de Inversión'!I110:I121)</f>
        <v>-6625130.9061203562</v>
      </c>
      <c r="K27" s="446"/>
      <c r="L27" s="82"/>
      <c r="M27" s="82"/>
    </row>
    <row r="28" spans="2:13" s="24" customFormat="1" ht="18" customHeight="1">
      <c r="B28" s="447"/>
      <c r="C28" s="811" t="s">
        <v>96</v>
      </c>
      <c r="D28" s="811"/>
      <c r="E28" s="811"/>
      <c r="F28" s="437"/>
      <c r="G28" s="437"/>
      <c r="H28" s="437"/>
      <c r="I28" s="437"/>
      <c r="J28" s="437"/>
      <c r="K28" s="446"/>
      <c r="L28" s="82"/>
      <c r="M28" s="82"/>
    </row>
    <row r="29" spans="2:13" s="24" customFormat="1" ht="25.5" customHeight="1">
      <c r="B29" s="447"/>
      <c r="C29" s="812" t="s">
        <v>2725</v>
      </c>
      <c r="D29" s="812"/>
      <c r="E29" s="812"/>
      <c r="F29" s="438">
        <f>SUM(F27:F28)</f>
        <v>-6172136.6819353169</v>
      </c>
      <c r="G29" s="438">
        <f>SUM(G27:G28)</f>
        <v>-5308170.864013629</v>
      </c>
      <c r="H29" s="438">
        <f>SUM(H27:H28)</f>
        <v>-4217598.5156333512</v>
      </c>
      <c r="I29" s="438">
        <f>SUM(I27:I28)</f>
        <v>-2840983.8135462827</v>
      </c>
      <c r="J29" s="438">
        <f>SUM(J27:J28)</f>
        <v>-6625130.9061203562</v>
      </c>
      <c r="K29" s="446"/>
      <c r="L29" s="82"/>
      <c r="M29" s="82"/>
    </row>
    <row r="30" spans="2:13" s="24" customFormat="1" ht="25.5" customHeight="1">
      <c r="B30" s="447"/>
      <c r="C30" s="809" t="s">
        <v>2726</v>
      </c>
      <c r="D30" s="809"/>
      <c r="E30" s="809"/>
      <c r="F30" s="439">
        <f>+F26-F29</f>
        <v>119964593.08781275</v>
      </c>
      <c r="G30" s="439">
        <f>+G26-G29</f>
        <v>122665367.14206739</v>
      </c>
      <c r="H30" s="439">
        <f>+H26-H29</f>
        <v>125246476.86202872</v>
      </c>
      <c r="I30" s="439">
        <f>+I26-I29</f>
        <v>132578900.69033353</v>
      </c>
      <c r="J30" s="439">
        <f>+J26-J29</f>
        <v>140258335.28921118</v>
      </c>
      <c r="K30" s="446"/>
      <c r="L30" s="136"/>
      <c r="M30" s="82"/>
    </row>
    <row r="31" spans="2:13" s="24" customFormat="1" ht="18" customHeight="1">
      <c r="B31" s="447"/>
      <c r="C31" s="811" t="s">
        <v>97</v>
      </c>
      <c r="D31" s="811"/>
      <c r="E31" s="811"/>
      <c r="F31" s="437">
        <f>+F30*$H$35</f>
        <v>40787961.649856336</v>
      </c>
      <c r="G31" s="437">
        <f>+G30*$H$35</f>
        <v>41706224.828302912</v>
      </c>
      <c r="H31" s="437">
        <f>+H30*$H$35</f>
        <v>42583802.133089766</v>
      </c>
      <c r="I31" s="437">
        <f>+I30*$H$35</f>
        <v>45076826.234713405</v>
      </c>
      <c r="J31" s="437">
        <f>+J30*$H$35</f>
        <v>47687833.998331808</v>
      </c>
      <c r="K31" s="446"/>
      <c r="L31" s="82"/>
      <c r="M31" s="82"/>
    </row>
    <row r="32" spans="2:13" s="24" customFormat="1" ht="25.5" customHeight="1">
      <c r="B32" s="447"/>
      <c r="C32" s="809" t="s">
        <v>2727</v>
      </c>
      <c r="D32" s="809"/>
      <c r="E32" s="809"/>
      <c r="F32" s="439">
        <f>+F30-F31</f>
        <v>79176631.437956423</v>
      </c>
      <c r="G32" s="439">
        <f>+G30-G31</f>
        <v>80959142.313764483</v>
      </c>
      <c r="H32" s="439">
        <f>+H30-H31</f>
        <v>82662674.728938952</v>
      </c>
      <c r="I32" s="439">
        <f>+I30-I31</f>
        <v>87502074.455620125</v>
      </c>
      <c r="J32" s="439">
        <f>+J30-J31</f>
        <v>92570501.290879369</v>
      </c>
      <c r="K32" s="446"/>
      <c r="L32" s="82"/>
      <c r="M32" s="82"/>
    </row>
    <row r="33" spans="2:14">
      <c r="B33" s="430"/>
      <c r="I33" s="80"/>
      <c r="J33" s="81"/>
      <c r="K33" s="444"/>
    </row>
    <row r="34" spans="2:14" ht="25.5" customHeight="1">
      <c r="B34" s="430"/>
      <c r="E34" s="785" t="s">
        <v>2728</v>
      </c>
      <c r="F34" s="785"/>
      <c r="G34" s="785"/>
      <c r="H34" s="441" t="s">
        <v>116</v>
      </c>
      <c r="K34" s="443"/>
      <c r="L34" s="80"/>
      <c r="M34" s="81"/>
      <c r="N34" s="81"/>
    </row>
    <row r="35" spans="2:14" ht="18" customHeight="1">
      <c r="B35" s="430"/>
      <c r="E35" s="810" t="s">
        <v>97</v>
      </c>
      <c r="F35" s="810"/>
      <c r="G35" s="810"/>
      <c r="H35" s="442">
        <f>+'Salida-3-Plan de Inversión'!I64</f>
        <v>0.34</v>
      </c>
      <c r="K35" s="443"/>
      <c r="L35" s="80"/>
      <c r="M35" s="79"/>
      <c r="N35" s="79"/>
    </row>
    <row r="36" spans="2:14" ht="18" customHeight="1">
      <c r="B36" s="430"/>
      <c r="E36" s="810" t="s">
        <v>115</v>
      </c>
      <c r="F36" s="810"/>
      <c r="G36" s="810"/>
      <c r="H36" s="442">
        <f>+'Salida-3-Plan de Inversión'!I65</f>
        <v>0.19</v>
      </c>
      <c r="K36" s="443"/>
      <c r="L36" s="80"/>
      <c r="M36" s="79"/>
      <c r="N36" s="79"/>
    </row>
    <row r="37" spans="2:14" customFormat="1" ht="15" customHeight="1">
      <c r="B37" s="407"/>
      <c r="C37" s="3"/>
      <c r="D37" s="3"/>
      <c r="E37" s="3"/>
      <c r="F37" s="3"/>
      <c r="G37" s="3"/>
      <c r="H37" s="3"/>
      <c r="I37" s="3"/>
      <c r="J37" s="3"/>
      <c r="K37" s="413"/>
    </row>
    <row r="38" spans="2:14" customFormat="1" ht="15" customHeight="1">
      <c r="B38" s="407"/>
      <c r="C38" s="3"/>
      <c r="D38" s="3"/>
      <c r="E38" s="3"/>
      <c r="F38" s="3"/>
      <c r="G38" s="3"/>
      <c r="H38" s="3"/>
      <c r="I38" s="3"/>
      <c r="J38" s="3"/>
      <c r="K38" s="413"/>
    </row>
    <row r="39" spans="2:14" s="63" customFormat="1" ht="15" customHeight="1" thickBot="1">
      <c r="B39" s="376"/>
      <c r="C39" s="241"/>
      <c r="D39" s="241"/>
      <c r="E39" s="241"/>
      <c r="F39" s="241"/>
      <c r="G39" s="241"/>
      <c r="H39" s="241"/>
      <c r="I39" s="241"/>
      <c r="J39" s="241"/>
      <c r="K39" s="380"/>
    </row>
    <row r="40" spans="2:14" s="56" customFormat="1" ht="14.25" thickTop="1" thickBot="1">
      <c r="B40" s="269"/>
      <c r="C40" s="270"/>
      <c r="D40" s="270"/>
      <c r="E40" s="270"/>
      <c r="F40" s="270"/>
      <c r="G40" s="270"/>
      <c r="H40" s="270"/>
      <c r="I40" s="270"/>
      <c r="J40" s="270"/>
      <c r="K40" s="271"/>
      <c r="L40" s="201"/>
      <c r="M40" s="65"/>
      <c r="N40" s="65"/>
    </row>
    <row r="41" spans="2:14" customFormat="1" ht="13.5" thickTop="1"/>
  </sheetData>
  <sheetProtection algorithmName="SHA-512" hashValue="WXL4ExCTZSULN57iNmcP7yOkrCDM9Cbh1rOSjBQmBQOqjL7oZHbXSVZCfPG/es7qaK4dN6HT43iFJGxEaN9FOw==" saltValue="9YvAtMqGD5f7stqbbhc08w==" spinCount="100000" sheet="1" objects="1" scenarios="1" selectLockedCells="1"/>
  <mergeCells count="28">
    <mergeCell ref="C20:E20"/>
    <mergeCell ref="C21:E21"/>
    <mergeCell ref="C15:E15"/>
    <mergeCell ref="C16:E16"/>
    <mergeCell ref="C17:E17"/>
    <mergeCell ref="C18:E18"/>
    <mergeCell ref="C19:E19"/>
    <mergeCell ref="G5:J5"/>
    <mergeCell ref="G7:J7"/>
    <mergeCell ref="C12:E12"/>
    <mergeCell ref="C13:E13"/>
    <mergeCell ref="C14:E14"/>
    <mergeCell ref="C32:E32"/>
    <mergeCell ref="E34:G34"/>
    <mergeCell ref="E35:G35"/>
    <mergeCell ref="E36:G36"/>
    <mergeCell ref="B3:K3"/>
    <mergeCell ref="B10:K10"/>
    <mergeCell ref="C27:E27"/>
    <mergeCell ref="C28:E28"/>
    <mergeCell ref="C29:E29"/>
    <mergeCell ref="C30:E30"/>
    <mergeCell ref="C31:E31"/>
    <mergeCell ref="C22:E22"/>
    <mergeCell ref="C23:E23"/>
    <mergeCell ref="C24:E24"/>
    <mergeCell ref="C25:E25"/>
    <mergeCell ref="C26:E26"/>
  </mergeCells>
  <phoneticPr fontId="9" type="noConversion"/>
  <pageMargins left="0.57999999999999996" right="0.75" top="0.71" bottom="1" header="0" footer="0"/>
  <pageSetup scale="92" orientation="landscape" verticalDpi="300" r:id="rId1"/>
  <headerFooter alignWithMargins="0"/>
  <rowBreaks count="1" manualBreakCount="1">
    <brk id="38" max="16383" man="1"/>
  </rowBreaks>
  <colBreaks count="1" manualBreakCount="1">
    <brk id="9" max="1048575" man="1"/>
  </colBreaks>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2">
    <pageSetUpPr autoPageBreaks="0" fitToPage="1"/>
  </sheetPr>
  <dimension ref="A1:AC1954"/>
  <sheetViews>
    <sheetView showGridLines="0" showZeros="0" showOutlineSymbols="0" zoomScaleNormal="100" workbookViewId="0"/>
  </sheetViews>
  <sheetFormatPr baseColWidth="10" defaultRowHeight="12.75"/>
  <cols>
    <col min="1" max="1" width="2.42578125" customWidth="1"/>
    <col min="2" max="11" width="17.140625" customWidth="1"/>
    <col min="21" max="21" width="36.85546875" customWidth="1"/>
    <col min="22" max="27" width="18.7109375" customWidth="1"/>
  </cols>
  <sheetData>
    <row r="1" spans="1:29" s="63" customFormat="1" ht="13.5" thickBot="1">
      <c r="A1" s="246"/>
      <c r="B1" s="56"/>
      <c r="C1" s="56"/>
      <c r="D1" s="56"/>
      <c r="E1" s="56"/>
      <c r="G1" s="56"/>
      <c r="H1" s="56"/>
      <c r="I1" s="56"/>
      <c r="J1" s="56"/>
    </row>
    <row r="2" spans="1:29" s="63" customFormat="1" ht="7.5" customHeight="1" thickTop="1">
      <c r="A2" s="56"/>
      <c r="B2" s="37"/>
      <c r="C2" s="233"/>
      <c r="D2" s="233"/>
      <c r="E2" s="233"/>
      <c r="F2" s="233"/>
      <c r="G2" s="233"/>
      <c r="H2" s="233"/>
      <c r="I2" s="233"/>
      <c r="J2" s="233"/>
      <c r="K2" s="234"/>
      <c r="L2" s="56"/>
      <c r="M2" s="64"/>
    </row>
    <row r="3" spans="1:29" s="63" customFormat="1" ht="20.25">
      <c r="A3" s="56"/>
      <c r="B3" s="618" t="s">
        <v>2740</v>
      </c>
      <c r="C3" s="619"/>
      <c r="D3" s="619"/>
      <c r="E3" s="619"/>
      <c r="F3" s="619"/>
      <c r="G3" s="619"/>
      <c r="H3" s="619"/>
      <c r="I3" s="619"/>
      <c r="J3" s="619"/>
      <c r="K3" s="620"/>
      <c r="L3" s="56"/>
      <c r="M3" s="64"/>
    </row>
    <row r="4" spans="1:29" s="63" customFormat="1" ht="13.5" thickBot="1">
      <c r="A4" s="56"/>
      <c r="B4" s="201"/>
      <c r="C4" s="65"/>
      <c r="D4" s="65"/>
      <c r="E4" s="65"/>
      <c r="F4" s="65"/>
      <c r="G4" s="65"/>
      <c r="H4" s="65"/>
      <c r="I4" s="65"/>
      <c r="J4" s="65"/>
      <c r="K4" s="274"/>
      <c r="L4" s="56"/>
      <c r="M4" s="64"/>
    </row>
    <row r="5" spans="1:29" s="63" customFormat="1" ht="14.25" thickTop="1" thickBot="1">
      <c r="B5" s="210"/>
      <c r="C5" s="393" t="s">
        <v>2579</v>
      </c>
      <c r="D5" s="393"/>
      <c r="E5" s="393"/>
      <c r="F5" s="280"/>
      <c r="G5" s="621" t="str">
        <f>+'1-Datos Generales'!$H$5</f>
        <v>SEGI</v>
      </c>
      <c r="H5" s="622"/>
      <c r="I5" s="622"/>
      <c r="J5" s="623"/>
      <c r="K5" s="202"/>
      <c r="M5" s="64"/>
    </row>
    <row r="6" spans="1:29" s="56" customFormat="1" ht="4.5" customHeight="1" thickTop="1" thickBot="1">
      <c r="B6" s="201" t="s">
        <v>212</v>
      </c>
      <c r="C6" s="65"/>
      <c r="D6" s="65" t="s">
        <v>7</v>
      </c>
      <c r="E6" s="196"/>
      <c r="F6" s="196"/>
      <c r="G6" s="196"/>
      <c r="H6" s="65"/>
      <c r="I6" s="65"/>
      <c r="J6" s="65"/>
      <c r="K6" s="202"/>
      <c r="L6" s="65"/>
      <c r="M6" s="65"/>
    </row>
    <row r="7" spans="1:29" s="63" customFormat="1" ht="14.25" thickTop="1" thickBot="1">
      <c r="B7" s="210"/>
      <c r="C7" s="393" t="s">
        <v>2576</v>
      </c>
      <c r="D7" s="393"/>
      <c r="E7" s="393"/>
      <c r="F7" s="280"/>
      <c r="G7" s="621">
        <f>+'1-Datos Generales'!$D$11</f>
        <v>0</v>
      </c>
      <c r="H7" s="622"/>
      <c r="I7" s="622"/>
      <c r="J7" s="623"/>
      <c r="K7" s="202"/>
      <c r="M7" s="64"/>
    </row>
    <row r="8" spans="1:29" s="2" customFormat="1" ht="13.5" thickTop="1">
      <c r="B8" s="391"/>
      <c r="C8" s="47"/>
      <c r="D8" s="47"/>
      <c r="E8" s="47"/>
      <c r="F8" s="47"/>
      <c r="G8" s="47"/>
      <c r="H8" s="47"/>
      <c r="I8" s="78"/>
      <c r="J8" s="78"/>
      <c r="K8" s="392"/>
      <c r="L8" s="76"/>
    </row>
    <row r="9" spans="1:29" s="56" customFormat="1" ht="4.5" customHeight="1" thickBot="1">
      <c r="B9" s="201" t="s">
        <v>212</v>
      </c>
      <c r="C9" s="65" t="s">
        <v>7</v>
      </c>
      <c r="D9" s="196"/>
      <c r="E9" s="196"/>
      <c r="F9" s="196"/>
      <c r="G9" s="65"/>
      <c r="H9" s="65"/>
      <c r="I9" s="65"/>
      <c r="J9" s="65"/>
      <c r="K9" s="202"/>
      <c r="L9" s="65"/>
      <c r="M9" s="65"/>
    </row>
    <row r="10" spans="1:29" s="56" customFormat="1" ht="25.5" customHeight="1" thickBot="1">
      <c r="B10" s="765" t="s">
        <v>81</v>
      </c>
      <c r="C10" s="766"/>
      <c r="D10" s="766"/>
      <c r="E10" s="766"/>
      <c r="F10" s="766"/>
      <c r="G10" s="766"/>
      <c r="H10" s="766"/>
      <c r="I10" s="766"/>
      <c r="J10" s="766"/>
      <c r="K10" s="767"/>
    </row>
    <row r="11" spans="1:29" s="23" customFormat="1" ht="12">
      <c r="B11" s="458"/>
      <c r="F11" s="27"/>
      <c r="H11" s="79"/>
      <c r="I11" s="79"/>
      <c r="J11" s="79"/>
      <c r="K11" s="461"/>
    </row>
    <row r="12" spans="1:29">
      <c r="B12" s="459"/>
      <c r="C12" s="11"/>
      <c r="D12" s="11"/>
      <c r="E12" s="11"/>
      <c r="F12" s="11"/>
      <c r="G12" s="11"/>
      <c r="H12" s="11"/>
      <c r="K12" s="413"/>
    </row>
    <row r="13" spans="1:29" s="26" customFormat="1" ht="30" customHeight="1">
      <c r="B13" s="460"/>
      <c r="C13" s="626" t="s">
        <v>2729</v>
      </c>
      <c r="D13" s="626"/>
      <c r="E13" s="626" t="s">
        <v>2739</v>
      </c>
      <c r="F13" s="626" t="s">
        <v>78</v>
      </c>
      <c r="G13" s="626" t="s">
        <v>79</v>
      </c>
      <c r="H13" s="626" t="s">
        <v>60</v>
      </c>
      <c r="I13" s="626" t="s">
        <v>61</v>
      </c>
      <c r="J13" s="626" t="s">
        <v>62</v>
      </c>
      <c r="K13" s="349"/>
      <c r="W13" s="99" t="str">
        <f t="shared" ref="W13:W49" si="0">C13</f>
        <v>Balance General</v>
      </c>
      <c r="X13" s="100" t="str">
        <f t="shared" ref="X13:X49" si="1">E13</f>
        <v>Año 0</v>
      </c>
      <c r="Y13" s="100" t="str">
        <f t="shared" ref="Y13:Y49" si="2">F13</f>
        <v>Año 1</v>
      </c>
      <c r="Z13" s="100" t="str">
        <f t="shared" ref="Z13:Z49" si="3">G13</f>
        <v>Año 2</v>
      </c>
      <c r="AA13" s="100" t="str">
        <f t="shared" ref="AA13:AA49" si="4">H13</f>
        <v>Año 3</v>
      </c>
      <c r="AB13" s="100" t="str">
        <f t="shared" ref="AB13:AB49" si="5">I13</f>
        <v>Año 4</v>
      </c>
      <c r="AC13" s="100" t="str">
        <f t="shared" ref="AC13:AC49" si="6">J13</f>
        <v>Año 5</v>
      </c>
    </row>
    <row r="14" spans="1:29" s="24" customFormat="1" ht="25.5" customHeight="1">
      <c r="B14" s="447"/>
      <c r="C14" s="819" t="s">
        <v>82</v>
      </c>
      <c r="D14" s="819"/>
      <c r="E14" s="626"/>
      <c r="F14" s="626"/>
      <c r="G14" s="626"/>
      <c r="H14" s="626"/>
      <c r="I14" s="626"/>
      <c r="J14" s="626"/>
      <c r="K14" s="462"/>
      <c r="W14" s="101" t="str">
        <f t="shared" si="0"/>
        <v>ACTIVO</v>
      </c>
      <c r="X14" s="102"/>
      <c r="Y14" s="102"/>
      <c r="Z14" s="102"/>
      <c r="AA14" s="102"/>
      <c r="AB14" s="102"/>
      <c r="AC14" s="102"/>
    </row>
    <row r="15" spans="1:29" s="24" customFormat="1" ht="25.5" customHeight="1">
      <c r="B15" s="447"/>
      <c r="C15" s="816" t="s">
        <v>2730</v>
      </c>
      <c r="D15" s="816"/>
      <c r="E15" s="626"/>
      <c r="F15" s="626"/>
      <c r="G15" s="626"/>
      <c r="H15" s="626"/>
      <c r="I15" s="626"/>
      <c r="J15" s="626"/>
      <c r="K15" s="462"/>
      <c r="W15" s="103" t="str">
        <f t="shared" si="0"/>
        <v>Activo Corriente</v>
      </c>
      <c r="X15" s="102"/>
      <c r="Y15" s="102"/>
      <c r="Z15" s="102"/>
      <c r="AA15" s="102"/>
      <c r="AB15" s="102"/>
      <c r="AC15" s="102"/>
    </row>
    <row r="16" spans="1:29" s="24" customFormat="1" ht="18" customHeight="1">
      <c r="B16" s="447"/>
      <c r="C16" s="814" t="s">
        <v>98</v>
      </c>
      <c r="D16" s="814"/>
      <c r="E16" s="448">
        <f>+'Salida-3-Plan de Inversión'!J26</f>
        <v>0</v>
      </c>
      <c r="F16" s="448">
        <f>+F53</f>
        <v>154429920.71634275</v>
      </c>
      <c r="G16" s="448">
        <f>+G53</f>
        <v>236643651.83899972</v>
      </c>
      <c r="H16" s="448">
        <f>+H53</f>
        <v>241353687.83412838</v>
      </c>
      <c r="I16" s="448">
        <f>+I53</f>
        <v>245819245.93894771</v>
      </c>
      <c r="J16" s="448">
        <f>+J53</f>
        <v>268171707.08135343</v>
      </c>
      <c r="K16" s="462"/>
      <c r="W16" s="104" t="str">
        <f t="shared" si="0"/>
        <v>Caja y Bancos</v>
      </c>
      <c r="X16" s="93">
        <f t="shared" si="1"/>
        <v>0</v>
      </c>
      <c r="Y16" s="93">
        <f t="shared" si="2"/>
        <v>154429920.71634275</v>
      </c>
      <c r="Z16" s="93">
        <f t="shared" si="3"/>
        <v>236643651.83899972</v>
      </c>
      <c r="AA16" s="93">
        <f t="shared" si="4"/>
        <v>241353687.83412838</v>
      </c>
      <c r="AB16" s="93">
        <f t="shared" si="5"/>
        <v>245819245.93894771</v>
      </c>
      <c r="AC16" s="93">
        <f t="shared" si="6"/>
        <v>268171707.08135343</v>
      </c>
    </row>
    <row r="17" spans="2:29" s="24" customFormat="1" ht="18" customHeight="1">
      <c r="B17" s="447"/>
      <c r="C17" s="814" t="s">
        <v>2658</v>
      </c>
      <c r="D17" s="814"/>
      <c r="E17" s="448">
        <f>'5-Plan de Inversion'!F26</f>
        <v>0</v>
      </c>
      <c r="F17" s="448">
        <f>+E17</f>
        <v>0</v>
      </c>
      <c r="G17" s="448">
        <f>'5-Plan de Inversion'!G26</f>
        <v>0</v>
      </c>
      <c r="H17" s="448">
        <f>'5-Plan de Inversion'!H26</f>
        <v>0</v>
      </c>
      <c r="I17" s="448">
        <f>'5-Plan de Inversion'!I26</f>
        <v>0</v>
      </c>
      <c r="J17" s="448">
        <f>'5-Plan de Inversion'!J26</f>
        <v>0</v>
      </c>
      <c r="K17" s="462"/>
      <c r="W17" s="104" t="str">
        <f t="shared" si="0"/>
        <v>Cuentas por Cobrar (Cartera)</v>
      </c>
      <c r="X17" s="93">
        <f t="shared" si="1"/>
        <v>0</v>
      </c>
      <c r="Y17" s="93">
        <f>G17</f>
        <v>0</v>
      </c>
      <c r="Z17" s="93">
        <f>H17</f>
        <v>0</v>
      </c>
      <c r="AA17" s="93">
        <f>I17</f>
        <v>0</v>
      </c>
      <c r="AB17" s="93">
        <f>J17</f>
        <v>0</v>
      </c>
      <c r="AC17" s="93" t="e">
        <f>#REF!</f>
        <v>#REF!</v>
      </c>
    </row>
    <row r="18" spans="2:29" s="24" customFormat="1" ht="18" customHeight="1">
      <c r="B18" s="447"/>
      <c r="C18" s="814" t="s">
        <v>89</v>
      </c>
      <c r="D18" s="814"/>
      <c r="E18" s="448">
        <f>+'Salida-3-Plan de Inversión'!J23</f>
        <v>0</v>
      </c>
      <c r="F18" s="448">
        <f>+E18</f>
        <v>0</v>
      </c>
      <c r="G18" s="448">
        <f>+'5-Plan de Inversion'!G25</f>
        <v>0</v>
      </c>
      <c r="H18" s="448">
        <f>+'5-Plan de Inversion'!H25</f>
        <v>0</v>
      </c>
      <c r="I18" s="448">
        <f>+'5-Plan de Inversion'!I25</f>
        <v>0</v>
      </c>
      <c r="J18" s="448">
        <f>+'5-Plan de Inversion'!J25</f>
        <v>0</v>
      </c>
      <c r="K18" s="462"/>
      <c r="W18" s="104" t="str">
        <f t="shared" si="0"/>
        <v>Inventario de Materia Prima</v>
      </c>
      <c r="X18" s="93">
        <f t="shared" si="1"/>
        <v>0</v>
      </c>
      <c r="Y18" s="93">
        <f t="shared" si="2"/>
        <v>0</v>
      </c>
      <c r="Z18" s="93">
        <f t="shared" si="3"/>
        <v>0</v>
      </c>
      <c r="AA18" s="93">
        <f t="shared" si="4"/>
        <v>0</v>
      </c>
      <c r="AB18" s="93">
        <f t="shared" si="5"/>
        <v>0</v>
      </c>
      <c r="AC18" s="93">
        <f t="shared" si="6"/>
        <v>0</v>
      </c>
    </row>
    <row r="19" spans="2:29" s="24" customFormat="1" ht="18" customHeight="1">
      <c r="B19" s="447"/>
      <c r="C19" s="814" t="s">
        <v>99</v>
      </c>
      <c r="D19" s="814"/>
      <c r="E19" s="448">
        <f>+'Salida-3-Plan de Inversión'!J25</f>
        <v>0</v>
      </c>
      <c r="F19" s="448">
        <f>+E19-'Salida-3-Plan de Inversión'!D53</f>
        <v>0</v>
      </c>
      <c r="G19" s="448">
        <f>+F19-'Salida-3-Plan de Inversión'!F53</f>
        <v>0</v>
      </c>
      <c r="H19" s="448">
        <f>+G19-'Salida-3-Plan de Inversión'!H53</f>
        <v>0</v>
      </c>
      <c r="I19" s="448">
        <f>+H19-'Salida-3-Plan de Inversión'!J53</f>
        <v>0</v>
      </c>
      <c r="J19" s="448">
        <f>+I19-'Salida-3-Plan de Inversión'!L53</f>
        <v>0</v>
      </c>
      <c r="K19" s="462"/>
      <c r="W19" s="104" t="str">
        <f t="shared" si="0"/>
        <v>Gastos Diferidos y Operativos</v>
      </c>
      <c r="X19" s="93">
        <f t="shared" si="1"/>
        <v>0</v>
      </c>
      <c r="Y19" s="93">
        <f t="shared" si="2"/>
        <v>0</v>
      </c>
      <c r="Z19" s="93">
        <f t="shared" si="3"/>
        <v>0</v>
      </c>
      <c r="AA19" s="93">
        <f t="shared" si="4"/>
        <v>0</v>
      </c>
      <c r="AB19" s="93">
        <f t="shared" si="5"/>
        <v>0</v>
      </c>
      <c r="AC19" s="93">
        <f t="shared" si="6"/>
        <v>0</v>
      </c>
    </row>
    <row r="20" spans="2:29" s="24" customFormat="1" ht="25.5" customHeight="1">
      <c r="B20" s="447"/>
      <c r="C20" s="817" t="s">
        <v>2731</v>
      </c>
      <c r="D20" s="817"/>
      <c r="E20" s="449">
        <f t="shared" ref="E20:J20" si="7">SUM(E16:E19)</f>
        <v>0</v>
      </c>
      <c r="F20" s="449">
        <f t="shared" si="7"/>
        <v>154429920.71634275</v>
      </c>
      <c r="G20" s="449">
        <f t="shared" si="7"/>
        <v>236643651.83899972</v>
      </c>
      <c r="H20" s="449">
        <f t="shared" si="7"/>
        <v>241353687.83412838</v>
      </c>
      <c r="I20" s="449">
        <f t="shared" si="7"/>
        <v>245819245.93894771</v>
      </c>
      <c r="J20" s="449">
        <f t="shared" si="7"/>
        <v>268171707.08135343</v>
      </c>
      <c r="K20" s="462"/>
      <c r="W20" s="103" t="str">
        <f t="shared" si="0"/>
        <v>Total Activo Corriente</v>
      </c>
      <c r="X20" s="94">
        <f t="shared" si="1"/>
        <v>0</v>
      </c>
      <c r="Y20" s="94">
        <f t="shared" si="2"/>
        <v>154429920.71634275</v>
      </c>
      <c r="Z20" s="94">
        <f t="shared" si="3"/>
        <v>236643651.83899972</v>
      </c>
      <c r="AA20" s="94">
        <f t="shared" si="4"/>
        <v>241353687.83412838</v>
      </c>
      <c r="AB20" s="94">
        <f t="shared" si="5"/>
        <v>245819245.93894771</v>
      </c>
      <c r="AC20" s="94">
        <f t="shared" si="6"/>
        <v>268171707.08135343</v>
      </c>
    </row>
    <row r="21" spans="2:29" s="24" customFormat="1" ht="25.5" customHeight="1">
      <c r="B21" s="447"/>
      <c r="C21" s="816" t="s">
        <v>2732</v>
      </c>
      <c r="D21" s="816"/>
      <c r="E21" s="450"/>
      <c r="F21" s="450"/>
      <c r="G21" s="450"/>
      <c r="H21" s="450"/>
      <c r="I21" s="450"/>
      <c r="J21" s="450"/>
      <c r="K21" s="462"/>
      <c r="W21" s="103" t="str">
        <f t="shared" si="0"/>
        <v>Activo Fijo</v>
      </c>
      <c r="X21" s="105"/>
      <c r="Y21" s="105"/>
      <c r="Z21" s="105"/>
      <c r="AA21" s="105"/>
      <c r="AB21" s="105"/>
      <c r="AC21" s="105"/>
    </row>
    <row r="22" spans="2:29" s="24" customFormat="1" ht="18" customHeight="1">
      <c r="B22" s="447"/>
      <c r="C22" s="814" t="s">
        <v>40</v>
      </c>
      <c r="D22" s="814"/>
      <c r="E22" s="448">
        <f>+'5-Plan de Inversion'!F55</f>
        <v>0</v>
      </c>
      <c r="F22" s="448">
        <f t="shared" ref="F22:J26" si="8">+E22</f>
        <v>0</v>
      </c>
      <c r="G22" s="448">
        <f t="shared" si="8"/>
        <v>0</v>
      </c>
      <c r="H22" s="448">
        <f t="shared" si="8"/>
        <v>0</v>
      </c>
      <c r="I22" s="448">
        <f t="shared" si="8"/>
        <v>0</v>
      </c>
      <c r="J22" s="448">
        <f t="shared" si="8"/>
        <v>0</v>
      </c>
      <c r="K22" s="462"/>
      <c r="W22" s="104" t="str">
        <f t="shared" si="0"/>
        <v>Terrenos</v>
      </c>
      <c r="X22" s="93">
        <f t="shared" si="1"/>
        <v>0</v>
      </c>
      <c r="Y22" s="93">
        <f t="shared" si="2"/>
        <v>0</v>
      </c>
      <c r="Z22" s="93">
        <f t="shared" si="3"/>
        <v>0</v>
      </c>
      <c r="AA22" s="93">
        <f t="shared" si="4"/>
        <v>0</v>
      </c>
      <c r="AB22" s="93">
        <f t="shared" si="5"/>
        <v>0</v>
      </c>
      <c r="AC22" s="93">
        <f t="shared" si="6"/>
        <v>0</v>
      </c>
    </row>
    <row r="23" spans="2:29" s="24" customFormat="1" ht="18" customHeight="1">
      <c r="B23" s="447"/>
      <c r="C23" s="814" t="s">
        <v>41</v>
      </c>
      <c r="D23" s="814"/>
      <c r="E23" s="448">
        <f>+'5-Plan de Inversion'!F56</f>
        <v>0</v>
      </c>
      <c r="F23" s="448">
        <f t="shared" si="8"/>
        <v>0</v>
      </c>
      <c r="G23" s="448">
        <f t="shared" si="8"/>
        <v>0</v>
      </c>
      <c r="H23" s="448">
        <f t="shared" si="8"/>
        <v>0</v>
      </c>
      <c r="I23" s="448">
        <f t="shared" si="8"/>
        <v>0</v>
      </c>
      <c r="J23" s="448">
        <f t="shared" si="8"/>
        <v>0</v>
      </c>
      <c r="K23" s="462"/>
      <c r="W23" s="104" t="str">
        <f t="shared" si="0"/>
        <v>Construcciones</v>
      </c>
      <c r="X23" s="93">
        <f t="shared" si="1"/>
        <v>0</v>
      </c>
      <c r="Y23" s="93">
        <f t="shared" si="2"/>
        <v>0</v>
      </c>
      <c r="Z23" s="93">
        <f t="shared" si="3"/>
        <v>0</v>
      </c>
      <c r="AA23" s="93">
        <f t="shared" si="4"/>
        <v>0</v>
      </c>
      <c r="AB23" s="93">
        <f t="shared" si="5"/>
        <v>0</v>
      </c>
      <c r="AC23" s="93">
        <f t="shared" si="6"/>
        <v>0</v>
      </c>
    </row>
    <row r="24" spans="2:29" s="24" customFormat="1" ht="18" customHeight="1">
      <c r="B24" s="447"/>
      <c r="C24" s="814" t="s">
        <v>100</v>
      </c>
      <c r="D24" s="814"/>
      <c r="E24" s="448">
        <f>+'5-Plan de Inversion'!F66</f>
        <v>14781618</v>
      </c>
      <c r="F24" s="448">
        <f t="shared" si="8"/>
        <v>14781618</v>
      </c>
      <c r="G24" s="448">
        <f t="shared" si="8"/>
        <v>14781618</v>
      </c>
      <c r="H24" s="448">
        <f t="shared" si="8"/>
        <v>14781618</v>
      </c>
      <c r="I24" s="448">
        <f t="shared" si="8"/>
        <v>14781618</v>
      </c>
      <c r="J24" s="448">
        <f t="shared" si="8"/>
        <v>14781618</v>
      </c>
      <c r="K24" s="462"/>
      <c r="W24" s="104" t="str">
        <f t="shared" si="0"/>
        <v>Maquinaria y Equipo</v>
      </c>
      <c r="X24" s="93">
        <f t="shared" si="1"/>
        <v>14781618</v>
      </c>
      <c r="Y24" s="93">
        <f t="shared" si="2"/>
        <v>14781618</v>
      </c>
      <c r="Z24" s="93">
        <f t="shared" si="3"/>
        <v>14781618</v>
      </c>
      <c r="AA24" s="93">
        <f t="shared" si="4"/>
        <v>14781618</v>
      </c>
      <c r="AB24" s="93">
        <f t="shared" si="5"/>
        <v>14781618</v>
      </c>
      <c r="AC24" s="93">
        <f t="shared" si="6"/>
        <v>14781618</v>
      </c>
    </row>
    <row r="25" spans="2:29" s="24" customFormat="1" ht="18" customHeight="1">
      <c r="B25" s="447"/>
      <c r="C25" s="814" t="s">
        <v>101</v>
      </c>
      <c r="D25" s="814"/>
      <c r="E25" s="448">
        <f>+'5-Plan de Inversion'!F73</f>
        <v>1050000</v>
      </c>
      <c r="F25" s="448">
        <f t="shared" si="8"/>
        <v>1050000</v>
      </c>
      <c r="G25" s="448">
        <f t="shared" si="8"/>
        <v>1050000</v>
      </c>
      <c r="H25" s="448">
        <f t="shared" si="8"/>
        <v>1050000</v>
      </c>
      <c r="I25" s="448">
        <f t="shared" si="8"/>
        <v>1050000</v>
      </c>
      <c r="J25" s="448">
        <f t="shared" si="8"/>
        <v>1050000</v>
      </c>
      <c r="K25" s="462"/>
      <c r="W25" s="104" t="str">
        <f t="shared" si="0"/>
        <v>Muebles y Enseres</v>
      </c>
      <c r="X25" s="93">
        <f t="shared" si="1"/>
        <v>1050000</v>
      </c>
      <c r="Y25" s="93">
        <f t="shared" si="2"/>
        <v>1050000</v>
      </c>
      <c r="Z25" s="93">
        <f t="shared" si="3"/>
        <v>1050000</v>
      </c>
      <c r="AA25" s="93">
        <f t="shared" si="4"/>
        <v>1050000</v>
      </c>
      <c r="AB25" s="93">
        <f t="shared" si="5"/>
        <v>1050000</v>
      </c>
      <c r="AC25" s="93">
        <f t="shared" si="6"/>
        <v>1050000</v>
      </c>
    </row>
    <row r="26" spans="2:29" s="24" customFormat="1" ht="18" customHeight="1">
      <c r="B26" s="447"/>
      <c r="C26" s="814" t="s">
        <v>44</v>
      </c>
      <c r="D26" s="814"/>
      <c r="E26" s="448">
        <f>+'5-Plan de Inversion'!F79</f>
        <v>0</v>
      </c>
      <c r="F26" s="448">
        <f t="shared" si="8"/>
        <v>0</v>
      </c>
      <c r="G26" s="448">
        <f t="shared" si="8"/>
        <v>0</v>
      </c>
      <c r="H26" s="448">
        <f t="shared" si="8"/>
        <v>0</v>
      </c>
      <c r="I26" s="448">
        <f t="shared" si="8"/>
        <v>0</v>
      </c>
      <c r="J26" s="448">
        <f t="shared" si="8"/>
        <v>0</v>
      </c>
      <c r="K26" s="462"/>
      <c r="W26" s="104" t="str">
        <f t="shared" si="0"/>
        <v>Vehículos</v>
      </c>
      <c r="X26" s="93">
        <f t="shared" si="1"/>
        <v>0</v>
      </c>
      <c r="Y26" s="93">
        <f t="shared" si="2"/>
        <v>0</v>
      </c>
      <c r="Z26" s="93">
        <f t="shared" si="3"/>
        <v>0</v>
      </c>
      <c r="AA26" s="93">
        <f t="shared" si="4"/>
        <v>0</v>
      </c>
      <c r="AB26" s="93">
        <f t="shared" si="5"/>
        <v>0</v>
      </c>
      <c r="AC26" s="93">
        <f t="shared" si="6"/>
        <v>0</v>
      </c>
    </row>
    <row r="27" spans="2:29" s="24" customFormat="1" ht="25.5" customHeight="1">
      <c r="B27" s="447"/>
      <c r="C27" s="816" t="s">
        <v>2733</v>
      </c>
      <c r="D27" s="816"/>
      <c r="E27" s="451">
        <f t="shared" ref="E27:J27" si="9">SUM(E22:E26)</f>
        <v>15831618</v>
      </c>
      <c r="F27" s="451">
        <f t="shared" si="9"/>
        <v>15831618</v>
      </c>
      <c r="G27" s="451">
        <f t="shared" si="9"/>
        <v>15831618</v>
      </c>
      <c r="H27" s="451">
        <f t="shared" si="9"/>
        <v>15831618</v>
      </c>
      <c r="I27" s="451">
        <f t="shared" si="9"/>
        <v>15831618</v>
      </c>
      <c r="J27" s="451">
        <f t="shared" si="9"/>
        <v>15831618</v>
      </c>
      <c r="K27" s="462"/>
      <c r="W27" s="103" t="str">
        <f t="shared" si="0"/>
        <v>Sub Total Fijo</v>
      </c>
      <c r="X27" s="94">
        <f t="shared" si="1"/>
        <v>15831618</v>
      </c>
      <c r="Y27" s="94">
        <f t="shared" si="2"/>
        <v>15831618</v>
      </c>
      <c r="Z27" s="94">
        <f t="shared" si="3"/>
        <v>15831618</v>
      </c>
      <c r="AA27" s="94">
        <f t="shared" si="4"/>
        <v>15831618</v>
      </c>
      <c r="AB27" s="94">
        <f t="shared" si="5"/>
        <v>15831618</v>
      </c>
      <c r="AC27" s="94">
        <f t="shared" si="6"/>
        <v>15831618</v>
      </c>
    </row>
    <row r="28" spans="2:29" s="24" customFormat="1" ht="18" customHeight="1">
      <c r="B28" s="447"/>
      <c r="C28" s="814" t="s">
        <v>102</v>
      </c>
      <c r="D28" s="814"/>
      <c r="E28" s="448"/>
      <c r="F28" s="448">
        <f>+'Salida-3-Plan de Inversión'!D48</f>
        <v>5032206</v>
      </c>
      <c r="G28" s="448">
        <f>+'Salida-3-Plan de Inversión'!F48</f>
        <v>5032206</v>
      </c>
      <c r="H28" s="448">
        <f>+'Salida-3-Plan de Inversión'!H48</f>
        <v>5032206</v>
      </c>
      <c r="I28" s="448">
        <f>+'Salida-3-Plan de Inversión'!J48</f>
        <v>105000</v>
      </c>
      <c r="J28" s="448">
        <f>+'Salida-3-Plan de Inversión'!L48</f>
        <v>105000</v>
      </c>
      <c r="K28" s="462"/>
      <c r="W28" s="104" t="str">
        <f t="shared" si="0"/>
        <v>Depreciación Acumulada</v>
      </c>
      <c r="X28" s="93">
        <f t="shared" si="1"/>
        <v>0</v>
      </c>
      <c r="Y28" s="93">
        <f t="shared" si="2"/>
        <v>5032206</v>
      </c>
      <c r="Z28" s="93">
        <f t="shared" si="3"/>
        <v>5032206</v>
      </c>
      <c r="AA28" s="93">
        <f t="shared" si="4"/>
        <v>5032206</v>
      </c>
      <c r="AB28" s="93">
        <f t="shared" si="5"/>
        <v>105000</v>
      </c>
      <c r="AC28" s="93">
        <f t="shared" si="6"/>
        <v>105000</v>
      </c>
    </row>
    <row r="29" spans="2:29" s="24" customFormat="1" ht="25.5" customHeight="1">
      <c r="B29" s="447"/>
      <c r="C29" s="817" t="s">
        <v>2734</v>
      </c>
      <c r="D29" s="817"/>
      <c r="E29" s="449">
        <f t="shared" ref="E29:J29" si="10">+E27-E28</f>
        <v>15831618</v>
      </c>
      <c r="F29" s="449">
        <f t="shared" si="10"/>
        <v>10799412</v>
      </c>
      <c r="G29" s="449">
        <f t="shared" si="10"/>
        <v>10799412</v>
      </c>
      <c r="H29" s="449">
        <f t="shared" si="10"/>
        <v>10799412</v>
      </c>
      <c r="I29" s="449">
        <f t="shared" si="10"/>
        <v>15726618</v>
      </c>
      <c r="J29" s="449">
        <f t="shared" si="10"/>
        <v>15726618</v>
      </c>
      <c r="K29" s="462"/>
      <c r="W29" s="103" t="str">
        <f t="shared" si="0"/>
        <v>Total Activo Fijo Neto</v>
      </c>
      <c r="X29" s="94">
        <f t="shared" si="1"/>
        <v>15831618</v>
      </c>
      <c r="Y29" s="94">
        <f t="shared" si="2"/>
        <v>10799412</v>
      </c>
      <c r="Z29" s="94">
        <f t="shared" si="3"/>
        <v>10799412</v>
      </c>
      <c r="AA29" s="94">
        <f t="shared" si="4"/>
        <v>10799412</v>
      </c>
      <c r="AB29" s="94">
        <f t="shared" si="5"/>
        <v>15726618</v>
      </c>
      <c r="AC29" s="94">
        <f t="shared" si="6"/>
        <v>15726618</v>
      </c>
    </row>
    <row r="30" spans="2:29" s="24" customFormat="1" ht="25.5" customHeight="1">
      <c r="B30" s="447"/>
      <c r="C30" s="815" t="s">
        <v>83</v>
      </c>
      <c r="D30" s="815"/>
      <c r="E30" s="452">
        <f t="shared" ref="E30:J30" si="11">+E20+E29</f>
        <v>15831618</v>
      </c>
      <c r="F30" s="452">
        <f t="shared" si="11"/>
        <v>165229332.71634275</v>
      </c>
      <c r="G30" s="452">
        <f t="shared" si="11"/>
        <v>247443063.83899972</v>
      </c>
      <c r="H30" s="452">
        <f t="shared" si="11"/>
        <v>252153099.83412838</v>
      </c>
      <c r="I30" s="452">
        <f t="shared" si="11"/>
        <v>261545863.93894771</v>
      </c>
      <c r="J30" s="452">
        <f t="shared" si="11"/>
        <v>283898325.08135343</v>
      </c>
      <c r="K30" s="462"/>
      <c r="W30" s="98" t="str">
        <f t="shared" si="0"/>
        <v>TOTAL ACTIVOS</v>
      </c>
      <c r="X30" s="33">
        <f t="shared" si="1"/>
        <v>15831618</v>
      </c>
      <c r="Y30" s="33">
        <f t="shared" si="2"/>
        <v>165229332.71634275</v>
      </c>
      <c r="Z30" s="33">
        <f t="shared" si="3"/>
        <v>247443063.83899972</v>
      </c>
      <c r="AA30" s="33">
        <f t="shared" si="4"/>
        <v>252153099.83412838</v>
      </c>
      <c r="AB30" s="33">
        <f t="shared" si="5"/>
        <v>261545863.93894771</v>
      </c>
      <c r="AC30" s="33">
        <f t="shared" si="6"/>
        <v>283898325.08135343</v>
      </c>
    </row>
    <row r="31" spans="2:29" s="24" customFormat="1" ht="25.5" customHeight="1">
      <c r="B31" s="447"/>
      <c r="C31" s="816" t="s">
        <v>84</v>
      </c>
      <c r="D31" s="816"/>
      <c r="E31" s="453"/>
      <c r="F31" s="453"/>
      <c r="G31" s="453"/>
      <c r="H31" s="453"/>
      <c r="I31" s="453"/>
      <c r="J31" s="453"/>
      <c r="K31" s="462"/>
      <c r="W31" s="101" t="str">
        <f t="shared" si="0"/>
        <v>PASIVOS</v>
      </c>
      <c r="X31" s="106"/>
      <c r="Y31" s="106"/>
      <c r="Z31" s="106"/>
      <c r="AA31" s="106"/>
      <c r="AB31" s="106"/>
      <c r="AC31" s="106"/>
    </row>
    <row r="32" spans="2:29" s="24" customFormat="1" ht="25.5" customHeight="1">
      <c r="B32" s="447"/>
      <c r="C32" s="816" t="s">
        <v>2735</v>
      </c>
      <c r="D32" s="816"/>
      <c r="E32" s="450"/>
      <c r="F32" s="450"/>
      <c r="G32" s="450"/>
      <c r="H32" s="450"/>
      <c r="I32" s="450"/>
      <c r="J32" s="450"/>
      <c r="K32" s="462"/>
      <c r="W32" s="103" t="str">
        <f t="shared" si="0"/>
        <v>Pasivo Corriente</v>
      </c>
      <c r="X32" s="105"/>
      <c r="Y32" s="105"/>
      <c r="Z32" s="105"/>
      <c r="AA32" s="105"/>
      <c r="AB32" s="105"/>
      <c r="AC32" s="105"/>
    </row>
    <row r="33" spans="2:29" s="24" customFormat="1" ht="18" customHeight="1">
      <c r="B33" s="447"/>
      <c r="C33" s="814" t="s">
        <v>103</v>
      </c>
      <c r="D33" s="814"/>
      <c r="E33" s="448"/>
      <c r="F33" s="448">
        <f>+E33</f>
        <v>0</v>
      </c>
      <c r="G33" s="448">
        <f>+'5-Plan de Inversion'!F40</f>
        <v>0</v>
      </c>
      <c r="H33" s="448">
        <f>+'5-Plan de Inversion'!G40</f>
        <v>0</v>
      </c>
      <c r="I33" s="448">
        <f>+'5-Plan de Inversion'!H40</f>
        <v>0</v>
      </c>
      <c r="J33" s="448">
        <f>+'5-Plan de Inversion'!I40</f>
        <v>0</v>
      </c>
      <c r="K33" s="462"/>
      <c r="W33" s="104" t="str">
        <f t="shared" si="0"/>
        <v>Proveedores</v>
      </c>
      <c r="X33" s="93">
        <f t="shared" si="1"/>
        <v>0</v>
      </c>
      <c r="Y33" s="93">
        <f t="shared" si="2"/>
        <v>0</v>
      </c>
      <c r="Z33" s="93">
        <f t="shared" si="3"/>
        <v>0</v>
      </c>
      <c r="AA33" s="93">
        <f t="shared" si="4"/>
        <v>0</v>
      </c>
      <c r="AB33" s="93">
        <f t="shared" si="5"/>
        <v>0</v>
      </c>
      <c r="AC33" s="93">
        <f t="shared" si="6"/>
        <v>0</v>
      </c>
    </row>
    <row r="34" spans="2:29" s="24" customFormat="1" ht="18" customHeight="1">
      <c r="B34" s="447"/>
      <c r="C34" s="814" t="s">
        <v>2659</v>
      </c>
      <c r="D34" s="814"/>
      <c r="E34" s="448"/>
      <c r="F34" s="448">
        <f>+'Salida-4-P &amp; G'!F31</f>
        <v>40787961.649856336</v>
      </c>
      <c r="G34" s="448">
        <f>+'Salida-4-P &amp; G'!G31</f>
        <v>41706224.828302912</v>
      </c>
      <c r="H34" s="448">
        <f>+'Salida-4-P &amp; G'!H31</f>
        <v>42583802.133089766</v>
      </c>
      <c r="I34" s="448">
        <f>+'Salida-4-P &amp; G'!I31</f>
        <v>45076826.234713405</v>
      </c>
      <c r="J34" s="448">
        <f>+'Salida-4-P &amp; G'!J31</f>
        <v>47687833.998331808</v>
      </c>
      <c r="K34" s="462"/>
      <c r="W34" s="104" t="str">
        <f t="shared" si="0"/>
        <v>Impuesto de Renta por Pagar</v>
      </c>
      <c r="X34" s="93">
        <f t="shared" si="1"/>
        <v>0</v>
      </c>
      <c r="Y34" s="93">
        <f t="shared" si="2"/>
        <v>40787961.649856336</v>
      </c>
      <c r="Z34" s="93">
        <f t="shared" si="3"/>
        <v>41706224.828302912</v>
      </c>
      <c r="AA34" s="93">
        <f t="shared" si="4"/>
        <v>42583802.133089766</v>
      </c>
      <c r="AB34" s="93">
        <f t="shared" si="5"/>
        <v>45076826.234713405</v>
      </c>
      <c r="AC34" s="93">
        <f t="shared" si="6"/>
        <v>47687833.998331808</v>
      </c>
    </row>
    <row r="35" spans="2:29" s="24" customFormat="1" ht="18" customHeight="1">
      <c r="B35" s="447"/>
      <c r="C35" s="814" t="s">
        <v>121</v>
      </c>
      <c r="D35" s="814"/>
      <c r="E35" s="448"/>
      <c r="F35" s="448">
        <f>(+'2-Pto Ventas'!H92+'2-Pto Ventas'!H93)*'Salida-4-P &amp; G'!H36</f>
        <v>8374074.0740740746</v>
      </c>
      <c r="G35" s="448">
        <f>(+'Salida-1-Pto ingresos-insumos'!H49+'Salida-1-Pto ingresos-insumos'!H50)*'Salida-4-P &amp; G'!$H$36</f>
        <v>8625296.2962962948</v>
      </c>
      <c r="H35" s="448">
        <f>(+'Salida-1-Pto ingresos-insumos'!K49+'Salida-1-Pto ingresos-insumos'!K50)*'Salida-4-P &amp; G'!H36</f>
        <v>8884055.1851851847</v>
      </c>
      <c r="I35" s="448">
        <f>(+'Salida-1-Pto ingresos-insumos'!N49+'Salida-1-Pto ingresos-insumos'!N50)*'Salida-4-P &amp; G'!H36</f>
        <v>9150576.8407407384</v>
      </c>
      <c r="J35" s="448">
        <f>(+'Salida-1-Pto ingresos-insumos'!Q49+'Salida-1-Pto ingresos-insumos'!Q50)*'Salida-4-P &amp; G'!H36</f>
        <v>9425094.145962961</v>
      </c>
      <c r="K35" s="462"/>
      <c r="W35" s="104" t="str">
        <f t="shared" si="0"/>
        <v xml:space="preserve">IVA por Pagar </v>
      </c>
      <c r="X35" s="93">
        <f t="shared" si="1"/>
        <v>0</v>
      </c>
      <c r="Y35" s="93">
        <f t="shared" si="2"/>
        <v>8374074.0740740746</v>
      </c>
      <c r="Z35" s="93">
        <f t="shared" si="3"/>
        <v>8625296.2962962948</v>
      </c>
      <c r="AA35" s="93">
        <f t="shared" si="4"/>
        <v>8884055.1851851847</v>
      </c>
      <c r="AB35" s="93">
        <f t="shared" si="5"/>
        <v>9150576.8407407384</v>
      </c>
      <c r="AC35" s="93">
        <f t="shared" si="6"/>
        <v>9425094.145962961</v>
      </c>
    </row>
    <row r="36" spans="2:29" s="24" customFormat="1" ht="18" customHeight="1">
      <c r="B36" s="447"/>
      <c r="C36" s="814" t="s">
        <v>104</v>
      </c>
      <c r="D36" s="814"/>
      <c r="E36" s="448"/>
      <c r="F36" s="448">
        <f>+'Salida-2-Pto Costos y Gastos'!E25+'Salida-2-Pto Costos y Gastos'!E26+'Salida-2-Pto Costos y Gastos'!E35+'Salida-2-Pto Costos y Gastos'!E36+'Salida-2-Pto Costos y Gastos'!E45+'Salida-2-Pto Costos y Gastos'!E46</f>
        <v>2727757.1541225598</v>
      </c>
      <c r="G36" s="448">
        <f>+'Salida-2-Pto Costos y Gastos'!G25+'Salida-2-Pto Costos y Gastos'!G26+'Salida-2-Pto Costos y Gastos'!G35+'Salida-2-Pto Costos y Gastos'!G36+'Salida-2-Pto Costos y Gastos'!G45+'Salida-2-Pto Costos y Gastos'!G46</f>
        <v>2809589.8687462364</v>
      </c>
      <c r="H36" s="448">
        <f>+'Salida-2-Pto Costos y Gastos'!I25+'Salida-2-Pto Costos y Gastos'!I26+'Salida-2-Pto Costos y Gastos'!I35+'Salida-2-Pto Costos y Gastos'!I36+'Salida-2-Pto Costos y Gastos'!I45+'Salida-2-Pto Costos y Gastos'!I46</f>
        <v>2893877.5648086243</v>
      </c>
      <c r="I36" s="448">
        <f>+'Salida-2-Pto Costos y Gastos'!K25+'Salida-2-Pto Costos y Gastos'!K26+'Salida-2-Pto Costos y Gastos'!K35+'Salida-2-Pto Costos y Gastos'!K36+'Salida-2-Pto Costos y Gastos'!K45+'Salida-2-Pto Costos y Gastos'!K46</f>
        <v>2980693.8917528824</v>
      </c>
      <c r="J36" s="448">
        <f>+'Salida-2-Pto Costos y Gastos'!M25+'Salida-2-Pto Costos y Gastos'!M26+'Salida-2-Pto Costos y Gastos'!M35+'Salida-2-Pto Costos y Gastos'!M36+'Salida-2-Pto Costos y Gastos'!M45+'Salida-2-Pto Costos y Gastos'!M46</f>
        <v>3070114.7085054689</v>
      </c>
      <c r="K36" s="462"/>
      <c r="W36" s="104" t="str">
        <f t="shared" si="0"/>
        <v>Laborales por Pagar (Cesantías e Ints.)</v>
      </c>
      <c r="X36" s="93">
        <f t="shared" si="1"/>
        <v>0</v>
      </c>
      <c r="Y36" s="93">
        <f t="shared" si="2"/>
        <v>2727757.1541225598</v>
      </c>
      <c r="Z36" s="93">
        <f t="shared" si="3"/>
        <v>2809589.8687462364</v>
      </c>
      <c r="AA36" s="93">
        <f t="shared" si="4"/>
        <v>2893877.5648086243</v>
      </c>
      <c r="AB36" s="93">
        <f t="shared" si="5"/>
        <v>2980693.8917528824</v>
      </c>
      <c r="AC36" s="93">
        <f t="shared" si="6"/>
        <v>3070114.7085054689</v>
      </c>
    </row>
    <row r="37" spans="2:29" s="24" customFormat="1" ht="18" customHeight="1">
      <c r="B37" s="447"/>
      <c r="C37" s="814" t="s">
        <v>105</v>
      </c>
      <c r="D37" s="814"/>
      <c r="E37" s="448"/>
      <c r="F37" s="448">
        <f>(+'Salida-2-Pto Costos y Gastos'!E24+'Salida-2-Pto Costos y Gastos'!E34+'Salida-2-Pto Costos y Gastos'!E44)/12</f>
        <v>109023.12</v>
      </c>
      <c r="G37" s="448">
        <f>(+'Salida-2-Pto Costos y Gastos'!G24+'Salida-2-Pto Costos y Gastos'!G34+'Salida-2-Pto Costos y Gastos'!G44)/12</f>
        <v>112293.81359999999</v>
      </c>
      <c r="H37" s="448">
        <f>(+'Salida-2-Pto Costos y Gastos'!I24+'Salida-2-Pto Costos y Gastos'!I34+'Salida-2-Pto Costos y Gastos'!I44)/12</f>
        <v>115662.62800800001</v>
      </c>
      <c r="I37" s="448">
        <f>(+'Salida-2-Pto Costos y Gastos'!K24+'Salida-2-Pto Costos y Gastos'!K34+'Salida-2-Pto Costos y Gastos'!K44)/12</f>
        <v>119132.50684823999</v>
      </c>
      <c r="J37" s="448">
        <f>(+'Salida-2-Pto Costos y Gastos'!M24+'Salida-2-Pto Costos y Gastos'!M34+'Salida-2-Pto Costos y Gastos'!M44)/12</f>
        <v>122706.4820536872</v>
      </c>
      <c r="K37" s="462"/>
      <c r="W37" s="104" t="str">
        <f t="shared" si="0"/>
        <v>Parafiscales y Provisiones</v>
      </c>
      <c r="X37" s="93">
        <f t="shared" si="1"/>
        <v>0</v>
      </c>
      <c r="Y37" s="93">
        <f t="shared" si="2"/>
        <v>109023.12</v>
      </c>
      <c r="Z37" s="93">
        <f t="shared" si="3"/>
        <v>112293.81359999999</v>
      </c>
      <c r="AA37" s="93">
        <f t="shared" si="4"/>
        <v>115662.62800800001</v>
      </c>
      <c r="AB37" s="93">
        <f t="shared" si="5"/>
        <v>119132.50684823999</v>
      </c>
      <c r="AC37" s="93">
        <f t="shared" si="6"/>
        <v>122706.4820536872</v>
      </c>
    </row>
    <row r="38" spans="2:29" s="24" customFormat="1" ht="18" customHeight="1">
      <c r="B38" s="447"/>
      <c r="C38" s="814" t="s">
        <v>106</v>
      </c>
      <c r="D38" s="814"/>
      <c r="E38" s="454">
        <f>SUM('Salida-3-Plan de Inversión'!I74:I85)</f>
        <v>-3293978.0377313229</v>
      </c>
      <c r="F38" s="455">
        <f>SUM('Salida-3-Plan de Inversión'!I86:I97)</f>
        <v>-4157943.8556530094</v>
      </c>
      <c r="G38" s="448">
        <f>SUM('Salida-3-Plan de Inversión'!I98:I109)</f>
        <v>-5248516.2040332882</v>
      </c>
      <c r="H38" s="448">
        <f>SUM('Salida-3-Plan de Inversión'!I110:I121)</f>
        <v>-6625130.9061203562</v>
      </c>
      <c r="I38" s="448">
        <f>SUM('Salida-3-Plan de Inversión'!I122:I133)</f>
        <v>-8362812.9964620275</v>
      </c>
      <c r="J38" s="448"/>
      <c r="K38" s="463"/>
      <c r="W38" s="104" t="str">
        <f t="shared" si="0"/>
        <v>Obligación (Crédito)</v>
      </c>
      <c r="X38" s="95">
        <f t="shared" si="1"/>
        <v>-3293978.0377313229</v>
      </c>
      <c r="Y38" s="96">
        <f t="shared" si="2"/>
        <v>-4157943.8556530094</v>
      </c>
      <c r="Z38" s="93">
        <f t="shared" si="3"/>
        <v>-5248516.2040332882</v>
      </c>
      <c r="AA38" s="93">
        <f t="shared" si="4"/>
        <v>-6625130.9061203562</v>
      </c>
      <c r="AB38" s="93">
        <f t="shared" si="5"/>
        <v>-8362812.9964620275</v>
      </c>
      <c r="AC38" s="93">
        <f t="shared" si="6"/>
        <v>0</v>
      </c>
    </row>
    <row r="39" spans="2:29" s="24" customFormat="1" ht="25.5" customHeight="1">
      <c r="B39" s="447"/>
      <c r="C39" s="817" t="s">
        <v>2736</v>
      </c>
      <c r="D39" s="817"/>
      <c r="E39" s="449">
        <f t="shared" ref="E39:J39" si="12">SUM(E33:E38)</f>
        <v>-3293978.0377313229</v>
      </c>
      <c r="F39" s="449">
        <f t="shared" si="12"/>
        <v>47840872.142399959</v>
      </c>
      <c r="G39" s="449">
        <f t="shared" si="12"/>
        <v>48004888.602912158</v>
      </c>
      <c r="H39" s="449">
        <f t="shared" si="12"/>
        <v>47852266.604971215</v>
      </c>
      <c r="I39" s="449">
        <f t="shared" si="12"/>
        <v>48964416.477593243</v>
      </c>
      <c r="J39" s="449">
        <f t="shared" si="12"/>
        <v>60305749.334853925</v>
      </c>
      <c r="K39" s="462"/>
      <c r="W39" s="103" t="str">
        <f t="shared" si="0"/>
        <v>Total Pasivo Corriente</v>
      </c>
      <c r="X39" s="94">
        <f t="shared" si="1"/>
        <v>-3293978.0377313229</v>
      </c>
      <c r="Y39" s="94">
        <f t="shared" si="2"/>
        <v>47840872.142399959</v>
      </c>
      <c r="Z39" s="94">
        <f t="shared" si="3"/>
        <v>48004888.602912158</v>
      </c>
      <c r="AA39" s="94">
        <f t="shared" si="4"/>
        <v>47852266.604971215</v>
      </c>
      <c r="AB39" s="94">
        <f t="shared" si="5"/>
        <v>48964416.477593243</v>
      </c>
      <c r="AC39" s="94">
        <f t="shared" si="6"/>
        <v>60305749.334853925</v>
      </c>
    </row>
    <row r="40" spans="2:29" s="24" customFormat="1" ht="25.5" customHeight="1">
      <c r="B40" s="447"/>
      <c r="C40" s="816" t="s">
        <v>2737</v>
      </c>
      <c r="D40" s="816"/>
      <c r="E40" s="456"/>
      <c r="F40" s="456"/>
      <c r="G40" s="456"/>
      <c r="H40" s="456"/>
      <c r="I40" s="456"/>
      <c r="J40" s="456"/>
      <c r="K40" s="462"/>
      <c r="W40" s="103" t="str">
        <f t="shared" si="0"/>
        <v>Pasivo Largo Plazo</v>
      </c>
      <c r="X40" s="105"/>
      <c r="Y40" s="105"/>
      <c r="Z40" s="105"/>
      <c r="AA40" s="105"/>
      <c r="AB40" s="105"/>
      <c r="AC40" s="105"/>
    </row>
    <row r="41" spans="2:29" s="24" customFormat="1" ht="18" customHeight="1">
      <c r="B41" s="447"/>
      <c r="C41" s="814" t="s">
        <v>106</v>
      </c>
      <c r="D41" s="814"/>
      <c r="E41" s="448">
        <f>SUM('Salida-3-Plan de Inversión'!G74:G85)</f>
        <v>-6172136.6819353169</v>
      </c>
      <c r="F41" s="448">
        <f>SUM('Salida-3-Plan de Inversión'!G86:G97)</f>
        <v>-5308170.864013629</v>
      </c>
      <c r="G41" s="448">
        <f>SUM('Salida-3-Plan de Inversión'!G98:G109)</f>
        <v>-4217598.5156333512</v>
      </c>
      <c r="H41" s="448">
        <f>SUM('Salida-3-Plan de Inversión'!G110:G121)</f>
        <v>-2840983.8135462827</v>
      </c>
      <c r="I41" s="448">
        <f>SUM('Salida-3-Plan de Inversión'!G122:G133)</f>
        <v>-1103301.7232046109</v>
      </c>
      <c r="J41" s="448"/>
      <c r="K41" s="463"/>
      <c r="W41" s="104" t="str">
        <f t="shared" si="0"/>
        <v>Obligación (Crédito)</v>
      </c>
      <c r="X41" s="93">
        <f t="shared" si="1"/>
        <v>-6172136.6819353169</v>
      </c>
      <c r="Y41" s="93">
        <f t="shared" si="2"/>
        <v>-5308170.864013629</v>
      </c>
      <c r="Z41" s="93">
        <f t="shared" si="3"/>
        <v>-4217598.5156333512</v>
      </c>
      <c r="AA41" s="93">
        <f t="shared" si="4"/>
        <v>-2840983.8135462827</v>
      </c>
      <c r="AB41" s="93">
        <f t="shared" si="5"/>
        <v>-1103301.7232046109</v>
      </c>
      <c r="AC41" s="93">
        <f t="shared" si="6"/>
        <v>0</v>
      </c>
    </row>
    <row r="42" spans="2:29" s="24" customFormat="1" ht="25.5" customHeight="1">
      <c r="B42" s="447"/>
      <c r="C42" s="816" t="s">
        <v>2738</v>
      </c>
      <c r="D42" s="816"/>
      <c r="E42" s="451">
        <f t="shared" ref="E42:J42" si="13">SUM(E41:E41)</f>
        <v>-6172136.6819353169</v>
      </c>
      <c r="F42" s="451">
        <f t="shared" si="13"/>
        <v>-5308170.864013629</v>
      </c>
      <c r="G42" s="451">
        <f t="shared" si="13"/>
        <v>-4217598.5156333512</v>
      </c>
      <c r="H42" s="451">
        <f t="shared" si="13"/>
        <v>-2840983.8135462827</v>
      </c>
      <c r="I42" s="451">
        <f t="shared" si="13"/>
        <v>-1103301.7232046109</v>
      </c>
      <c r="J42" s="451">
        <f t="shared" si="13"/>
        <v>0</v>
      </c>
      <c r="K42" s="464"/>
      <c r="W42" s="103" t="str">
        <f t="shared" si="0"/>
        <v xml:space="preserve">Total Pasivo Mediano y Largo </v>
      </c>
      <c r="X42" s="94">
        <f t="shared" si="1"/>
        <v>-6172136.6819353169</v>
      </c>
      <c r="Y42" s="94">
        <f t="shared" si="2"/>
        <v>-5308170.864013629</v>
      </c>
      <c r="Z42" s="94">
        <f t="shared" si="3"/>
        <v>-4217598.5156333512</v>
      </c>
      <c r="AA42" s="94">
        <f t="shared" si="4"/>
        <v>-2840983.8135462827</v>
      </c>
      <c r="AB42" s="94">
        <f t="shared" si="5"/>
        <v>-1103301.7232046109</v>
      </c>
      <c r="AC42" s="94">
        <f t="shared" si="6"/>
        <v>0</v>
      </c>
    </row>
    <row r="43" spans="2:29" s="24" customFormat="1" ht="25.5" customHeight="1">
      <c r="B43" s="447"/>
      <c r="C43" s="815" t="s">
        <v>85</v>
      </c>
      <c r="D43" s="815"/>
      <c r="E43" s="452">
        <f t="shared" ref="E43:J43" si="14">+E39+E42</f>
        <v>-9466114.7196666393</v>
      </c>
      <c r="F43" s="452">
        <f t="shared" si="14"/>
        <v>42532701.278386332</v>
      </c>
      <c r="G43" s="452">
        <f t="shared" si="14"/>
        <v>43787290.087278806</v>
      </c>
      <c r="H43" s="452">
        <f t="shared" si="14"/>
        <v>45011282.79142493</v>
      </c>
      <c r="I43" s="452">
        <f t="shared" si="14"/>
        <v>47861114.75438863</v>
      </c>
      <c r="J43" s="452">
        <f t="shared" si="14"/>
        <v>60305749.334853925</v>
      </c>
      <c r="K43" s="464"/>
      <c r="W43" s="98" t="str">
        <f t="shared" si="0"/>
        <v xml:space="preserve">TOTAL PASIVO </v>
      </c>
      <c r="X43" s="33">
        <f t="shared" si="1"/>
        <v>-9466114.7196666393</v>
      </c>
      <c r="Y43" s="33">
        <f t="shared" si="2"/>
        <v>42532701.278386332</v>
      </c>
      <c r="Z43" s="33">
        <f t="shared" si="3"/>
        <v>43787290.087278806</v>
      </c>
      <c r="AA43" s="33">
        <f t="shared" si="4"/>
        <v>45011282.79142493</v>
      </c>
      <c r="AB43" s="33">
        <f t="shared" si="5"/>
        <v>47861114.75438863</v>
      </c>
      <c r="AC43" s="33">
        <f t="shared" si="6"/>
        <v>60305749.334853925</v>
      </c>
    </row>
    <row r="44" spans="2:29" s="24" customFormat="1" ht="25.5" customHeight="1">
      <c r="B44" s="447"/>
      <c r="C44" s="816" t="s">
        <v>86</v>
      </c>
      <c r="D44" s="816"/>
      <c r="E44" s="456"/>
      <c r="F44" s="456"/>
      <c r="G44" s="456"/>
      <c r="H44" s="456"/>
      <c r="I44" s="456"/>
      <c r="J44" s="456"/>
      <c r="K44" s="464"/>
      <c r="W44" s="103" t="str">
        <f t="shared" si="0"/>
        <v>PATRIMONIO</v>
      </c>
      <c r="X44" s="105"/>
      <c r="Y44" s="105"/>
      <c r="Z44" s="105"/>
      <c r="AA44" s="105"/>
      <c r="AB44" s="105"/>
      <c r="AC44" s="105"/>
    </row>
    <row r="45" spans="2:29" s="24" customFormat="1" ht="18" customHeight="1">
      <c r="B45" s="447"/>
      <c r="C45" s="814" t="s">
        <v>107</v>
      </c>
      <c r="D45" s="814"/>
      <c r="E45" s="448">
        <f>+'Salida-3-Plan de Inversión'!H36</f>
        <v>43520000</v>
      </c>
      <c r="F45" s="448">
        <f>+E45</f>
        <v>43520000</v>
      </c>
      <c r="G45" s="448">
        <f>+F45</f>
        <v>43520000</v>
      </c>
      <c r="H45" s="448">
        <f>+G45</f>
        <v>43520000</v>
      </c>
      <c r="I45" s="448">
        <f>+H45</f>
        <v>43520000</v>
      </c>
      <c r="J45" s="448">
        <f>+I45</f>
        <v>43520000</v>
      </c>
      <c r="K45" s="465"/>
      <c r="W45" s="104" t="str">
        <f t="shared" si="0"/>
        <v>Capital</v>
      </c>
      <c r="X45" s="93">
        <f t="shared" si="1"/>
        <v>43520000</v>
      </c>
      <c r="Y45" s="93">
        <f t="shared" si="2"/>
        <v>43520000</v>
      </c>
      <c r="Z45" s="93">
        <f t="shared" si="3"/>
        <v>43520000</v>
      </c>
      <c r="AA45" s="93">
        <f t="shared" si="4"/>
        <v>43520000</v>
      </c>
      <c r="AB45" s="93">
        <f t="shared" si="5"/>
        <v>43520000</v>
      </c>
      <c r="AC45" s="93">
        <f t="shared" si="6"/>
        <v>43520000</v>
      </c>
    </row>
    <row r="46" spans="2:29" s="24" customFormat="1" ht="18" customHeight="1">
      <c r="B46" s="447"/>
      <c r="C46" s="814" t="s">
        <v>108</v>
      </c>
      <c r="D46" s="814"/>
      <c r="E46" s="448"/>
      <c r="F46" s="448">
        <f>+'Salida-4-P &amp; G'!F32</f>
        <v>79176631.437956423</v>
      </c>
      <c r="G46" s="448">
        <f>+'Salida-4-P &amp; G'!G32</f>
        <v>80959142.313764483</v>
      </c>
      <c r="H46" s="448">
        <f>+'Salida-4-P &amp; G'!H32</f>
        <v>82662674.728938952</v>
      </c>
      <c r="I46" s="448">
        <f>+'Salida-4-P &amp; G'!I32</f>
        <v>87502074.455620125</v>
      </c>
      <c r="J46" s="448">
        <f>+'Salida-4-P &amp; G'!J32</f>
        <v>92570501.290879369</v>
      </c>
      <c r="K46" s="462"/>
      <c r="W46" s="104" t="str">
        <f t="shared" si="0"/>
        <v>Utilidad del Ejercicio</v>
      </c>
      <c r="X46" s="93">
        <f t="shared" si="1"/>
        <v>0</v>
      </c>
      <c r="Y46" s="93">
        <f t="shared" si="2"/>
        <v>79176631.437956423</v>
      </c>
      <c r="Z46" s="93">
        <f t="shared" si="3"/>
        <v>80959142.313764483</v>
      </c>
      <c r="AA46" s="93">
        <f t="shared" si="4"/>
        <v>82662674.728938952</v>
      </c>
      <c r="AB46" s="93">
        <f t="shared" si="5"/>
        <v>87502074.455620125</v>
      </c>
      <c r="AC46" s="93">
        <f t="shared" si="6"/>
        <v>92570501.290879369</v>
      </c>
    </row>
    <row r="47" spans="2:29" s="24" customFormat="1" ht="18" customHeight="1">
      <c r="B47" s="447"/>
      <c r="C47" s="814" t="s">
        <v>109</v>
      </c>
      <c r="D47" s="814"/>
      <c r="E47" s="448"/>
      <c r="F47" s="448"/>
      <c r="G47" s="448">
        <f>+F46</f>
        <v>79176631.437956423</v>
      </c>
      <c r="H47" s="448">
        <f>+G46</f>
        <v>80959142.313764483</v>
      </c>
      <c r="I47" s="448">
        <f>+H46</f>
        <v>82662674.728938952</v>
      </c>
      <c r="J47" s="448">
        <f>+I46</f>
        <v>87502074.455620125</v>
      </c>
      <c r="K47" s="462"/>
      <c r="W47" s="104" t="str">
        <f t="shared" si="0"/>
        <v>Utilidad Retenida Ejercicios Anteriores</v>
      </c>
      <c r="X47" s="93">
        <f t="shared" si="1"/>
        <v>0</v>
      </c>
      <c r="Y47" s="93">
        <f t="shared" si="2"/>
        <v>0</v>
      </c>
      <c r="Z47" s="93">
        <f t="shared" si="3"/>
        <v>79176631.437956423</v>
      </c>
      <c r="AA47" s="93">
        <f t="shared" si="4"/>
        <v>80959142.313764483</v>
      </c>
      <c r="AB47" s="93">
        <f t="shared" si="5"/>
        <v>82662674.728938952</v>
      </c>
      <c r="AC47" s="93">
        <f t="shared" si="6"/>
        <v>87502074.455620125</v>
      </c>
    </row>
    <row r="48" spans="2:29" s="24" customFormat="1" ht="25.5" customHeight="1">
      <c r="B48" s="447"/>
      <c r="C48" s="815" t="s">
        <v>87</v>
      </c>
      <c r="D48" s="815"/>
      <c r="E48" s="452">
        <f t="shared" ref="E48:J48" si="15">SUM(E45:E47)</f>
        <v>43520000</v>
      </c>
      <c r="F48" s="452">
        <f t="shared" si="15"/>
        <v>122696631.43795642</v>
      </c>
      <c r="G48" s="452">
        <f t="shared" si="15"/>
        <v>203655773.75172091</v>
      </c>
      <c r="H48" s="452">
        <f t="shared" si="15"/>
        <v>207141817.04270345</v>
      </c>
      <c r="I48" s="452">
        <f t="shared" si="15"/>
        <v>213684749.18455908</v>
      </c>
      <c r="J48" s="452">
        <f t="shared" si="15"/>
        <v>223592575.74649948</v>
      </c>
      <c r="K48" s="462"/>
      <c r="W48" s="98" t="str">
        <f t="shared" si="0"/>
        <v>TOTAL PATRIMONIO</v>
      </c>
      <c r="X48" s="33">
        <f t="shared" si="1"/>
        <v>43520000</v>
      </c>
      <c r="Y48" s="33">
        <f t="shared" si="2"/>
        <v>122696631.43795642</v>
      </c>
      <c r="Z48" s="33">
        <f t="shared" si="3"/>
        <v>203655773.75172091</v>
      </c>
      <c r="AA48" s="33">
        <f t="shared" si="4"/>
        <v>207141817.04270345</v>
      </c>
      <c r="AB48" s="33">
        <f t="shared" si="5"/>
        <v>213684749.18455908</v>
      </c>
      <c r="AC48" s="33">
        <f t="shared" si="6"/>
        <v>223592575.74649948</v>
      </c>
    </row>
    <row r="49" spans="2:29" s="24" customFormat="1" ht="25.5" customHeight="1">
      <c r="B49" s="447"/>
      <c r="C49" s="815" t="s">
        <v>88</v>
      </c>
      <c r="D49" s="815"/>
      <c r="E49" s="452">
        <f t="shared" ref="E49:J49" si="16">+E43+E48</f>
        <v>34053885.280333363</v>
      </c>
      <c r="F49" s="452">
        <f t="shared" si="16"/>
        <v>165229332.71634275</v>
      </c>
      <c r="G49" s="452">
        <f t="shared" si="16"/>
        <v>247443063.83899972</v>
      </c>
      <c r="H49" s="452">
        <f t="shared" si="16"/>
        <v>252153099.83412838</v>
      </c>
      <c r="I49" s="452">
        <f t="shared" si="16"/>
        <v>261545863.93894771</v>
      </c>
      <c r="J49" s="452">
        <f t="shared" si="16"/>
        <v>283898325.08135343</v>
      </c>
      <c r="K49" s="462"/>
      <c r="W49" s="98" t="str">
        <f t="shared" si="0"/>
        <v>TOTAL PASIVO Y PATRIMONIO</v>
      </c>
      <c r="X49" s="33">
        <f t="shared" si="1"/>
        <v>34053885.280333363</v>
      </c>
      <c r="Y49" s="33">
        <f t="shared" si="2"/>
        <v>165229332.71634275</v>
      </c>
      <c r="Z49" s="33">
        <f t="shared" si="3"/>
        <v>247443063.83899972</v>
      </c>
      <c r="AA49" s="33">
        <f t="shared" si="4"/>
        <v>252153099.83412838</v>
      </c>
      <c r="AB49" s="33">
        <f t="shared" si="5"/>
        <v>261545863.93894771</v>
      </c>
      <c r="AC49" s="33">
        <f t="shared" si="6"/>
        <v>283898325.08135343</v>
      </c>
    </row>
    <row r="50" spans="2:29" s="23" customFormat="1" ht="12">
      <c r="B50" s="430"/>
      <c r="C50" s="28"/>
      <c r="D50" s="28"/>
      <c r="K50" s="443"/>
    </row>
    <row r="51" spans="2:29" ht="18" customHeight="1">
      <c r="B51" s="407"/>
      <c r="C51" s="28"/>
      <c r="D51" s="815" t="s">
        <v>88</v>
      </c>
      <c r="E51" s="815"/>
      <c r="F51" s="457">
        <f>+F49</f>
        <v>165229332.71634275</v>
      </c>
      <c r="G51" s="457">
        <f>+G49</f>
        <v>247443063.83899972</v>
      </c>
      <c r="H51" s="457">
        <f>+H49</f>
        <v>252153099.83412838</v>
      </c>
      <c r="I51" s="457">
        <f>+I49</f>
        <v>261545863.93894771</v>
      </c>
      <c r="J51" s="457">
        <f>+J49</f>
        <v>283898325.08135343</v>
      </c>
      <c r="K51" s="413"/>
    </row>
    <row r="52" spans="2:29" ht="36" customHeight="1">
      <c r="B52" s="407"/>
      <c r="C52" s="11"/>
      <c r="D52" s="815" t="s">
        <v>2788</v>
      </c>
      <c r="E52" s="815"/>
      <c r="F52" s="457">
        <f>SUM(F17:F19)+F29</f>
        <v>10799412</v>
      </c>
      <c r="G52" s="457">
        <f>SUM(G17:G19)+G29</f>
        <v>10799412</v>
      </c>
      <c r="H52" s="457">
        <f>SUM(H17:H19)+H29</f>
        <v>10799412</v>
      </c>
      <c r="I52" s="457">
        <f>SUM(I17:I19)+I29</f>
        <v>15726618</v>
      </c>
      <c r="J52" s="457">
        <f>SUM(J17:J19)+J29</f>
        <v>15726618</v>
      </c>
      <c r="K52" s="413"/>
    </row>
    <row r="53" spans="2:29" ht="18" customHeight="1">
      <c r="B53" s="407"/>
      <c r="C53" s="27"/>
      <c r="D53" s="815" t="s">
        <v>123</v>
      </c>
      <c r="E53" s="815"/>
      <c r="F53" s="457">
        <f>+F51-F52</f>
        <v>154429920.71634275</v>
      </c>
      <c r="G53" s="457">
        <f>+G51-G52</f>
        <v>236643651.83899972</v>
      </c>
      <c r="H53" s="457">
        <f>+H51-H52</f>
        <v>241353687.83412838</v>
      </c>
      <c r="I53" s="457">
        <f>+I51-I52</f>
        <v>245819245.93894771</v>
      </c>
      <c r="J53" s="457">
        <f>+J51-J52</f>
        <v>268171707.08135343</v>
      </c>
      <c r="K53" s="413"/>
    </row>
    <row r="54" spans="2:29" ht="15" customHeight="1">
      <c r="B54" s="407"/>
      <c r="C54" s="3"/>
      <c r="D54" s="3"/>
      <c r="E54" s="3"/>
      <c r="F54" s="3"/>
      <c r="G54" s="3"/>
      <c r="H54" s="3"/>
      <c r="I54" s="3"/>
      <c r="J54" s="3"/>
      <c r="K54" s="413"/>
    </row>
    <row r="55" spans="2:29" ht="15" customHeight="1">
      <c r="B55" s="407"/>
      <c r="C55" s="3"/>
      <c r="D55" s="3"/>
      <c r="E55" s="3"/>
      <c r="F55" s="3"/>
      <c r="G55" s="3"/>
      <c r="H55" s="3"/>
      <c r="I55" s="3"/>
      <c r="J55" s="3"/>
      <c r="K55" s="413"/>
    </row>
    <row r="56" spans="2:29" s="63" customFormat="1" ht="15" customHeight="1" thickBot="1">
      <c r="B56" s="376"/>
      <c r="C56" s="241"/>
      <c r="D56" s="241"/>
      <c r="E56" s="241"/>
      <c r="F56" s="241"/>
      <c r="G56" s="241"/>
      <c r="H56" s="241"/>
      <c r="I56" s="241"/>
      <c r="J56" s="241"/>
      <c r="K56" s="380"/>
    </row>
    <row r="57" spans="2:29" s="56" customFormat="1" ht="14.25" thickTop="1" thickBot="1">
      <c r="B57" s="269"/>
      <c r="C57" s="270"/>
      <c r="D57" s="270"/>
      <c r="E57" s="270"/>
      <c r="F57" s="270"/>
      <c r="G57" s="270"/>
      <c r="H57" s="270"/>
      <c r="I57" s="270"/>
      <c r="J57" s="270"/>
      <c r="K57" s="271"/>
      <c r="L57" s="65"/>
      <c r="M57" s="65"/>
      <c r="N57" s="65"/>
    </row>
    <row r="58" spans="2:29" ht="13.5" thickTop="1"/>
    <row r="59" spans="2:29">
      <c r="B59" s="11"/>
      <c r="C59" s="11"/>
      <c r="D59" s="11"/>
      <c r="E59" s="11"/>
      <c r="F59" s="11"/>
      <c r="G59" s="11"/>
      <c r="H59" s="11"/>
      <c r="U59" s="5" t="str">
        <f>'Salida-4-P &amp; G'!C14</f>
        <v>Costo Materia Prima</v>
      </c>
      <c r="V59" s="108">
        <f>'Salida-4-P &amp; G'!F14</f>
        <v>0</v>
      </c>
      <c r="W59" s="108">
        <f>'Salida-4-P &amp; G'!G14</f>
        <v>0</v>
      </c>
      <c r="X59" s="108">
        <f>'Salida-4-P &amp; G'!H14</f>
        <v>0</v>
      </c>
      <c r="Y59" s="108">
        <f>'Salida-4-P &amp; G'!I14</f>
        <v>0</v>
      </c>
      <c r="Z59" s="108">
        <f>'Salida-4-P &amp; G'!J14</f>
        <v>0</v>
      </c>
    </row>
    <row r="60" spans="2:29">
      <c r="B60" s="11"/>
      <c r="C60" s="11"/>
      <c r="D60" s="11"/>
      <c r="E60" s="11"/>
      <c r="F60" s="11"/>
      <c r="G60" s="11"/>
      <c r="H60" s="11"/>
      <c r="U60" s="5" t="str">
        <f>'Salida-4-P &amp; G'!C15</f>
        <v>Depreciaciones</v>
      </c>
      <c r="V60" s="108">
        <f>'Salida-4-P &amp; G'!F15</f>
        <v>5032206</v>
      </c>
      <c r="W60" s="108">
        <f>'Salida-4-P &amp; G'!G15</f>
        <v>5032206</v>
      </c>
      <c r="X60" s="108">
        <f>'Salida-4-P &amp; G'!H15</f>
        <v>5032206</v>
      </c>
      <c r="Y60" s="108">
        <f>'Salida-4-P &amp; G'!I15</f>
        <v>105000</v>
      </c>
      <c r="Z60" s="108">
        <f>'Salida-4-P &amp; G'!J15</f>
        <v>105000</v>
      </c>
    </row>
    <row r="61" spans="2:29">
      <c r="B61" s="11"/>
      <c r="C61" s="11"/>
      <c r="D61" s="11"/>
      <c r="E61" s="11"/>
      <c r="F61" s="11"/>
      <c r="G61" s="11"/>
      <c r="H61" s="11"/>
      <c r="U61" s="5" t="str">
        <f>'Salida-4-P &amp; G'!C16</f>
        <v>Costos Indirectos de Fabricación</v>
      </c>
      <c r="V61" s="108">
        <f>'Salida-4-P &amp; G'!F16</f>
        <v>10344000</v>
      </c>
      <c r="W61" s="108">
        <f>'Salida-4-P &amp; G'!G16</f>
        <v>10654320</v>
      </c>
      <c r="X61" s="108">
        <f>'Salida-4-P &amp; G'!H16</f>
        <v>10973949.6</v>
      </c>
      <c r="Y61" s="108">
        <f>'Salida-4-P &amp; G'!I16</f>
        <v>11303168.088</v>
      </c>
      <c r="Z61" s="108">
        <f>'Salida-4-P &amp; G'!J16</f>
        <v>11642263.13064</v>
      </c>
    </row>
    <row r="62" spans="2:29">
      <c r="B62" s="11"/>
      <c r="C62" s="11"/>
      <c r="D62" s="11"/>
      <c r="E62" s="11"/>
      <c r="F62" s="11"/>
      <c r="G62" s="11"/>
      <c r="H62" s="11"/>
      <c r="U62" s="5" t="str">
        <f>'Salida-4-P &amp; G'!C17</f>
        <v>Personal Operativo</v>
      </c>
      <c r="V62" s="108">
        <f>'Salida-4-P &amp; G'!F17</f>
        <v>40831337.594122559</v>
      </c>
      <c r="W62" s="108">
        <f>'Salida-4-P &amp; G'!G17</f>
        <v>42056277.721946232</v>
      </c>
      <c r="X62" s="108">
        <f>'Salida-4-P &amp; G'!H17</f>
        <v>43317966.053604633</v>
      </c>
      <c r="Y62" s="108">
        <f>'Salida-4-P &amp; G'!I17</f>
        <v>44617505.035212763</v>
      </c>
      <c r="Z62" s="108">
        <f>'Salida-4-P &amp; G'!J17</f>
        <v>45956030.186269157</v>
      </c>
    </row>
    <row r="63" spans="2:29">
      <c r="B63" s="11"/>
      <c r="C63" s="11"/>
      <c r="D63" s="11"/>
      <c r="E63" s="11"/>
      <c r="F63" s="11"/>
      <c r="G63" s="11"/>
      <c r="H63" s="11"/>
      <c r="U63" s="109" t="str">
        <f>'Salida-4-P &amp; G'!C18</f>
        <v>Total Costo de Producción</v>
      </c>
      <c r="V63" s="111">
        <f>'Salida-4-P &amp; G'!F18</f>
        <v>56207543.594122559</v>
      </c>
      <c r="W63" s="111">
        <f>'Salida-4-P &amp; G'!G18</f>
        <v>57742803.721946232</v>
      </c>
      <c r="X63" s="111">
        <f>'Salida-4-P &amp; G'!H18</f>
        <v>59324121.653604634</v>
      </c>
      <c r="Y63" s="111">
        <f>'Salida-4-P &amp; G'!I18</f>
        <v>56025673.123212762</v>
      </c>
      <c r="Z63" s="111">
        <f>'Salida-4-P &amp; G'!J18</f>
        <v>57703293.316909157</v>
      </c>
    </row>
    <row r="64" spans="2:29">
      <c r="B64" s="11"/>
      <c r="C64" s="11"/>
      <c r="D64" s="11"/>
      <c r="E64" s="11"/>
      <c r="F64" s="11"/>
      <c r="G64" s="11"/>
      <c r="H64" s="11"/>
      <c r="U64" s="109" t="str">
        <f>'Salida-4-P &amp; G'!C19</f>
        <v xml:space="preserve">Utilidad Bruta </v>
      </c>
      <c r="V64" s="111">
        <f>'Salida-4-P &amp; G'!F19</f>
        <v>113792456.40587744</v>
      </c>
      <c r="W64" s="111">
        <f>'Salida-4-P &amp; G'!G19</f>
        <v>117357196.27805376</v>
      </c>
      <c r="X64" s="111">
        <f>'Salida-4-P &amp; G'!H19</f>
        <v>121028878.34639537</v>
      </c>
      <c r="Y64" s="111">
        <f>'Salida-4-P &amp; G'!I19</f>
        <v>129737916.87678725</v>
      </c>
      <c r="Z64" s="111">
        <f>'Salida-4-P &amp; G'!J19</f>
        <v>133633204.38309082</v>
      </c>
    </row>
    <row r="65" spans="2:26">
      <c r="B65" s="11"/>
      <c r="C65" s="11"/>
      <c r="D65" s="11"/>
      <c r="E65" s="11"/>
      <c r="F65" s="11"/>
      <c r="G65" s="11"/>
      <c r="H65" s="11"/>
      <c r="U65" s="5" t="str">
        <f>'Salida-4-P &amp; G'!C20</f>
        <v>Salarios de Personal Administrativo</v>
      </c>
      <c r="V65" s="108">
        <f>'Salida-4-P &amp; G'!F20</f>
        <v>0</v>
      </c>
      <c r="W65" s="108">
        <f>'Salida-4-P &amp; G'!G20</f>
        <v>0</v>
      </c>
      <c r="X65" s="108">
        <f>'Salida-4-P &amp; G'!H20</f>
        <v>0</v>
      </c>
      <c r="Y65" s="108">
        <f>'Salida-4-P &amp; G'!I20</f>
        <v>0</v>
      </c>
      <c r="Z65" s="108">
        <f>'Salida-4-P &amp; G'!J20</f>
        <v>0</v>
      </c>
    </row>
    <row r="66" spans="2:26">
      <c r="B66" s="11"/>
      <c r="C66" s="11"/>
      <c r="D66" s="11"/>
      <c r="E66" s="11"/>
      <c r="F66" s="11"/>
      <c r="G66" s="11"/>
      <c r="H66" s="11"/>
      <c r="U66" s="5" t="str">
        <f>'Salida-4-P &amp; G'!C21</f>
        <v>Gastos de Administración</v>
      </c>
      <c r="V66" s="108">
        <f>'Salida-4-P &amp; G'!F21</f>
        <v>0</v>
      </c>
      <c r="W66" s="108">
        <f>'Salida-4-P &amp; G'!G21</f>
        <v>0</v>
      </c>
      <c r="X66" s="108">
        <f>'Salida-4-P &amp; G'!H21</f>
        <v>0</v>
      </c>
      <c r="Y66" s="108">
        <f>'Salida-4-P &amp; G'!I21</f>
        <v>0</v>
      </c>
      <c r="Z66" s="108">
        <f>'Salida-4-P &amp; G'!J21</f>
        <v>0</v>
      </c>
    </row>
    <row r="67" spans="2:26">
      <c r="B67" s="11"/>
      <c r="C67" s="11"/>
      <c r="D67" s="11"/>
      <c r="E67" s="11"/>
      <c r="F67" s="11"/>
      <c r="G67" s="11"/>
      <c r="H67" s="11"/>
      <c r="U67" s="5" t="str">
        <f>'Salida-4-P &amp; G'!C22</f>
        <v>Salarios de Personal de Comercialización y Ventas</v>
      </c>
      <c r="V67" s="108">
        <f>'Salida-4-P &amp; G'!F22</f>
        <v>0</v>
      </c>
      <c r="W67" s="108">
        <f>'Salida-4-P &amp; G'!G22</f>
        <v>0</v>
      </c>
      <c r="X67" s="108">
        <f>'Salida-4-P &amp; G'!H22</f>
        <v>0</v>
      </c>
      <c r="Y67" s="108">
        <f>'Salida-4-P &amp; G'!I22</f>
        <v>0</v>
      </c>
      <c r="Z67" s="108">
        <f>'Salida-4-P &amp; G'!J22</f>
        <v>0</v>
      </c>
    </row>
    <row r="68" spans="2:26">
      <c r="B68" s="11"/>
      <c r="C68" s="11"/>
      <c r="D68" s="11"/>
      <c r="E68" s="11"/>
      <c r="F68" s="11"/>
      <c r="G68" s="11"/>
      <c r="H68" s="11"/>
      <c r="U68" s="5" t="str">
        <f>'Salida-4-P &amp; G'!C23</f>
        <v>Gastos de Ventas</v>
      </c>
      <c r="V68" s="108">
        <f>'Salida-4-P &amp; G'!F23</f>
        <v>0</v>
      </c>
      <c r="W68" s="108">
        <f>'Salida-4-P &amp; G'!G23</f>
        <v>0</v>
      </c>
      <c r="X68" s="108">
        <f>'Salida-4-P &amp; G'!H23</f>
        <v>0</v>
      </c>
      <c r="Y68" s="108">
        <f>'Salida-4-P &amp; G'!I23</f>
        <v>0</v>
      </c>
      <c r="Z68" s="108">
        <f>'Salida-4-P &amp; G'!J23</f>
        <v>0</v>
      </c>
    </row>
    <row r="69" spans="2:26">
      <c r="B69" s="11"/>
      <c r="C69" s="11"/>
      <c r="D69" s="11"/>
      <c r="E69" s="11"/>
      <c r="F69" s="11"/>
      <c r="G69" s="11"/>
      <c r="H69" s="11"/>
      <c r="U69" s="5" t="str">
        <f>'Salida-4-P &amp; G'!C24</f>
        <v>Amortización del Diferido</v>
      </c>
      <c r="V69" s="108">
        <f>'Salida-4-P &amp; G'!F24</f>
        <v>0</v>
      </c>
      <c r="W69" s="108">
        <f>'Salida-4-P &amp; G'!G24</f>
        <v>0</v>
      </c>
      <c r="X69" s="108">
        <f>'Salida-4-P &amp; G'!H24</f>
        <v>0</v>
      </c>
      <c r="Y69" s="108">
        <f>'Salida-4-P &amp; G'!I24</f>
        <v>0</v>
      </c>
      <c r="Z69" s="108">
        <f>'Salida-4-P &amp; G'!J24</f>
        <v>0</v>
      </c>
    </row>
    <row r="70" spans="2:26">
      <c r="B70" s="11"/>
      <c r="C70" s="11"/>
      <c r="D70" s="11"/>
      <c r="E70" s="11"/>
      <c r="F70" s="11"/>
      <c r="G70" s="11"/>
      <c r="H70" s="11"/>
      <c r="U70" s="109" t="str">
        <f>'Salida-4-P &amp; G'!C25</f>
        <v>Total Gastos Administrativos y de Ventas</v>
      </c>
      <c r="V70" s="110">
        <f>'Salida-4-P &amp; G'!F25</f>
        <v>0</v>
      </c>
      <c r="W70" s="110">
        <f>'Salida-4-P &amp; G'!G25</f>
        <v>0</v>
      </c>
      <c r="X70" s="110">
        <f>'Salida-4-P &amp; G'!H25</f>
        <v>0</v>
      </c>
      <c r="Y70" s="110">
        <f>'Salida-4-P &amp; G'!I25</f>
        <v>0</v>
      </c>
      <c r="Z70" s="110">
        <f>'Salida-4-P &amp; G'!J25</f>
        <v>0</v>
      </c>
    </row>
    <row r="71" spans="2:26">
      <c r="B71" s="11"/>
      <c r="C71" s="11"/>
      <c r="D71" s="11"/>
      <c r="E71" s="11"/>
      <c r="F71" s="11"/>
      <c r="G71" s="11"/>
      <c r="H71" s="11"/>
      <c r="U71" s="109" t="str">
        <f>'Salida-4-P &amp; G'!C26</f>
        <v>Utilidad Operacional</v>
      </c>
      <c r="V71" s="110">
        <f>'Salida-4-P &amp; G'!F26</f>
        <v>113792456.40587744</v>
      </c>
      <c r="W71" s="110">
        <f>'Salida-4-P &amp; G'!G26</f>
        <v>117357196.27805376</v>
      </c>
      <c r="X71" s="110">
        <f>'Salida-4-P &amp; G'!H26</f>
        <v>121028878.34639537</v>
      </c>
      <c r="Y71" s="110">
        <f>'Salida-4-P &amp; G'!I26</f>
        <v>129737916.87678725</v>
      </c>
      <c r="Z71" s="110">
        <f>'Salida-4-P &amp; G'!J26</f>
        <v>133633204.38309082</v>
      </c>
    </row>
    <row r="72" spans="2:26">
      <c r="B72" s="11"/>
      <c r="C72" s="11"/>
      <c r="D72" s="11"/>
      <c r="E72" s="11"/>
      <c r="F72" s="11"/>
      <c r="G72" s="11"/>
      <c r="H72" s="11"/>
      <c r="U72" s="5" t="str">
        <f>'Salida-4-P &amp; G'!C27</f>
        <v>Intereses Crédito</v>
      </c>
      <c r="V72" s="108">
        <f>'Salida-4-P &amp; G'!F27</f>
        <v>-6172136.6819353169</v>
      </c>
      <c r="W72" s="108">
        <f>'Salida-4-P &amp; G'!G27</f>
        <v>-5308170.864013629</v>
      </c>
      <c r="X72" s="108">
        <f>'Salida-4-P &amp; G'!H27</f>
        <v>-4217598.5156333512</v>
      </c>
      <c r="Y72" s="108">
        <f>'Salida-4-P &amp; G'!I27</f>
        <v>-2840983.8135462827</v>
      </c>
      <c r="Z72" s="108">
        <f>'Salida-4-P &amp; G'!J27</f>
        <v>-6625130.9061203562</v>
      </c>
    </row>
    <row r="73" spans="2:26">
      <c r="B73" s="11"/>
      <c r="C73" s="11"/>
      <c r="D73" s="11"/>
      <c r="E73" s="11"/>
      <c r="F73" s="11"/>
      <c r="G73" s="11"/>
      <c r="H73" s="11"/>
      <c r="U73" s="5" t="str">
        <f>'Salida-4-P &amp; G'!C28</f>
        <v>Otros Intereses</v>
      </c>
      <c r="V73" s="108">
        <f>'Salida-4-P &amp; G'!F28</f>
        <v>0</v>
      </c>
      <c r="W73" s="108">
        <f>'Salida-4-P &amp; G'!G28</f>
        <v>0</v>
      </c>
      <c r="X73" s="108">
        <f>'Salida-4-P &amp; G'!H28</f>
        <v>0</v>
      </c>
      <c r="Y73" s="108">
        <f>'Salida-4-P &amp; G'!I28</f>
        <v>0</v>
      </c>
      <c r="Z73" s="108">
        <f>'Salida-4-P &amp; G'!J28</f>
        <v>0</v>
      </c>
    </row>
    <row r="74" spans="2:26">
      <c r="B74" s="11"/>
      <c r="C74" s="11"/>
      <c r="D74" s="11"/>
      <c r="E74" s="11"/>
      <c r="F74" s="11"/>
      <c r="G74" s="11"/>
      <c r="H74" s="11"/>
      <c r="U74" s="5" t="e">
        <f>'Salida-4-P &amp; G'!#REF!</f>
        <v>#REF!</v>
      </c>
      <c r="V74" s="108" t="e">
        <f>'Salida-4-P &amp; G'!#REF!</f>
        <v>#REF!</v>
      </c>
      <c r="W74" s="108" t="e">
        <f>'Salida-4-P &amp; G'!#REF!</f>
        <v>#REF!</v>
      </c>
      <c r="X74" s="108" t="e">
        <f>'Salida-4-P &amp; G'!#REF!</f>
        <v>#REF!</v>
      </c>
      <c r="Y74" s="108" t="e">
        <f>'Salida-4-P &amp; G'!#REF!</f>
        <v>#REF!</v>
      </c>
      <c r="Z74" s="108" t="e">
        <f>'Salida-4-P &amp; G'!#REF!</f>
        <v>#REF!</v>
      </c>
    </row>
    <row r="75" spans="2:26">
      <c r="B75" s="11"/>
      <c r="C75" s="11"/>
      <c r="D75" s="11"/>
      <c r="E75" s="11"/>
      <c r="F75" s="11"/>
      <c r="G75" s="11"/>
      <c r="H75" s="11"/>
      <c r="U75" s="5" t="e">
        <f>'Salida-4-P &amp; G'!#REF!</f>
        <v>#REF!</v>
      </c>
      <c r="V75" s="108" t="e">
        <f>'Salida-4-P &amp; G'!#REF!</f>
        <v>#REF!</v>
      </c>
      <c r="W75" s="108" t="e">
        <f>'Salida-4-P &amp; G'!#REF!</f>
        <v>#REF!</v>
      </c>
      <c r="X75" s="108" t="e">
        <f>'Salida-4-P &amp; G'!#REF!</f>
        <v>#REF!</v>
      </c>
      <c r="Y75" s="108" t="e">
        <f>'Salida-4-P &amp; G'!#REF!</f>
        <v>#REF!</v>
      </c>
      <c r="Z75" s="108" t="e">
        <f>'Salida-4-P &amp; G'!#REF!</f>
        <v>#REF!</v>
      </c>
    </row>
    <row r="76" spans="2:26">
      <c r="B76" s="11"/>
      <c r="C76" s="11"/>
      <c r="D76" s="11"/>
      <c r="E76" s="11"/>
      <c r="F76" s="11"/>
      <c r="G76" s="11"/>
      <c r="H76" s="11"/>
      <c r="U76" s="109" t="str">
        <f>'Salida-4-P &amp; G'!C29</f>
        <v>Total Gastos no Operacionales</v>
      </c>
      <c r="V76" s="110">
        <f>'Salida-4-P &amp; G'!F29</f>
        <v>-6172136.6819353169</v>
      </c>
      <c r="W76" s="110">
        <f>'Salida-4-P &amp; G'!G29</f>
        <v>-5308170.864013629</v>
      </c>
      <c r="X76" s="110">
        <f>'Salida-4-P &amp; G'!H29</f>
        <v>-4217598.5156333512</v>
      </c>
      <c r="Y76" s="110">
        <f>'Salida-4-P &amp; G'!I29</f>
        <v>-2840983.8135462827</v>
      </c>
      <c r="Z76" s="110">
        <f>'Salida-4-P &amp; G'!J29</f>
        <v>-6625130.9061203562</v>
      </c>
    </row>
    <row r="77" spans="2:26">
      <c r="B77" s="11"/>
      <c r="C77" s="11"/>
      <c r="D77" s="11"/>
      <c r="E77" s="11"/>
      <c r="F77" s="11"/>
      <c r="G77" s="11"/>
      <c r="H77" s="11"/>
      <c r="U77" s="109" t="str">
        <f>'Salida-4-P &amp; G'!C30</f>
        <v>Utilidad Neta Antes de Impuestos</v>
      </c>
      <c r="V77" s="110">
        <f>'Salida-4-P &amp; G'!F30</f>
        <v>119964593.08781275</v>
      </c>
      <c r="W77" s="110">
        <f>'Salida-4-P &amp; G'!G30</f>
        <v>122665367.14206739</v>
      </c>
      <c r="X77" s="110">
        <f>'Salida-4-P &amp; G'!H30</f>
        <v>125246476.86202872</v>
      </c>
      <c r="Y77" s="110">
        <f>'Salida-4-P &amp; G'!I30</f>
        <v>132578900.69033353</v>
      </c>
      <c r="Z77" s="110">
        <f>'Salida-4-P &amp; G'!J30</f>
        <v>140258335.28921118</v>
      </c>
    </row>
    <row r="78" spans="2:26">
      <c r="B78" s="11"/>
      <c r="C78" s="11"/>
      <c r="D78" s="11"/>
      <c r="E78" s="11"/>
      <c r="F78" s="11"/>
      <c r="G78" s="11"/>
      <c r="H78" s="11"/>
      <c r="U78" s="5" t="str">
        <f>'Salida-4-P &amp; G'!C31</f>
        <v>Impuesto de Renta</v>
      </c>
      <c r="V78" s="108">
        <f>'Salida-4-P &amp; G'!F31</f>
        <v>40787961.649856336</v>
      </c>
      <c r="W78" s="108">
        <f>'Salida-4-P &amp; G'!G31</f>
        <v>41706224.828302912</v>
      </c>
      <c r="X78" s="108">
        <f>'Salida-4-P &amp; G'!H31</f>
        <v>42583802.133089766</v>
      </c>
      <c r="Y78" s="108">
        <f>'Salida-4-P &amp; G'!I31</f>
        <v>45076826.234713405</v>
      </c>
      <c r="Z78" s="108">
        <f>'Salida-4-P &amp; G'!J31</f>
        <v>47687833.998331808</v>
      </c>
    </row>
    <row r="79" spans="2:26">
      <c r="B79" s="11"/>
      <c r="C79" s="11"/>
      <c r="D79" s="11"/>
      <c r="E79" s="11"/>
      <c r="F79" s="11"/>
      <c r="G79" s="11"/>
      <c r="H79" s="11"/>
      <c r="U79" s="5"/>
      <c r="V79" s="108" t="e">
        <f>'Salida-4-P &amp; G'!#REF!</f>
        <v>#REF!</v>
      </c>
      <c r="W79" s="108" t="e">
        <f>'Salida-4-P &amp; G'!#REF!</f>
        <v>#REF!</v>
      </c>
      <c r="X79" s="108" t="e">
        <f>'Salida-4-P &amp; G'!#REF!</f>
        <v>#REF!</v>
      </c>
      <c r="Y79" s="108" t="e">
        <f>'Salida-4-P &amp; G'!#REF!</f>
        <v>#REF!</v>
      </c>
      <c r="Z79" s="108" t="e">
        <f>'Salida-4-P &amp; G'!#REF!</f>
        <v>#REF!</v>
      </c>
    </row>
    <row r="80" spans="2:26">
      <c r="B80" s="11"/>
      <c r="C80" s="11"/>
      <c r="D80" s="11"/>
      <c r="E80" s="11"/>
      <c r="F80" s="11"/>
      <c r="G80" s="11"/>
      <c r="H80" s="11"/>
      <c r="U80" s="112" t="str">
        <f>'Salida-4-P &amp; G'!C32</f>
        <v xml:space="preserve">Utilidad Nerta </v>
      </c>
      <c r="V80" s="113">
        <f>'Salida-4-P &amp; G'!F32</f>
        <v>79176631.437956423</v>
      </c>
      <c r="W80" s="113">
        <f>'Salida-4-P &amp; G'!G32</f>
        <v>80959142.313764483</v>
      </c>
      <c r="X80" s="113">
        <f>'Salida-4-P &amp; G'!H32</f>
        <v>82662674.728938952</v>
      </c>
      <c r="Y80" s="113">
        <f>'Salida-4-P &amp; G'!I32</f>
        <v>87502074.455620125</v>
      </c>
      <c r="Z80" s="113">
        <f>'Salida-4-P &amp; G'!J32</f>
        <v>92570501.290879369</v>
      </c>
    </row>
    <row r="81" spans="2:26">
      <c r="B81" s="11"/>
      <c r="C81" s="11"/>
      <c r="D81" s="11"/>
      <c r="E81" s="11"/>
      <c r="F81" s="11"/>
      <c r="G81" s="11"/>
      <c r="H81" s="11"/>
    </row>
    <row r="82" spans="2:26">
      <c r="B82" s="11"/>
      <c r="C82" s="11"/>
      <c r="D82" s="11"/>
      <c r="E82" s="11"/>
      <c r="F82" s="11"/>
      <c r="G82" s="11"/>
      <c r="H82" s="11"/>
    </row>
    <row r="83" spans="2:26">
      <c r="B83" s="11"/>
      <c r="C83" s="11"/>
      <c r="D83" s="11"/>
      <c r="E83" s="11"/>
      <c r="F83" s="11"/>
      <c r="G83" s="11"/>
      <c r="H83" s="11"/>
    </row>
    <row r="84" spans="2:26">
      <c r="B84" s="11"/>
      <c r="C84" s="11"/>
      <c r="D84" s="11"/>
      <c r="E84" s="11"/>
      <c r="F84" s="11"/>
      <c r="G84" s="11"/>
      <c r="H84" s="11"/>
    </row>
    <row r="85" spans="2:26" ht="18">
      <c r="B85" s="11"/>
      <c r="C85" s="11"/>
      <c r="D85" s="11"/>
      <c r="E85" s="11"/>
      <c r="F85" s="11"/>
      <c r="G85" s="11"/>
      <c r="H85" s="11"/>
      <c r="U85" s="818" t="s">
        <v>181</v>
      </c>
      <c r="V85" s="818"/>
      <c r="W85" s="818"/>
      <c r="X85" s="818"/>
      <c r="Y85" s="818"/>
      <c r="Z85" s="818"/>
    </row>
    <row r="86" spans="2:26">
      <c r="B86" s="11"/>
      <c r="C86" s="11"/>
      <c r="D86" s="11"/>
      <c r="E86" s="11"/>
      <c r="F86" s="11"/>
      <c r="G86" s="11"/>
      <c r="H86" s="11"/>
      <c r="U86" s="23"/>
      <c r="V86" s="23"/>
      <c r="W86" s="23"/>
      <c r="X86" s="23"/>
      <c r="Y86" s="23"/>
      <c r="Z86" s="23"/>
    </row>
    <row r="87" spans="2:26">
      <c r="B87" s="11"/>
      <c r="C87" s="11"/>
      <c r="D87" s="11"/>
      <c r="E87" s="11"/>
      <c r="F87" s="11"/>
      <c r="G87" s="11"/>
      <c r="H87" s="11"/>
      <c r="U87" s="97" t="s">
        <v>199</v>
      </c>
      <c r="V87" s="107" t="s">
        <v>9</v>
      </c>
      <c r="W87" s="107" t="s">
        <v>10</v>
      </c>
      <c r="X87" s="107" t="s">
        <v>14</v>
      </c>
      <c r="Y87" s="107" t="s">
        <v>46</v>
      </c>
      <c r="Z87" s="107" t="s">
        <v>47</v>
      </c>
    </row>
    <row r="88" spans="2:26">
      <c r="B88" s="11"/>
      <c r="C88" s="11"/>
      <c r="D88" s="11"/>
      <c r="E88" s="11"/>
      <c r="F88" s="11"/>
      <c r="G88" s="11"/>
      <c r="H88" s="11"/>
      <c r="U88" s="114" t="s">
        <v>200</v>
      </c>
      <c r="V88" s="115">
        <f>+'Salida-8-Indicadores F.'!F23</f>
        <v>3.2279913346202576</v>
      </c>
      <c r="W88" s="115">
        <f>+'Salida-8-Indicadores F.'!G23</f>
        <v>4.9295740231057223</v>
      </c>
      <c r="X88" s="115">
        <f>+'Salida-8-Indicadores F.'!H23</f>
        <v>5.0437253020122341</v>
      </c>
      <c r="Y88" s="115">
        <f>+'Salida-8-Indicadores F.'!I23</f>
        <v>5.0203650655458709</v>
      </c>
      <c r="Z88" s="115">
        <f>+'Salida-8-Indicadores F.'!J23</f>
        <v>4.4468680024569833</v>
      </c>
    </row>
    <row r="89" spans="2:26">
      <c r="B89" s="11"/>
      <c r="C89" s="11"/>
      <c r="D89" s="11"/>
      <c r="E89" s="11"/>
      <c r="F89" s="11"/>
      <c r="G89" s="11"/>
      <c r="H89" s="11"/>
      <c r="U89" s="116" t="s">
        <v>167</v>
      </c>
      <c r="V89" s="96">
        <f>+'Salida-8-Indicadores F.'!F24</f>
        <v>0</v>
      </c>
      <c r="W89" s="96">
        <f>+'Salida-8-Indicadores F.'!G24</f>
        <v>0</v>
      </c>
      <c r="X89" s="96">
        <f>+'Salida-8-Indicadores F.'!H24</f>
        <v>0</v>
      </c>
      <c r="Y89" s="96">
        <f>+'Salida-8-Indicadores F.'!I24</f>
        <v>0</v>
      </c>
      <c r="Z89" s="96">
        <f>+'Salida-8-Indicadores F.'!J24</f>
        <v>0</v>
      </c>
    </row>
    <row r="90" spans="2:26">
      <c r="B90" s="11"/>
      <c r="C90" s="11"/>
      <c r="D90" s="11"/>
      <c r="E90" s="11"/>
      <c r="F90" s="11"/>
      <c r="G90" s="11"/>
      <c r="H90" s="11"/>
      <c r="U90" s="116" t="s">
        <v>168</v>
      </c>
      <c r="V90" s="96" t="e">
        <f>+'Salida-8-Indicadores F.'!#REF!</f>
        <v>#REF!</v>
      </c>
      <c r="W90" s="96" t="e">
        <f>+'Salida-8-Indicadores F.'!#REF!</f>
        <v>#REF!</v>
      </c>
      <c r="X90" s="96" t="e">
        <f>+'Salida-8-Indicadores F.'!#REF!</f>
        <v>#REF!</v>
      </c>
      <c r="Y90" s="96" t="e">
        <f>+'Salida-8-Indicadores F.'!#REF!</f>
        <v>#REF!</v>
      </c>
      <c r="Z90" s="96" t="e">
        <f>+'Salida-8-Indicadores F.'!#REF!</f>
        <v>#REF!</v>
      </c>
    </row>
    <row r="91" spans="2:26">
      <c r="B91" s="11"/>
      <c r="C91" s="11"/>
      <c r="D91" s="11"/>
      <c r="E91" s="11"/>
      <c r="F91" s="11"/>
      <c r="G91" s="11"/>
      <c r="H91" s="11"/>
      <c r="U91" s="116" t="s">
        <v>169</v>
      </c>
      <c r="V91" s="96" t="e">
        <f>+'Salida-8-Indicadores F.'!#REF!</f>
        <v>#REF!</v>
      </c>
      <c r="W91" s="96" t="e">
        <f>+'Salida-8-Indicadores F.'!#REF!</f>
        <v>#REF!</v>
      </c>
      <c r="X91" s="96" t="e">
        <f>+'Salida-8-Indicadores F.'!#REF!</f>
        <v>#REF!</v>
      </c>
      <c r="Y91" s="96" t="e">
        <f>+'Salida-8-Indicadores F.'!#REF!</f>
        <v>#REF!</v>
      </c>
      <c r="Z91" s="96" t="e">
        <f>+'Salida-8-Indicadores F.'!#REF!</f>
        <v>#REF!</v>
      </c>
    </row>
    <row r="92" spans="2:26">
      <c r="B92" s="11"/>
      <c r="C92" s="11"/>
      <c r="D92" s="11"/>
      <c r="E92" s="11"/>
      <c r="F92" s="11"/>
      <c r="G92" s="11"/>
      <c r="H92" s="11"/>
      <c r="U92" s="116" t="s">
        <v>170</v>
      </c>
      <c r="V92" s="96" t="e">
        <f>+'Salida-8-Indicadores F.'!#REF!</f>
        <v>#REF!</v>
      </c>
      <c r="W92" s="96" t="e">
        <f>+'Salida-8-Indicadores F.'!#REF!</f>
        <v>#REF!</v>
      </c>
      <c r="X92" s="96" t="e">
        <f>+'Salida-8-Indicadores F.'!#REF!</f>
        <v>#REF!</v>
      </c>
      <c r="Y92" s="96" t="e">
        <f>+'Salida-8-Indicadores F.'!#REF!</f>
        <v>#REF!</v>
      </c>
      <c r="Z92" s="96" t="e">
        <f>+'Salida-8-Indicadores F.'!#REF!</f>
        <v>#REF!</v>
      </c>
    </row>
    <row r="93" spans="2:26">
      <c r="B93" s="11"/>
      <c r="C93" s="11"/>
      <c r="D93" s="11"/>
      <c r="E93" s="11"/>
      <c r="F93" s="11"/>
      <c r="G93" s="11"/>
      <c r="H93" s="11"/>
      <c r="U93" s="116" t="s">
        <v>171</v>
      </c>
      <c r="V93" s="96">
        <f>+'Salida-8-Indicadores F.'!F25</f>
        <v>0</v>
      </c>
      <c r="W93" s="96">
        <f>+'Salida-8-Indicadores F.'!G25</f>
        <v>0</v>
      </c>
      <c r="X93" s="96">
        <f>+'Salida-8-Indicadores F.'!H25</f>
        <v>0</v>
      </c>
      <c r="Y93" s="96">
        <f>+'Salida-8-Indicadores F.'!I25</f>
        <v>0</v>
      </c>
      <c r="Z93" s="96">
        <f>+'Salida-8-Indicadores F.'!J25</f>
        <v>0</v>
      </c>
    </row>
    <row r="94" spans="2:26">
      <c r="B94" s="11"/>
      <c r="C94" s="11"/>
      <c r="D94" s="11"/>
      <c r="E94" s="11"/>
      <c r="F94" s="11"/>
      <c r="G94" s="11"/>
      <c r="H94" s="11"/>
      <c r="U94" s="116" t="s">
        <v>172</v>
      </c>
      <c r="V94" s="96">
        <f>+'Salida-8-Indicadores F.'!F26</f>
        <v>-18.43647706942825</v>
      </c>
      <c r="W94" s="96">
        <f>+'Salida-8-Indicadores F.'!G26</f>
        <v>-22.108782720930975</v>
      </c>
      <c r="X94" s="96">
        <f>+'Salida-8-Indicadores F.'!H26</f>
        <v>-28.696159176312833</v>
      </c>
      <c r="Y94" s="96">
        <f>+'Salida-8-Indicadores F.'!I26</f>
        <v>-45.666545602328078</v>
      </c>
      <c r="Z94" s="96">
        <f>+'Salida-8-Indicadores F.'!J26</f>
        <v>-20.170651157947574</v>
      </c>
    </row>
    <row r="95" spans="2:26">
      <c r="B95" s="11"/>
      <c r="C95" s="11"/>
      <c r="D95" s="11"/>
      <c r="E95" s="11"/>
      <c r="F95" s="11"/>
      <c r="G95" s="11"/>
      <c r="H95" s="11"/>
      <c r="U95" s="116" t="s">
        <v>173</v>
      </c>
      <c r="V95" s="119">
        <f>+'Salida-8-Indicadores F.'!F27</f>
        <v>0.25741616563570036</v>
      </c>
      <c r="W95" s="119">
        <f>+'Salida-8-Indicadores F.'!G27</f>
        <v>0.17695905234898507</v>
      </c>
      <c r="X95" s="119">
        <f>+'Salida-8-Indicadores F.'!H27</f>
        <v>0.17850775112831965</v>
      </c>
      <c r="Y95" s="119">
        <f>+'Salida-8-Indicadores F.'!I27</f>
        <v>0.18299320063253144</v>
      </c>
      <c r="Z95" s="119">
        <f>+'Salida-8-Indicadores F.'!J27</f>
        <v>0.21242023642644883</v>
      </c>
    </row>
    <row r="96" spans="2:26">
      <c r="B96" s="11"/>
      <c r="C96" s="11"/>
      <c r="D96" s="11"/>
      <c r="E96" s="11"/>
      <c r="F96" s="11"/>
      <c r="G96" s="11"/>
      <c r="H96" s="11"/>
      <c r="U96" s="116" t="s">
        <v>178</v>
      </c>
      <c r="V96" s="119">
        <f>+'Salida-8-Indicadores F.'!F28</f>
        <v>0.66936739062280848</v>
      </c>
      <c r="W96" s="119">
        <f>+'Salida-8-Indicadores F.'!G28</f>
        <v>0.67022956183925619</v>
      </c>
      <c r="X96" s="119">
        <f>+'Salida-8-Indicadores F.'!H28</f>
        <v>0.67106662127270056</v>
      </c>
      <c r="Y96" s="119">
        <f>+'Salida-8-Indicadores F.'!I28</f>
        <v>0.698403367833208</v>
      </c>
      <c r="Z96" s="119">
        <f>+'Salida-8-Indicadores F.'!J28</f>
        <v>0.69841983097556626</v>
      </c>
    </row>
    <row r="97" spans="2:26">
      <c r="B97" s="11"/>
      <c r="C97" s="11"/>
      <c r="D97" s="11"/>
      <c r="E97" s="11"/>
      <c r="F97" s="11"/>
      <c r="G97" s="11"/>
      <c r="H97" s="11"/>
      <c r="U97" s="116" t="s">
        <v>180</v>
      </c>
      <c r="V97" s="119">
        <f>+'Salida-8-Indicadores F.'!F29</f>
        <v>0.66936739062280848</v>
      </c>
      <c r="W97" s="119">
        <f>+'Salida-8-Indicadores F.'!G29</f>
        <v>0.67022956183925619</v>
      </c>
      <c r="X97" s="119">
        <f>+'Salida-8-Indicadores F.'!H29</f>
        <v>0.67106662127270056</v>
      </c>
      <c r="Y97" s="119">
        <f>+'Salida-8-Indicadores F.'!I29</f>
        <v>0.698403367833208</v>
      </c>
      <c r="Z97" s="119">
        <f>+'Salida-8-Indicadores F.'!J29</f>
        <v>0.69841983097556626</v>
      </c>
    </row>
    <row r="98" spans="2:26">
      <c r="B98" s="11"/>
      <c r="C98" s="11"/>
      <c r="D98" s="11"/>
      <c r="E98" s="11"/>
      <c r="F98" s="11"/>
      <c r="G98" s="11"/>
      <c r="H98" s="11"/>
      <c r="U98" s="116" t="s">
        <v>176</v>
      </c>
      <c r="V98" s="119">
        <f>+'Salida-8-Indicadores F.'!F30</f>
        <v>0.46574489081150838</v>
      </c>
      <c r="W98" s="119">
        <f>+'Salida-8-Indicadores F.'!G30</f>
        <v>0.46235946495582231</v>
      </c>
      <c r="X98" s="119">
        <f>+'Salida-8-Indicadores F.'!H30</f>
        <v>0.45833822963265902</v>
      </c>
      <c r="Y98" s="119">
        <f>+'Salida-8-Indicadores F.'!I30</f>
        <v>0.4710399624362348</v>
      </c>
      <c r="Z98" s="119">
        <f>+'Salida-8-Indicadores F.'!J30</f>
        <v>0.48380994950593459</v>
      </c>
    </row>
    <row r="99" spans="2:26">
      <c r="B99" s="11"/>
      <c r="C99" s="11"/>
      <c r="D99" s="11"/>
      <c r="E99" s="11"/>
      <c r="F99" s="11"/>
      <c r="G99" s="11"/>
      <c r="H99" s="11"/>
      <c r="U99" s="116" t="s">
        <v>179</v>
      </c>
      <c r="V99" s="119">
        <f>+'Salida-8-Indicadores F.'!F31</f>
        <v>1</v>
      </c>
      <c r="W99" s="119">
        <f>+'Salida-8-Indicadores F.'!G31</f>
        <v>1</v>
      </c>
      <c r="X99" s="119">
        <f>+'Salida-8-Indicadores F.'!H31</f>
        <v>1</v>
      </c>
      <c r="Y99" s="119">
        <f>+'Salida-8-Indicadores F.'!I31</f>
        <v>1</v>
      </c>
      <c r="Z99" s="119">
        <f>+'Salida-8-Indicadores F.'!J31</f>
        <v>1</v>
      </c>
    </row>
    <row r="100" spans="2:26">
      <c r="B100" s="11"/>
      <c r="C100" s="11"/>
      <c r="D100" s="11"/>
      <c r="E100" s="11"/>
      <c r="F100" s="11"/>
      <c r="G100" s="11"/>
      <c r="H100" s="11"/>
      <c r="U100" s="83" t="s">
        <v>174</v>
      </c>
      <c r="V100" s="96"/>
      <c r="W100" s="96"/>
      <c r="X100" s="96"/>
      <c r="Y100" s="96"/>
      <c r="Z100" s="96"/>
    </row>
    <row r="101" spans="2:26">
      <c r="B101" s="11"/>
      <c r="C101" s="11"/>
      <c r="D101" s="11"/>
      <c r="E101" s="11"/>
      <c r="F101" s="11"/>
      <c r="G101" s="11"/>
      <c r="H101" s="11"/>
      <c r="U101" s="116" t="s">
        <v>214</v>
      </c>
      <c r="V101" s="96">
        <f>+'Salida-8-Indicadores F.'!F33</f>
        <v>77160509.164835989</v>
      </c>
      <c r="W101" s="96"/>
      <c r="X101" s="96"/>
      <c r="Y101" s="96"/>
      <c r="Z101" s="96"/>
    </row>
    <row r="102" spans="2:26">
      <c r="B102" s="11"/>
      <c r="C102" s="11"/>
      <c r="D102" s="11"/>
      <c r="E102" s="11"/>
      <c r="F102" s="11"/>
      <c r="G102" s="11"/>
      <c r="H102" s="11"/>
      <c r="U102" s="116" t="s">
        <v>177</v>
      </c>
      <c r="V102" s="118">
        <f>+'Salida-8-Indicadores F.'!F34</f>
        <v>0.48819502682954585</v>
      </c>
      <c r="W102" s="96"/>
      <c r="X102" s="96"/>
      <c r="Y102" s="96"/>
      <c r="Z102" s="96"/>
    </row>
    <row r="103" spans="2:26">
      <c r="B103" s="11"/>
      <c r="C103" s="11"/>
      <c r="D103" s="11"/>
      <c r="E103" s="11"/>
      <c r="F103" s="11"/>
      <c r="G103" s="11"/>
      <c r="H103" s="11"/>
      <c r="U103" s="116" t="s">
        <v>175</v>
      </c>
      <c r="V103" s="96">
        <f>+'Salida-8-Indicadores F.'!F35</f>
        <v>129168662.40587744</v>
      </c>
      <c r="W103" s="96"/>
      <c r="X103" s="96"/>
      <c r="Y103" s="96"/>
      <c r="Z103" s="96"/>
    </row>
    <row r="104" spans="2:26">
      <c r="B104" s="11"/>
      <c r="C104" s="11"/>
      <c r="D104" s="11"/>
      <c r="E104" s="11"/>
      <c r="F104" s="11"/>
      <c r="G104" s="11"/>
      <c r="H104" s="11"/>
    </row>
    <row r="105" spans="2:26">
      <c r="B105" s="11"/>
      <c r="C105" s="11"/>
      <c r="D105" s="11"/>
      <c r="E105" s="11"/>
      <c r="F105" s="11"/>
      <c r="G105" s="11"/>
      <c r="H105" s="11"/>
    </row>
    <row r="106" spans="2:26">
      <c r="B106" s="11"/>
      <c r="C106" s="11"/>
      <c r="D106" s="11"/>
      <c r="E106" s="11"/>
      <c r="F106" s="11"/>
      <c r="G106" s="11"/>
      <c r="H106" s="11"/>
    </row>
    <row r="107" spans="2:26">
      <c r="B107" s="11"/>
      <c r="C107" s="11"/>
      <c r="D107" s="11"/>
      <c r="E107" s="11"/>
      <c r="F107" s="11"/>
      <c r="G107" s="11"/>
      <c r="H107" s="11"/>
    </row>
    <row r="108" spans="2:26">
      <c r="B108" s="11"/>
      <c r="C108" s="11"/>
      <c r="D108" s="11"/>
      <c r="E108" s="11"/>
      <c r="F108" s="11"/>
      <c r="G108" s="11"/>
      <c r="H108" s="11"/>
    </row>
    <row r="109" spans="2:26">
      <c r="B109" s="11"/>
      <c r="C109" s="11"/>
      <c r="D109" s="11"/>
      <c r="E109" s="11"/>
      <c r="F109" s="11"/>
      <c r="G109" s="11"/>
      <c r="H109" s="11"/>
    </row>
    <row r="110" spans="2:26">
      <c r="B110" s="11"/>
      <c r="C110" s="11"/>
      <c r="D110" s="11"/>
      <c r="E110" s="11"/>
      <c r="F110" s="11"/>
      <c r="G110" s="11"/>
      <c r="H110" s="11"/>
    </row>
    <row r="111" spans="2:26">
      <c r="B111" s="11"/>
      <c r="C111" s="11"/>
      <c r="D111" s="11"/>
      <c r="E111" s="11"/>
      <c r="F111" s="11"/>
      <c r="G111" s="11"/>
      <c r="H111" s="11"/>
    </row>
    <row r="112" spans="2:26">
      <c r="B112" s="11"/>
      <c r="C112" s="11"/>
      <c r="D112" s="11"/>
      <c r="E112" s="11"/>
      <c r="F112" s="11"/>
      <c r="G112" s="11"/>
      <c r="H112" s="11"/>
    </row>
    <row r="113" spans="2:8">
      <c r="B113" s="11"/>
      <c r="C113" s="11"/>
      <c r="D113" s="11"/>
      <c r="E113" s="11"/>
      <c r="F113" s="11"/>
      <c r="G113" s="11"/>
      <c r="H113" s="11"/>
    </row>
    <row r="114" spans="2:8">
      <c r="B114" s="11"/>
      <c r="C114" s="11"/>
      <c r="D114" s="11"/>
      <c r="E114" s="11"/>
      <c r="F114" s="11"/>
      <c r="G114" s="11"/>
      <c r="H114" s="11"/>
    </row>
    <row r="115" spans="2:8">
      <c r="B115" s="11"/>
      <c r="C115" s="11"/>
      <c r="D115" s="11"/>
      <c r="E115" s="11"/>
      <c r="F115" s="11"/>
      <c r="G115" s="11"/>
      <c r="H115" s="11"/>
    </row>
    <row r="116" spans="2:8">
      <c r="B116" s="11"/>
      <c r="C116" s="11"/>
      <c r="D116" s="11"/>
      <c r="E116" s="11"/>
      <c r="F116" s="11"/>
      <c r="G116" s="11"/>
      <c r="H116" s="11"/>
    </row>
    <row r="117" spans="2:8">
      <c r="B117" s="11"/>
      <c r="C117" s="11"/>
      <c r="D117" s="11"/>
      <c r="E117" s="11"/>
      <c r="F117" s="11"/>
      <c r="G117" s="11"/>
      <c r="H117" s="11"/>
    </row>
    <row r="118" spans="2:8">
      <c r="B118" s="11"/>
      <c r="C118" s="11"/>
      <c r="D118" s="11"/>
      <c r="E118" s="11"/>
      <c r="F118" s="11"/>
      <c r="G118" s="11"/>
      <c r="H118" s="11"/>
    </row>
    <row r="119" spans="2:8">
      <c r="B119" s="11"/>
      <c r="C119" s="11"/>
      <c r="D119" s="11"/>
      <c r="E119" s="11"/>
      <c r="F119" s="11"/>
      <c r="G119" s="11"/>
      <c r="H119" s="11"/>
    </row>
    <row r="120" spans="2:8">
      <c r="B120" s="11"/>
      <c r="C120" s="11"/>
      <c r="D120" s="11"/>
      <c r="E120" s="11"/>
      <c r="F120" s="11"/>
      <c r="G120" s="11"/>
      <c r="H120" s="11"/>
    </row>
    <row r="121" spans="2:8">
      <c r="B121" s="11"/>
      <c r="C121" s="11"/>
      <c r="D121" s="11"/>
      <c r="E121" s="11"/>
      <c r="F121" s="11"/>
      <c r="G121" s="11"/>
      <c r="H121" s="11"/>
    </row>
    <row r="122" spans="2:8">
      <c r="B122" s="11"/>
      <c r="C122" s="11"/>
      <c r="D122" s="11"/>
      <c r="E122" s="11"/>
      <c r="F122" s="11"/>
      <c r="G122" s="11"/>
      <c r="H122" s="11"/>
    </row>
    <row r="123" spans="2:8">
      <c r="B123" s="11"/>
      <c r="C123" s="11"/>
      <c r="D123" s="11"/>
      <c r="E123" s="11"/>
      <c r="F123" s="11"/>
      <c r="G123" s="11"/>
      <c r="H123" s="11"/>
    </row>
    <row r="124" spans="2:8">
      <c r="B124" s="11"/>
      <c r="C124" s="11"/>
      <c r="D124" s="11"/>
      <c r="E124" s="11"/>
      <c r="F124" s="11"/>
      <c r="G124" s="11"/>
      <c r="H124" s="11"/>
    </row>
    <row r="125" spans="2:8">
      <c r="B125" s="11"/>
      <c r="C125" s="11"/>
      <c r="D125" s="11"/>
      <c r="E125" s="11"/>
      <c r="F125" s="11"/>
      <c r="G125" s="11"/>
      <c r="H125" s="11"/>
    </row>
    <row r="126" spans="2:8">
      <c r="B126" s="11"/>
      <c r="C126" s="11"/>
      <c r="D126" s="11"/>
      <c r="E126" s="11"/>
      <c r="F126" s="11"/>
      <c r="G126" s="11"/>
      <c r="H126" s="11"/>
    </row>
    <row r="127" spans="2:8">
      <c r="B127" s="11"/>
      <c r="C127" s="11"/>
      <c r="D127" s="11"/>
      <c r="E127" s="11"/>
      <c r="F127" s="11"/>
      <c r="G127" s="11"/>
      <c r="H127" s="11"/>
    </row>
    <row r="128" spans="2:8">
      <c r="B128" s="11"/>
      <c r="C128" s="11"/>
      <c r="D128" s="11"/>
      <c r="E128" s="11"/>
      <c r="F128" s="11"/>
      <c r="G128" s="11"/>
      <c r="H128" s="11"/>
    </row>
    <row r="129" spans="2:8">
      <c r="B129" s="11"/>
      <c r="C129" s="11"/>
      <c r="D129" s="11"/>
      <c r="E129" s="11"/>
      <c r="F129" s="11"/>
      <c r="G129" s="11"/>
      <c r="H129" s="11"/>
    </row>
    <row r="130" spans="2:8">
      <c r="B130" s="11"/>
      <c r="C130" s="11"/>
      <c r="D130" s="11"/>
      <c r="E130" s="11"/>
      <c r="F130" s="11"/>
      <c r="G130" s="11"/>
      <c r="H130" s="11"/>
    </row>
    <row r="131" spans="2:8">
      <c r="B131" s="11"/>
      <c r="C131" s="11"/>
      <c r="D131" s="11"/>
      <c r="E131" s="11"/>
      <c r="F131" s="11"/>
      <c r="G131" s="11"/>
      <c r="H131" s="11"/>
    </row>
    <row r="132" spans="2:8">
      <c r="B132" s="11"/>
      <c r="C132" s="11"/>
      <c r="D132" s="11"/>
      <c r="E132" s="11"/>
      <c r="F132" s="11"/>
      <c r="G132" s="11"/>
      <c r="H132" s="11"/>
    </row>
    <row r="133" spans="2:8">
      <c r="B133" s="11"/>
      <c r="C133" s="11"/>
      <c r="D133" s="11"/>
      <c r="E133" s="11"/>
      <c r="F133" s="11"/>
      <c r="G133" s="11"/>
      <c r="H133" s="11"/>
    </row>
    <row r="134" spans="2:8">
      <c r="B134" s="11"/>
      <c r="C134" s="11"/>
      <c r="D134" s="11"/>
      <c r="E134" s="11"/>
      <c r="F134" s="11"/>
      <c r="G134" s="11"/>
      <c r="H134" s="11"/>
    </row>
    <row r="135" spans="2:8">
      <c r="B135" s="11"/>
      <c r="C135" s="11"/>
      <c r="D135" s="11"/>
      <c r="E135" s="11"/>
      <c r="F135" s="11"/>
      <c r="G135" s="11"/>
      <c r="H135" s="11"/>
    </row>
    <row r="136" spans="2:8">
      <c r="B136" s="11"/>
      <c r="C136" s="11"/>
      <c r="D136" s="11"/>
      <c r="E136" s="11"/>
      <c r="F136" s="11"/>
      <c r="G136" s="11"/>
      <c r="H136" s="11"/>
    </row>
    <row r="137" spans="2:8">
      <c r="B137" s="11"/>
      <c r="C137" s="11"/>
      <c r="D137" s="11"/>
      <c r="E137" s="11"/>
      <c r="F137" s="11"/>
      <c r="G137" s="11"/>
      <c r="H137" s="11"/>
    </row>
    <row r="138" spans="2:8">
      <c r="B138" s="11"/>
      <c r="C138" s="11"/>
      <c r="D138" s="11"/>
      <c r="E138" s="11"/>
      <c r="F138" s="11"/>
      <c r="G138" s="11"/>
      <c r="H138" s="11"/>
    </row>
    <row r="139" spans="2:8">
      <c r="B139" s="11"/>
      <c r="C139" s="11"/>
      <c r="D139" s="11"/>
      <c r="E139" s="11"/>
      <c r="F139" s="11"/>
      <c r="G139" s="11"/>
      <c r="H139" s="11"/>
    </row>
    <row r="140" spans="2:8">
      <c r="B140" s="11"/>
      <c r="C140" s="11"/>
      <c r="D140" s="11"/>
      <c r="E140" s="11"/>
      <c r="F140" s="11"/>
      <c r="G140" s="11"/>
      <c r="H140" s="11"/>
    </row>
    <row r="141" spans="2:8">
      <c r="B141" s="11"/>
      <c r="C141" s="11"/>
      <c r="D141" s="11"/>
      <c r="E141" s="11"/>
      <c r="F141" s="11"/>
      <c r="G141" s="11"/>
      <c r="H141" s="11"/>
    </row>
    <row r="142" spans="2:8">
      <c r="B142" s="11"/>
      <c r="C142" s="11"/>
      <c r="D142" s="11"/>
      <c r="E142" s="11"/>
      <c r="F142" s="11"/>
      <c r="G142" s="11"/>
      <c r="H142" s="11"/>
    </row>
    <row r="143" spans="2:8">
      <c r="B143" s="11"/>
      <c r="C143" s="11"/>
      <c r="D143" s="11"/>
      <c r="E143" s="11"/>
      <c r="F143" s="11"/>
      <c r="G143" s="11"/>
      <c r="H143" s="11"/>
    </row>
    <row r="144" spans="2:8">
      <c r="B144" s="11"/>
      <c r="C144" s="11"/>
      <c r="D144" s="11"/>
      <c r="E144" s="11"/>
      <c r="F144" s="11"/>
      <c r="G144" s="11"/>
      <c r="H144" s="11"/>
    </row>
    <row r="145" spans="2:8">
      <c r="B145" s="11"/>
      <c r="C145" s="11"/>
      <c r="D145" s="11"/>
      <c r="E145" s="11"/>
      <c r="F145" s="11"/>
      <c r="G145" s="11"/>
      <c r="H145" s="11"/>
    </row>
    <row r="146" spans="2:8">
      <c r="B146" s="11"/>
      <c r="C146" s="11"/>
      <c r="D146" s="11"/>
      <c r="E146" s="11"/>
      <c r="F146" s="11"/>
      <c r="G146" s="11"/>
      <c r="H146" s="11"/>
    </row>
    <row r="147" spans="2:8">
      <c r="B147" s="11"/>
      <c r="C147" s="11"/>
      <c r="D147" s="11"/>
      <c r="E147" s="11"/>
      <c r="F147" s="11"/>
      <c r="G147" s="11"/>
      <c r="H147" s="11"/>
    </row>
    <row r="148" spans="2:8">
      <c r="B148" s="11"/>
      <c r="C148" s="11"/>
      <c r="D148" s="11"/>
      <c r="E148" s="11"/>
      <c r="F148" s="11"/>
      <c r="G148" s="11"/>
      <c r="H148" s="11"/>
    </row>
    <row r="149" spans="2:8">
      <c r="B149" s="11"/>
      <c r="C149" s="11"/>
      <c r="D149" s="11"/>
      <c r="E149" s="11"/>
      <c r="F149" s="11"/>
      <c r="G149" s="11"/>
      <c r="H149" s="11"/>
    </row>
    <row r="150" spans="2:8">
      <c r="B150" s="11"/>
      <c r="C150" s="11"/>
      <c r="D150" s="11"/>
      <c r="E150" s="11"/>
      <c r="F150" s="11"/>
      <c r="G150" s="11"/>
      <c r="H150" s="11"/>
    </row>
    <row r="151" spans="2:8">
      <c r="B151" s="11"/>
      <c r="C151" s="11"/>
      <c r="D151" s="11"/>
      <c r="E151" s="11"/>
      <c r="F151" s="11"/>
      <c r="G151" s="11"/>
      <c r="H151" s="11"/>
    </row>
    <row r="152" spans="2:8">
      <c r="B152" s="11"/>
      <c r="C152" s="11"/>
      <c r="D152" s="11"/>
      <c r="E152" s="11"/>
      <c r="F152" s="11"/>
      <c r="G152" s="11"/>
      <c r="H152" s="11"/>
    </row>
    <row r="153" spans="2:8">
      <c r="B153" s="11"/>
      <c r="C153" s="11"/>
      <c r="D153" s="11"/>
      <c r="E153" s="11"/>
      <c r="F153" s="11"/>
      <c r="G153" s="11"/>
      <c r="H153" s="11"/>
    </row>
    <row r="154" spans="2:8">
      <c r="B154" s="11"/>
      <c r="C154" s="11"/>
      <c r="D154" s="11"/>
      <c r="E154" s="11"/>
      <c r="F154" s="11"/>
      <c r="G154" s="11"/>
      <c r="H154" s="11"/>
    </row>
    <row r="155" spans="2:8">
      <c r="B155" s="11"/>
      <c r="C155" s="11"/>
      <c r="D155" s="11"/>
      <c r="E155" s="11"/>
      <c r="F155" s="11"/>
      <c r="G155" s="11"/>
      <c r="H155" s="11"/>
    </row>
    <row r="156" spans="2:8">
      <c r="B156" s="11"/>
      <c r="C156" s="11"/>
      <c r="D156" s="11"/>
      <c r="E156" s="11"/>
      <c r="F156" s="11"/>
      <c r="G156" s="11"/>
      <c r="H156" s="11"/>
    </row>
    <row r="157" spans="2:8">
      <c r="B157" s="11"/>
      <c r="C157" s="11"/>
      <c r="D157" s="11"/>
      <c r="E157" s="11"/>
      <c r="F157" s="11"/>
      <c r="G157" s="11"/>
      <c r="H157" s="11"/>
    </row>
    <row r="158" spans="2:8">
      <c r="B158" s="11"/>
      <c r="C158" s="11"/>
      <c r="D158" s="11"/>
      <c r="E158" s="11"/>
      <c r="F158" s="11"/>
      <c r="G158" s="11"/>
      <c r="H158" s="11"/>
    </row>
    <row r="159" spans="2:8">
      <c r="B159" s="11"/>
      <c r="C159" s="11"/>
      <c r="D159" s="11"/>
      <c r="E159" s="11"/>
      <c r="F159" s="11"/>
      <c r="G159" s="11"/>
      <c r="H159" s="11"/>
    </row>
    <row r="160" spans="2:8">
      <c r="B160" s="11"/>
      <c r="C160" s="11"/>
      <c r="D160" s="11"/>
      <c r="E160" s="11"/>
      <c r="F160" s="11"/>
      <c r="G160" s="11"/>
      <c r="H160" s="11"/>
    </row>
    <row r="161" spans="2:8">
      <c r="B161" s="11"/>
      <c r="C161" s="11"/>
      <c r="D161" s="11"/>
      <c r="E161" s="11"/>
      <c r="F161" s="11"/>
      <c r="G161" s="11"/>
      <c r="H161" s="11"/>
    </row>
    <row r="162" spans="2:8">
      <c r="B162" s="11"/>
      <c r="C162" s="11"/>
      <c r="D162" s="11"/>
      <c r="E162" s="11"/>
      <c r="F162" s="11"/>
      <c r="G162" s="11"/>
      <c r="H162" s="11"/>
    </row>
    <row r="163" spans="2:8">
      <c r="B163" s="11"/>
      <c r="C163" s="11"/>
      <c r="D163" s="11"/>
      <c r="E163" s="11"/>
      <c r="F163" s="11"/>
      <c r="G163" s="11"/>
      <c r="H163" s="11"/>
    </row>
    <row r="164" spans="2:8">
      <c r="B164" s="11"/>
      <c r="C164" s="11"/>
      <c r="D164" s="11"/>
      <c r="E164" s="11"/>
      <c r="F164" s="11"/>
      <c r="G164" s="11"/>
      <c r="H164" s="11"/>
    </row>
    <row r="165" spans="2:8">
      <c r="B165" s="11"/>
      <c r="C165" s="11"/>
      <c r="D165" s="11"/>
      <c r="E165" s="11"/>
      <c r="F165" s="11"/>
      <c r="G165" s="11"/>
      <c r="H165" s="11"/>
    </row>
    <row r="166" spans="2:8">
      <c r="B166" s="11"/>
      <c r="C166" s="11"/>
      <c r="D166" s="11"/>
      <c r="E166" s="11"/>
      <c r="F166" s="11"/>
      <c r="G166" s="11"/>
      <c r="H166" s="11"/>
    </row>
    <row r="167" spans="2:8">
      <c r="B167" s="11"/>
      <c r="C167" s="11"/>
      <c r="D167" s="11"/>
      <c r="E167" s="11"/>
      <c r="F167" s="11"/>
      <c r="G167" s="11"/>
      <c r="H167" s="11"/>
    </row>
    <row r="168" spans="2:8">
      <c r="B168" s="11"/>
      <c r="C168" s="11"/>
      <c r="D168" s="11"/>
      <c r="E168" s="11"/>
      <c r="F168" s="11"/>
      <c r="G168" s="11"/>
      <c r="H168" s="11"/>
    </row>
    <row r="169" spans="2:8">
      <c r="B169" s="11"/>
      <c r="C169" s="11"/>
      <c r="D169" s="11"/>
      <c r="E169" s="11"/>
      <c r="F169" s="11"/>
      <c r="G169" s="11"/>
      <c r="H169" s="11"/>
    </row>
    <row r="170" spans="2:8">
      <c r="B170" s="11"/>
      <c r="C170" s="11"/>
      <c r="D170" s="11"/>
      <c r="E170" s="11"/>
      <c r="F170" s="11"/>
      <c r="G170" s="11"/>
      <c r="H170" s="11"/>
    </row>
    <row r="171" spans="2:8">
      <c r="B171" s="11"/>
      <c r="C171" s="11"/>
      <c r="D171" s="11"/>
      <c r="E171" s="11"/>
      <c r="F171" s="11"/>
      <c r="G171" s="11"/>
      <c r="H171" s="11"/>
    </row>
    <row r="172" spans="2:8">
      <c r="B172" s="11"/>
      <c r="C172" s="11"/>
      <c r="D172" s="11"/>
      <c r="E172" s="11"/>
      <c r="F172" s="11"/>
      <c r="G172" s="11"/>
      <c r="H172" s="11"/>
    </row>
    <row r="173" spans="2:8">
      <c r="B173" s="11"/>
      <c r="C173" s="11"/>
      <c r="D173" s="11"/>
      <c r="E173" s="11"/>
      <c r="F173" s="11"/>
      <c r="G173" s="11"/>
      <c r="H173" s="11"/>
    </row>
    <row r="174" spans="2:8">
      <c r="B174" s="11"/>
      <c r="C174" s="11"/>
      <c r="D174" s="11"/>
      <c r="E174" s="11"/>
      <c r="F174" s="11"/>
      <c r="G174" s="11"/>
      <c r="H174" s="11"/>
    </row>
    <row r="175" spans="2:8">
      <c r="B175" s="11"/>
      <c r="C175" s="11"/>
      <c r="D175" s="11"/>
      <c r="E175" s="11"/>
      <c r="F175" s="11"/>
      <c r="G175" s="11"/>
      <c r="H175" s="11"/>
    </row>
    <row r="176" spans="2:8">
      <c r="B176" s="11"/>
      <c r="C176" s="11"/>
      <c r="D176" s="11"/>
      <c r="E176" s="11"/>
      <c r="F176" s="11"/>
      <c r="G176" s="11"/>
      <c r="H176" s="11"/>
    </row>
    <row r="177" spans="2:8">
      <c r="B177" s="11"/>
      <c r="C177" s="11"/>
      <c r="D177" s="11"/>
      <c r="E177" s="11"/>
      <c r="F177" s="11"/>
      <c r="G177" s="11"/>
      <c r="H177" s="11"/>
    </row>
    <row r="178" spans="2:8">
      <c r="B178" s="11"/>
      <c r="C178" s="11"/>
      <c r="D178" s="11"/>
      <c r="E178" s="11"/>
      <c r="F178" s="11"/>
      <c r="G178" s="11"/>
      <c r="H178" s="11"/>
    </row>
    <row r="179" spans="2:8">
      <c r="B179" s="11"/>
      <c r="C179" s="11"/>
      <c r="D179" s="11"/>
      <c r="E179" s="11"/>
      <c r="F179" s="11"/>
      <c r="G179" s="11"/>
      <c r="H179" s="11"/>
    </row>
    <row r="180" spans="2:8">
      <c r="B180" s="11"/>
      <c r="C180" s="11"/>
      <c r="D180" s="11"/>
      <c r="E180" s="11"/>
      <c r="F180" s="11"/>
      <c r="G180" s="11"/>
      <c r="H180" s="11"/>
    </row>
    <row r="181" spans="2:8">
      <c r="B181" s="11"/>
      <c r="C181" s="11"/>
      <c r="D181" s="11"/>
      <c r="E181" s="11"/>
      <c r="F181" s="11"/>
      <c r="G181" s="11"/>
      <c r="H181" s="11"/>
    </row>
    <row r="182" spans="2:8">
      <c r="B182" s="11"/>
      <c r="C182" s="11"/>
      <c r="D182" s="11"/>
      <c r="E182" s="11"/>
      <c r="F182" s="11"/>
      <c r="G182" s="11"/>
      <c r="H182" s="11"/>
    </row>
    <row r="183" spans="2:8">
      <c r="B183" s="11"/>
      <c r="C183" s="11"/>
      <c r="D183" s="11"/>
      <c r="E183" s="11"/>
      <c r="F183" s="11"/>
      <c r="G183" s="11"/>
      <c r="H183" s="11"/>
    </row>
    <row r="184" spans="2:8">
      <c r="B184" s="11"/>
      <c r="C184" s="11"/>
      <c r="D184" s="11"/>
      <c r="E184" s="11"/>
      <c r="F184" s="11"/>
      <c r="G184" s="11"/>
      <c r="H184" s="11"/>
    </row>
    <row r="185" spans="2:8">
      <c r="B185" s="11"/>
      <c r="C185" s="11"/>
      <c r="D185" s="11"/>
      <c r="E185" s="11"/>
      <c r="F185" s="11"/>
      <c r="G185" s="11"/>
      <c r="H185" s="11"/>
    </row>
    <row r="186" spans="2:8">
      <c r="B186" s="11"/>
      <c r="C186" s="11"/>
      <c r="D186" s="11"/>
      <c r="E186" s="11"/>
      <c r="F186" s="11"/>
      <c r="G186" s="11"/>
      <c r="H186" s="11"/>
    </row>
    <row r="187" spans="2:8">
      <c r="B187" s="11"/>
      <c r="C187" s="11"/>
      <c r="D187" s="11"/>
      <c r="E187" s="11"/>
      <c r="F187" s="11"/>
      <c r="G187" s="11"/>
      <c r="H187" s="11"/>
    </row>
    <row r="188" spans="2:8">
      <c r="B188" s="11"/>
      <c r="C188" s="11"/>
      <c r="D188" s="11"/>
      <c r="E188" s="11"/>
      <c r="F188" s="11"/>
      <c r="G188" s="11"/>
      <c r="H188" s="11"/>
    </row>
    <row r="189" spans="2:8">
      <c r="B189" s="11"/>
      <c r="C189" s="11"/>
      <c r="D189" s="11"/>
      <c r="E189" s="11"/>
      <c r="F189" s="11"/>
      <c r="G189" s="11"/>
      <c r="H189" s="11"/>
    </row>
    <row r="190" spans="2:8">
      <c r="B190" s="11"/>
      <c r="C190" s="11"/>
      <c r="D190" s="11"/>
      <c r="E190" s="11"/>
      <c r="F190" s="11"/>
      <c r="G190" s="11"/>
      <c r="H190" s="11"/>
    </row>
    <row r="191" spans="2:8">
      <c r="B191" s="11"/>
      <c r="C191" s="11"/>
      <c r="D191" s="11"/>
      <c r="E191" s="11"/>
      <c r="F191" s="11"/>
      <c r="G191" s="11"/>
      <c r="H191" s="11"/>
    </row>
    <row r="192" spans="2:8">
      <c r="B192" s="11"/>
      <c r="C192" s="11"/>
      <c r="D192" s="11"/>
      <c r="E192" s="11"/>
      <c r="F192" s="11"/>
      <c r="G192" s="11"/>
      <c r="H192" s="11"/>
    </row>
    <row r="193" spans="2:8">
      <c r="B193" s="11"/>
      <c r="C193" s="11"/>
      <c r="D193" s="11"/>
      <c r="E193" s="11"/>
      <c r="F193" s="11"/>
      <c r="G193" s="11"/>
      <c r="H193" s="11"/>
    </row>
    <row r="194" spans="2:8">
      <c r="B194" s="11"/>
      <c r="C194" s="11"/>
      <c r="D194" s="11"/>
      <c r="E194" s="11"/>
      <c r="F194" s="11"/>
      <c r="G194" s="11"/>
      <c r="H194" s="11"/>
    </row>
    <row r="195" spans="2:8">
      <c r="B195" s="11"/>
      <c r="C195" s="11"/>
      <c r="D195" s="11"/>
      <c r="E195" s="11"/>
      <c r="F195" s="11"/>
      <c r="G195" s="11"/>
      <c r="H195" s="11"/>
    </row>
    <row r="196" spans="2:8">
      <c r="B196" s="11"/>
      <c r="C196" s="11"/>
      <c r="D196" s="11"/>
      <c r="E196" s="11"/>
      <c r="F196" s="11"/>
      <c r="G196" s="11"/>
      <c r="H196" s="11"/>
    </row>
    <row r="197" spans="2:8">
      <c r="B197" s="11"/>
      <c r="C197" s="11"/>
      <c r="D197" s="11"/>
      <c r="E197" s="11"/>
      <c r="F197" s="11"/>
      <c r="G197" s="11"/>
      <c r="H197" s="11"/>
    </row>
    <row r="198" spans="2:8">
      <c r="B198" s="11"/>
      <c r="C198" s="11"/>
      <c r="D198" s="11"/>
      <c r="E198" s="11"/>
      <c r="F198" s="11"/>
      <c r="G198" s="11"/>
      <c r="H198" s="11"/>
    </row>
    <row r="199" spans="2:8">
      <c r="B199" s="11"/>
      <c r="C199" s="11"/>
      <c r="D199" s="11"/>
      <c r="E199" s="11"/>
      <c r="F199" s="11"/>
      <c r="G199" s="11"/>
      <c r="H199" s="11"/>
    </row>
    <row r="200" spans="2:8">
      <c r="B200" s="11"/>
      <c r="C200" s="11"/>
      <c r="D200" s="11"/>
      <c r="E200" s="11"/>
      <c r="F200" s="11"/>
      <c r="G200" s="11"/>
      <c r="H200" s="11"/>
    </row>
    <row r="201" spans="2:8">
      <c r="B201" s="11"/>
      <c r="C201" s="11"/>
      <c r="D201" s="11"/>
      <c r="E201" s="11"/>
      <c r="F201" s="11"/>
      <c r="G201" s="11"/>
      <c r="H201" s="11"/>
    </row>
    <row r="202" spans="2:8">
      <c r="B202" s="11"/>
      <c r="C202" s="11"/>
      <c r="D202" s="11"/>
      <c r="E202" s="11"/>
      <c r="F202" s="11"/>
      <c r="G202" s="11"/>
      <c r="H202" s="11"/>
    </row>
    <row r="203" spans="2:8">
      <c r="B203" s="11"/>
      <c r="C203" s="11"/>
      <c r="D203" s="11"/>
      <c r="E203" s="11"/>
      <c r="F203" s="11"/>
      <c r="G203" s="11"/>
      <c r="H203" s="11"/>
    </row>
    <row r="204" spans="2:8">
      <c r="B204" s="11"/>
      <c r="C204" s="11"/>
      <c r="D204" s="11"/>
      <c r="E204" s="11"/>
      <c r="F204" s="11"/>
      <c r="G204" s="11"/>
      <c r="H204" s="11"/>
    </row>
    <row r="205" spans="2:8">
      <c r="B205" s="11"/>
      <c r="C205" s="11"/>
      <c r="D205" s="11"/>
      <c r="E205" s="11"/>
      <c r="F205" s="11"/>
      <c r="G205" s="11"/>
      <c r="H205" s="11"/>
    </row>
    <row r="206" spans="2:8">
      <c r="B206" s="11"/>
      <c r="C206" s="11"/>
      <c r="D206" s="11"/>
      <c r="E206" s="11"/>
      <c r="F206" s="11"/>
      <c r="G206" s="11"/>
      <c r="H206" s="11"/>
    </row>
    <row r="207" spans="2:8">
      <c r="B207" s="11"/>
      <c r="C207" s="11"/>
      <c r="D207" s="11"/>
      <c r="E207" s="11"/>
      <c r="F207" s="11"/>
      <c r="G207" s="11"/>
      <c r="H207" s="11"/>
    </row>
    <row r="208" spans="2:8">
      <c r="B208" s="11"/>
      <c r="C208" s="11"/>
      <c r="D208" s="11"/>
      <c r="E208" s="11"/>
      <c r="F208" s="11"/>
      <c r="G208" s="11"/>
      <c r="H208" s="11"/>
    </row>
    <row r="209" spans="2:8">
      <c r="B209" s="11"/>
      <c r="C209" s="11"/>
      <c r="D209" s="11"/>
      <c r="E209" s="11"/>
      <c r="F209" s="11"/>
      <c r="G209" s="11"/>
      <c r="H209" s="11"/>
    </row>
    <row r="210" spans="2:8">
      <c r="B210" s="11"/>
      <c r="C210" s="11"/>
      <c r="D210" s="11"/>
      <c r="E210" s="11"/>
      <c r="F210" s="11"/>
      <c r="G210" s="11"/>
      <c r="H210" s="11"/>
    </row>
    <row r="211" spans="2:8">
      <c r="B211" s="11"/>
      <c r="C211" s="11"/>
      <c r="D211" s="11"/>
      <c r="E211" s="11"/>
      <c r="F211" s="11"/>
      <c r="G211" s="11"/>
      <c r="H211" s="11"/>
    </row>
    <row r="212" spans="2:8">
      <c r="B212" s="11"/>
      <c r="C212" s="11"/>
      <c r="D212" s="11"/>
      <c r="E212" s="11"/>
      <c r="F212" s="11"/>
      <c r="G212" s="11"/>
      <c r="H212" s="11"/>
    </row>
    <row r="213" spans="2:8">
      <c r="B213" s="11"/>
      <c r="C213" s="11"/>
      <c r="D213" s="11"/>
      <c r="E213" s="11"/>
      <c r="F213" s="11"/>
      <c r="G213" s="11"/>
      <c r="H213" s="11"/>
    </row>
    <row r="214" spans="2:8">
      <c r="B214" s="11"/>
      <c r="C214" s="11"/>
      <c r="D214" s="11"/>
      <c r="E214" s="11"/>
      <c r="F214" s="11"/>
      <c r="G214" s="11"/>
      <c r="H214" s="11"/>
    </row>
    <row r="215" spans="2:8">
      <c r="B215" s="11"/>
      <c r="C215" s="11"/>
      <c r="D215" s="11"/>
      <c r="E215" s="11"/>
      <c r="F215" s="11"/>
      <c r="G215" s="11"/>
      <c r="H215" s="11"/>
    </row>
    <row r="216" spans="2:8">
      <c r="B216" s="11"/>
      <c r="C216" s="11"/>
      <c r="D216" s="11"/>
      <c r="E216" s="11"/>
      <c r="F216" s="11"/>
      <c r="G216" s="11"/>
      <c r="H216" s="11"/>
    </row>
    <row r="217" spans="2:8">
      <c r="B217" s="11"/>
      <c r="C217" s="11"/>
      <c r="D217" s="11"/>
      <c r="E217" s="11"/>
      <c r="F217" s="11"/>
      <c r="G217" s="11"/>
      <c r="H217" s="11"/>
    </row>
    <row r="218" spans="2:8">
      <c r="B218" s="11"/>
      <c r="C218" s="11"/>
      <c r="D218" s="11"/>
      <c r="E218" s="11"/>
      <c r="F218" s="11"/>
      <c r="G218" s="11"/>
      <c r="H218" s="11"/>
    </row>
    <row r="219" spans="2:8">
      <c r="B219" s="11"/>
      <c r="C219" s="11"/>
      <c r="D219" s="11"/>
      <c r="E219" s="11"/>
      <c r="F219" s="11"/>
      <c r="G219" s="11"/>
      <c r="H219" s="11"/>
    </row>
    <row r="220" spans="2:8">
      <c r="B220" s="11"/>
      <c r="C220" s="11"/>
      <c r="D220" s="11"/>
      <c r="E220" s="11"/>
      <c r="F220" s="11"/>
      <c r="G220" s="11"/>
      <c r="H220" s="11"/>
    </row>
    <row r="221" spans="2:8">
      <c r="B221" s="11"/>
      <c r="C221" s="11"/>
      <c r="D221" s="11"/>
      <c r="E221" s="11"/>
      <c r="F221" s="11"/>
      <c r="G221" s="11"/>
      <c r="H221" s="11"/>
    </row>
    <row r="222" spans="2:8">
      <c r="B222" s="11"/>
      <c r="C222" s="11"/>
      <c r="D222" s="11"/>
      <c r="E222" s="11"/>
      <c r="F222" s="11"/>
      <c r="G222" s="11"/>
      <c r="H222" s="11"/>
    </row>
    <row r="223" spans="2:8">
      <c r="B223" s="11"/>
      <c r="C223" s="11"/>
      <c r="D223" s="11"/>
      <c r="E223" s="11"/>
      <c r="F223" s="11"/>
      <c r="G223" s="11"/>
      <c r="H223" s="11"/>
    </row>
    <row r="224" spans="2:8">
      <c r="B224" s="11"/>
      <c r="C224" s="11"/>
      <c r="D224" s="11"/>
      <c r="E224" s="11"/>
      <c r="F224" s="11"/>
      <c r="G224" s="11"/>
      <c r="H224" s="11"/>
    </row>
    <row r="225" spans="2:8">
      <c r="B225" s="11"/>
      <c r="C225" s="11"/>
      <c r="D225" s="11"/>
      <c r="E225" s="11"/>
      <c r="F225" s="11"/>
      <c r="G225" s="11"/>
      <c r="H225" s="11"/>
    </row>
    <row r="226" spans="2:8">
      <c r="B226" s="11"/>
      <c r="C226" s="11"/>
      <c r="D226" s="11"/>
      <c r="E226" s="11"/>
      <c r="F226" s="11"/>
      <c r="G226" s="11"/>
      <c r="H226" s="11"/>
    </row>
    <row r="227" spans="2:8">
      <c r="B227" s="11"/>
      <c r="C227" s="11"/>
      <c r="D227" s="11"/>
      <c r="E227" s="11"/>
      <c r="F227" s="11"/>
      <c r="G227" s="11"/>
      <c r="H227" s="11"/>
    </row>
    <row r="228" spans="2:8">
      <c r="B228" s="11"/>
      <c r="C228" s="11"/>
      <c r="D228" s="11"/>
      <c r="E228" s="11"/>
      <c r="F228" s="11"/>
      <c r="G228" s="11"/>
      <c r="H228" s="11"/>
    </row>
    <row r="229" spans="2:8">
      <c r="B229" s="11"/>
      <c r="C229" s="11"/>
      <c r="D229" s="11"/>
      <c r="E229" s="11"/>
      <c r="F229" s="11"/>
      <c r="G229" s="11"/>
      <c r="H229" s="11"/>
    </row>
    <row r="230" spans="2:8">
      <c r="B230" s="11"/>
      <c r="C230" s="11"/>
      <c r="D230" s="11"/>
      <c r="E230" s="11"/>
      <c r="F230" s="11"/>
      <c r="G230" s="11"/>
      <c r="H230" s="11"/>
    </row>
    <row r="231" spans="2:8">
      <c r="B231" s="11"/>
      <c r="C231" s="11"/>
      <c r="D231" s="11"/>
      <c r="E231" s="11"/>
      <c r="F231" s="11"/>
      <c r="G231" s="11"/>
      <c r="H231" s="11"/>
    </row>
    <row r="232" spans="2:8">
      <c r="B232" s="11"/>
      <c r="C232" s="11"/>
      <c r="D232" s="11"/>
      <c r="E232" s="11"/>
      <c r="F232" s="11"/>
      <c r="G232" s="11"/>
      <c r="H232" s="11"/>
    </row>
    <row r="233" spans="2:8">
      <c r="B233" s="11"/>
      <c r="C233" s="11"/>
      <c r="D233" s="11"/>
      <c r="E233" s="11"/>
      <c r="F233" s="11"/>
      <c r="G233" s="11"/>
      <c r="H233" s="11"/>
    </row>
    <row r="234" spans="2:8">
      <c r="B234" s="11"/>
      <c r="C234" s="11"/>
      <c r="D234" s="11"/>
      <c r="E234" s="11"/>
      <c r="F234" s="11"/>
      <c r="G234" s="11"/>
      <c r="H234" s="11"/>
    </row>
    <row r="235" spans="2:8">
      <c r="B235" s="11"/>
      <c r="C235" s="11"/>
      <c r="D235" s="11"/>
      <c r="E235" s="11"/>
      <c r="F235" s="11"/>
      <c r="G235" s="11"/>
      <c r="H235" s="11"/>
    </row>
    <row r="236" spans="2:8">
      <c r="B236" s="11"/>
      <c r="C236" s="11"/>
      <c r="D236" s="11"/>
      <c r="E236" s="11"/>
      <c r="F236" s="11"/>
      <c r="G236" s="11"/>
      <c r="H236" s="11"/>
    </row>
    <row r="237" spans="2:8">
      <c r="B237" s="11"/>
      <c r="C237" s="11"/>
      <c r="D237" s="11"/>
      <c r="E237" s="11"/>
      <c r="F237" s="11"/>
      <c r="G237" s="11"/>
      <c r="H237" s="11"/>
    </row>
    <row r="238" spans="2:8">
      <c r="B238" s="11"/>
      <c r="C238" s="11"/>
      <c r="D238" s="11"/>
      <c r="E238" s="11"/>
      <c r="F238" s="11"/>
      <c r="G238" s="11"/>
      <c r="H238" s="11"/>
    </row>
    <row r="239" spans="2:8">
      <c r="B239" s="11"/>
      <c r="C239" s="11"/>
      <c r="D239" s="11"/>
      <c r="E239" s="11"/>
      <c r="F239" s="11"/>
      <c r="G239" s="11"/>
      <c r="H239" s="11"/>
    </row>
    <row r="240" spans="2:8">
      <c r="B240" s="11"/>
      <c r="C240" s="11"/>
      <c r="D240" s="11"/>
      <c r="E240" s="11"/>
      <c r="F240" s="11"/>
      <c r="G240" s="11"/>
      <c r="H240" s="11"/>
    </row>
    <row r="241" spans="2:8">
      <c r="B241" s="11"/>
      <c r="C241" s="11"/>
      <c r="D241" s="11"/>
      <c r="E241" s="11"/>
      <c r="F241" s="11"/>
      <c r="G241" s="11"/>
      <c r="H241" s="11"/>
    </row>
    <row r="242" spans="2:8">
      <c r="B242" s="11"/>
      <c r="C242" s="11"/>
      <c r="D242" s="11"/>
      <c r="E242" s="11"/>
      <c r="F242" s="11"/>
      <c r="G242" s="11"/>
      <c r="H242" s="11"/>
    </row>
    <row r="243" spans="2:8">
      <c r="B243" s="11"/>
      <c r="C243" s="11"/>
      <c r="D243" s="11"/>
      <c r="E243" s="11"/>
      <c r="F243" s="11"/>
      <c r="G243" s="11"/>
      <c r="H243" s="11"/>
    </row>
    <row r="244" spans="2:8">
      <c r="B244" s="11"/>
      <c r="C244" s="11"/>
      <c r="D244" s="11"/>
      <c r="E244" s="11"/>
      <c r="F244" s="11"/>
      <c r="G244" s="11"/>
      <c r="H244" s="11"/>
    </row>
    <row r="245" spans="2:8">
      <c r="B245" s="11"/>
      <c r="C245" s="11"/>
      <c r="D245" s="11"/>
      <c r="E245" s="11"/>
      <c r="F245" s="11"/>
      <c r="G245" s="11"/>
      <c r="H245" s="11"/>
    </row>
    <row r="246" spans="2:8">
      <c r="B246" s="11"/>
      <c r="C246" s="11"/>
      <c r="D246" s="11"/>
      <c r="E246" s="11"/>
      <c r="F246" s="11"/>
      <c r="G246" s="11"/>
      <c r="H246" s="11"/>
    </row>
    <row r="247" spans="2:8">
      <c r="B247" s="11"/>
      <c r="C247" s="11"/>
      <c r="D247" s="11"/>
      <c r="E247" s="11"/>
      <c r="F247" s="11"/>
      <c r="G247" s="11"/>
      <c r="H247" s="11"/>
    </row>
    <row r="248" spans="2:8">
      <c r="B248" s="11"/>
      <c r="C248" s="11"/>
      <c r="D248" s="11"/>
      <c r="E248" s="11"/>
      <c r="F248" s="11"/>
      <c r="G248" s="11"/>
      <c r="H248" s="11"/>
    </row>
    <row r="249" spans="2:8">
      <c r="B249" s="11"/>
      <c r="C249" s="11"/>
      <c r="D249" s="11"/>
      <c r="E249" s="11"/>
      <c r="F249" s="11"/>
      <c r="G249" s="11"/>
      <c r="H249" s="11"/>
    </row>
    <row r="250" spans="2:8">
      <c r="B250" s="11"/>
      <c r="C250" s="11"/>
      <c r="D250" s="11"/>
      <c r="E250" s="11"/>
      <c r="F250" s="11"/>
      <c r="G250" s="11"/>
      <c r="H250" s="11"/>
    </row>
    <row r="251" spans="2:8">
      <c r="B251" s="11"/>
      <c r="C251" s="11"/>
      <c r="D251" s="11"/>
      <c r="E251" s="11"/>
      <c r="F251" s="11"/>
      <c r="G251" s="11"/>
      <c r="H251" s="11"/>
    </row>
    <row r="252" spans="2:8">
      <c r="B252" s="11"/>
      <c r="C252" s="11"/>
      <c r="D252" s="11"/>
      <c r="E252" s="11"/>
      <c r="F252" s="11"/>
      <c r="G252" s="11"/>
      <c r="H252" s="11"/>
    </row>
    <row r="253" spans="2:8">
      <c r="B253" s="11"/>
      <c r="C253" s="11"/>
      <c r="D253" s="11"/>
      <c r="E253" s="11"/>
      <c r="F253" s="11"/>
      <c r="G253" s="11"/>
      <c r="H253" s="11"/>
    </row>
    <row r="254" spans="2:8">
      <c r="B254" s="11"/>
      <c r="C254" s="11"/>
      <c r="D254" s="11"/>
      <c r="E254" s="11"/>
      <c r="F254" s="11"/>
      <c r="G254" s="11"/>
      <c r="H254" s="11"/>
    </row>
    <row r="255" spans="2:8">
      <c r="B255" s="11"/>
      <c r="C255" s="11"/>
      <c r="D255" s="11"/>
      <c r="E255" s="11"/>
      <c r="F255" s="11"/>
      <c r="G255" s="11"/>
      <c r="H255" s="11"/>
    </row>
    <row r="256" spans="2:8">
      <c r="B256" s="11"/>
      <c r="C256" s="11"/>
      <c r="D256" s="11"/>
      <c r="E256" s="11"/>
      <c r="F256" s="11"/>
      <c r="G256" s="11"/>
      <c r="H256" s="11"/>
    </row>
    <row r="257" spans="2:8">
      <c r="B257" s="11"/>
      <c r="C257" s="11"/>
      <c r="D257" s="11"/>
      <c r="E257" s="11"/>
      <c r="F257" s="11"/>
      <c r="G257" s="11"/>
      <c r="H257" s="11"/>
    </row>
    <row r="258" spans="2:8">
      <c r="B258" s="11"/>
      <c r="C258" s="11"/>
      <c r="D258" s="11"/>
      <c r="E258" s="11"/>
      <c r="F258" s="11"/>
      <c r="G258" s="11"/>
      <c r="H258" s="11"/>
    </row>
    <row r="259" spans="2:8">
      <c r="B259" s="11"/>
      <c r="C259" s="11"/>
      <c r="D259" s="11"/>
      <c r="E259" s="11"/>
      <c r="F259" s="11"/>
      <c r="G259" s="11"/>
      <c r="H259" s="11"/>
    </row>
    <row r="260" spans="2:8">
      <c r="B260" s="11"/>
      <c r="C260" s="11"/>
      <c r="D260" s="11"/>
      <c r="E260" s="11"/>
      <c r="F260" s="11"/>
      <c r="G260" s="11"/>
      <c r="H260" s="11"/>
    </row>
    <row r="261" spans="2:8">
      <c r="B261" s="11"/>
      <c r="C261" s="11"/>
      <c r="D261" s="11"/>
      <c r="E261" s="11"/>
      <c r="F261" s="11"/>
      <c r="G261" s="11"/>
      <c r="H261" s="11"/>
    </row>
    <row r="262" spans="2:8">
      <c r="B262" s="11"/>
      <c r="C262" s="11"/>
      <c r="D262" s="11"/>
      <c r="E262" s="11"/>
      <c r="F262" s="11"/>
      <c r="G262" s="11"/>
      <c r="H262" s="11"/>
    </row>
    <row r="263" spans="2:8">
      <c r="B263" s="11"/>
      <c r="C263" s="11"/>
      <c r="D263" s="11"/>
      <c r="E263" s="11"/>
      <c r="F263" s="11"/>
      <c r="G263" s="11"/>
      <c r="H263" s="11"/>
    </row>
    <row r="264" spans="2:8">
      <c r="B264" s="11"/>
      <c r="C264" s="11"/>
      <c r="D264" s="11"/>
      <c r="E264" s="11"/>
      <c r="F264" s="11"/>
      <c r="G264" s="11"/>
      <c r="H264" s="11"/>
    </row>
    <row r="265" spans="2:8">
      <c r="B265" s="11"/>
      <c r="C265" s="11"/>
      <c r="D265" s="11"/>
      <c r="E265" s="11"/>
      <c r="F265" s="11"/>
      <c r="G265" s="11"/>
      <c r="H265" s="11"/>
    </row>
    <row r="266" spans="2:8">
      <c r="B266" s="11"/>
      <c r="C266" s="11"/>
      <c r="D266" s="11"/>
      <c r="E266" s="11"/>
      <c r="F266" s="11"/>
      <c r="G266" s="11"/>
      <c r="H266" s="11"/>
    </row>
    <row r="267" spans="2:8">
      <c r="B267" s="11"/>
      <c r="C267" s="11"/>
      <c r="D267" s="11"/>
      <c r="E267" s="11"/>
      <c r="F267" s="11"/>
      <c r="G267" s="11"/>
      <c r="H267" s="11"/>
    </row>
    <row r="268" spans="2:8">
      <c r="B268" s="11"/>
      <c r="C268" s="11"/>
      <c r="D268" s="11"/>
      <c r="E268" s="11"/>
      <c r="F268" s="11"/>
      <c r="G268" s="11"/>
      <c r="H268" s="11"/>
    </row>
    <row r="269" spans="2:8">
      <c r="B269" s="11"/>
      <c r="C269" s="11"/>
      <c r="D269" s="11"/>
      <c r="E269" s="11"/>
      <c r="F269" s="11"/>
      <c r="G269" s="11"/>
      <c r="H269" s="11"/>
    </row>
    <row r="270" spans="2:8">
      <c r="B270" s="11"/>
      <c r="C270" s="11"/>
      <c r="D270" s="11"/>
      <c r="E270" s="11"/>
      <c r="F270" s="11"/>
      <c r="G270" s="11"/>
      <c r="H270" s="11"/>
    </row>
    <row r="271" spans="2:8">
      <c r="B271" s="11"/>
      <c r="C271" s="11"/>
      <c r="D271" s="11"/>
      <c r="E271" s="11"/>
      <c r="F271" s="11"/>
      <c r="G271" s="11"/>
      <c r="H271" s="11"/>
    </row>
    <row r="272" spans="2:8">
      <c r="B272" s="11"/>
      <c r="C272" s="11"/>
      <c r="D272" s="11"/>
      <c r="E272" s="11"/>
      <c r="F272" s="11"/>
      <c r="G272" s="11"/>
      <c r="H272" s="11"/>
    </row>
    <row r="273" spans="2:8">
      <c r="B273" s="11"/>
      <c r="C273" s="11"/>
      <c r="D273" s="11"/>
      <c r="E273" s="11"/>
      <c r="F273" s="11"/>
      <c r="G273" s="11"/>
      <c r="H273" s="11"/>
    </row>
    <row r="274" spans="2:8">
      <c r="B274" s="11"/>
      <c r="C274" s="11"/>
      <c r="D274" s="11"/>
      <c r="E274" s="11"/>
      <c r="F274" s="11"/>
      <c r="G274" s="11"/>
      <c r="H274" s="11"/>
    </row>
    <row r="275" spans="2:8">
      <c r="B275" s="11"/>
      <c r="C275" s="11"/>
      <c r="D275" s="11"/>
      <c r="E275" s="11"/>
      <c r="F275" s="11"/>
      <c r="G275" s="11"/>
      <c r="H275" s="11"/>
    </row>
    <row r="276" spans="2:8">
      <c r="B276" s="11"/>
      <c r="C276" s="11"/>
      <c r="D276" s="11"/>
      <c r="E276" s="11"/>
      <c r="F276" s="11"/>
      <c r="G276" s="11"/>
      <c r="H276" s="11"/>
    </row>
    <row r="277" spans="2:8">
      <c r="B277" s="11"/>
      <c r="C277" s="11"/>
      <c r="D277" s="11"/>
      <c r="E277" s="11"/>
      <c r="F277" s="11"/>
      <c r="G277" s="11"/>
      <c r="H277" s="11"/>
    </row>
    <row r="278" spans="2:8">
      <c r="B278" s="11"/>
      <c r="C278" s="11"/>
      <c r="D278" s="11"/>
      <c r="E278" s="11"/>
      <c r="F278" s="11"/>
      <c r="G278" s="11"/>
      <c r="H278" s="11"/>
    </row>
    <row r="279" spans="2:8">
      <c r="B279" s="11"/>
      <c r="C279" s="11"/>
      <c r="D279" s="11"/>
      <c r="E279" s="11"/>
      <c r="F279" s="11"/>
      <c r="G279" s="11"/>
      <c r="H279" s="11"/>
    </row>
    <row r="280" spans="2:8">
      <c r="B280" s="11"/>
      <c r="C280" s="11"/>
      <c r="D280" s="11"/>
      <c r="E280" s="11"/>
      <c r="F280" s="11"/>
      <c r="G280" s="11"/>
      <c r="H280" s="11"/>
    </row>
    <row r="281" spans="2:8">
      <c r="B281" s="11"/>
      <c r="C281" s="11"/>
      <c r="D281" s="11"/>
      <c r="E281" s="11"/>
      <c r="F281" s="11"/>
      <c r="G281" s="11"/>
      <c r="H281" s="11"/>
    </row>
    <row r="282" spans="2:8">
      <c r="B282" s="11"/>
      <c r="C282" s="11"/>
      <c r="D282" s="11"/>
      <c r="E282" s="11"/>
      <c r="F282" s="11"/>
      <c r="G282" s="11"/>
      <c r="H282" s="11"/>
    </row>
    <row r="283" spans="2:8">
      <c r="B283" s="11"/>
      <c r="C283" s="11"/>
      <c r="D283" s="11"/>
      <c r="E283" s="11"/>
      <c r="F283" s="11"/>
      <c r="G283" s="11"/>
      <c r="H283" s="11"/>
    </row>
    <row r="284" spans="2:8">
      <c r="B284" s="11"/>
      <c r="C284" s="11"/>
      <c r="D284" s="11"/>
      <c r="E284" s="11"/>
      <c r="F284" s="11"/>
      <c r="G284" s="11"/>
      <c r="H284" s="11"/>
    </row>
    <row r="285" spans="2:8">
      <c r="B285" s="11"/>
      <c r="C285" s="11"/>
      <c r="D285" s="11"/>
      <c r="E285" s="11"/>
      <c r="F285" s="11"/>
      <c r="G285" s="11"/>
      <c r="H285" s="11"/>
    </row>
    <row r="286" spans="2:8">
      <c r="B286" s="11"/>
      <c r="C286" s="11"/>
      <c r="D286" s="11"/>
      <c r="E286" s="11"/>
      <c r="F286" s="11"/>
      <c r="G286" s="11"/>
      <c r="H286" s="11"/>
    </row>
    <row r="287" spans="2:8">
      <c r="B287" s="11"/>
      <c r="C287" s="11"/>
      <c r="D287" s="11"/>
      <c r="E287" s="11"/>
      <c r="F287" s="11"/>
      <c r="G287" s="11"/>
      <c r="H287" s="11"/>
    </row>
    <row r="288" spans="2:8">
      <c r="B288" s="11"/>
      <c r="C288" s="11"/>
      <c r="D288" s="11"/>
      <c r="E288" s="11"/>
      <c r="F288" s="11"/>
      <c r="G288" s="11"/>
      <c r="H288" s="11"/>
    </row>
    <row r="289" spans="2:8">
      <c r="B289" s="11"/>
      <c r="C289" s="11"/>
      <c r="D289" s="11"/>
      <c r="E289" s="11"/>
      <c r="F289" s="11"/>
      <c r="G289" s="11"/>
      <c r="H289" s="11"/>
    </row>
    <row r="290" spans="2:8">
      <c r="B290" s="11"/>
      <c r="C290" s="11"/>
      <c r="D290" s="11"/>
      <c r="E290" s="11"/>
      <c r="F290" s="11"/>
      <c r="G290" s="11"/>
      <c r="H290" s="11"/>
    </row>
    <row r="291" spans="2:8">
      <c r="B291" s="11"/>
      <c r="C291" s="11"/>
      <c r="D291" s="11"/>
      <c r="E291" s="11"/>
      <c r="F291" s="11"/>
      <c r="G291" s="11"/>
      <c r="H291" s="11"/>
    </row>
    <row r="292" spans="2:8">
      <c r="B292" s="11"/>
      <c r="C292" s="11"/>
      <c r="D292" s="11"/>
      <c r="E292" s="11"/>
      <c r="F292" s="11"/>
      <c r="G292" s="11"/>
      <c r="H292" s="11"/>
    </row>
    <row r="293" spans="2:8">
      <c r="B293" s="11"/>
      <c r="C293" s="11"/>
      <c r="D293" s="11"/>
      <c r="E293" s="11"/>
      <c r="F293" s="11"/>
      <c r="G293" s="11"/>
      <c r="H293" s="11"/>
    </row>
    <row r="294" spans="2:8">
      <c r="B294" s="11"/>
      <c r="C294" s="11"/>
      <c r="D294" s="11"/>
      <c r="E294" s="11"/>
      <c r="F294" s="11"/>
      <c r="G294" s="11"/>
      <c r="H294" s="11"/>
    </row>
    <row r="295" spans="2:8">
      <c r="B295" s="11"/>
      <c r="C295" s="11"/>
      <c r="D295" s="11"/>
      <c r="E295" s="11"/>
      <c r="F295" s="11"/>
      <c r="G295" s="11"/>
      <c r="H295" s="11"/>
    </row>
    <row r="296" spans="2:8">
      <c r="B296" s="11"/>
      <c r="C296" s="11"/>
      <c r="D296" s="11"/>
      <c r="E296" s="11"/>
      <c r="F296" s="11"/>
      <c r="G296" s="11"/>
      <c r="H296" s="11"/>
    </row>
    <row r="297" spans="2:8">
      <c r="B297" s="11"/>
      <c r="C297" s="11"/>
      <c r="D297" s="11"/>
      <c r="E297" s="11"/>
      <c r="F297" s="11"/>
      <c r="G297" s="11"/>
      <c r="H297" s="11"/>
    </row>
    <row r="298" spans="2:8">
      <c r="B298" s="11"/>
      <c r="C298" s="11"/>
      <c r="D298" s="11"/>
      <c r="E298" s="11"/>
      <c r="F298" s="11"/>
      <c r="G298" s="11"/>
      <c r="H298" s="11"/>
    </row>
    <row r="299" spans="2:8">
      <c r="B299" s="11"/>
      <c r="C299" s="11"/>
      <c r="D299" s="11"/>
      <c r="E299" s="11"/>
      <c r="F299" s="11"/>
      <c r="G299" s="11"/>
      <c r="H299" s="11"/>
    </row>
    <row r="300" spans="2:8">
      <c r="B300" s="11"/>
      <c r="C300" s="11"/>
      <c r="D300" s="11"/>
      <c r="E300" s="11"/>
      <c r="F300" s="11"/>
      <c r="G300" s="11"/>
      <c r="H300" s="11"/>
    </row>
    <row r="301" spans="2:8">
      <c r="B301" s="11"/>
      <c r="C301" s="11"/>
      <c r="D301" s="11"/>
      <c r="E301" s="11"/>
      <c r="F301" s="11"/>
      <c r="G301" s="11"/>
      <c r="H301" s="11"/>
    </row>
    <row r="302" spans="2:8">
      <c r="B302" s="11"/>
      <c r="C302" s="11"/>
      <c r="D302" s="11"/>
      <c r="E302" s="11"/>
      <c r="F302" s="11"/>
      <c r="G302" s="11"/>
      <c r="H302" s="11"/>
    </row>
    <row r="303" spans="2:8">
      <c r="B303" s="11"/>
      <c r="C303" s="11"/>
      <c r="D303" s="11"/>
      <c r="E303" s="11"/>
      <c r="F303" s="11"/>
      <c r="G303" s="11"/>
      <c r="H303" s="11"/>
    </row>
    <row r="304" spans="2:8">
      <c r="B304" s="11"/>
      <c r="C304" s="11"/>
      <c r="D304" s="11"/>
      <c r="E304" s="11"/>
      <c r="F304" s="11"/>
      <c r="G304" s="11"/>
      <c r="H304" s="11"/>
    </row>
    <row r="305" spans="2:8">
      <c r="B305" s="11"/>
      <c r="C305" s="11"/>
      <c r="D305" s="11"/>
      <c r="E305" s="11"/>
      <c r="F305" s="11"/>
      <c r="G305" s="11"/>
      <c r="H305" s="11"/>
    </row>
    <row r="306" spans="2:8">
      <c r="B306" s="11"/>
      <c r="C306" s="11"/>
      <c r="D306" s="11"/>
      <c r="E306" s="11"/>
      <c r="F306" s="11"/>
      <c r="G306" s="11"/>
      <c r="H306" s="11"/>
    </row>
    <row r="307" spans="2:8">
      <c r="B307" s="11"/>
      <c r="C307" s="11"/>
      <c r="D307" s="11"/>
      <c r="E307" s="11"/>
      <c r="F307" s="11"/>
      <c r="G307" s="11"/>
      <c r="H307" s="11"/>
    </row>
    <row r="308" spans="2:8">
      <c r="B308" s="11"/>
      <c r="C308" s="11"/>
      <c r="D308" s="11"/>
      <c r="E308" s="11"/>
      <c r="F308" s="11"/>
      <c r="G308" s="11"/>
      <c r="H308" s="11"/>
    </row>
    <row r="309" spans="2:8">
      <c r="B309" s="11"/>
      <c r="C309" s="11"/>
      <c r="D309" s="11"/>
      <c r="E309" s="11"/>
      <c r="F309" s="11"/>
      <c r="G309" s="11"/>
      <c r="H309" s="11"/>
    </row>
    <row r="310" spans="2:8">
      <c r="B310" s="11"/>
      <c r="C310" s="11"/>
      <c r="D310" s="11"/>
      <c r="E310" s="11"/>
      <c r="F310" s="11"/>
      <c r="G310" s="11"/>
      <c r="H310" s="11"/>
    </row>
    <row r="311" spans="2:8">
      <c r="B311" s="11"/>
      <c r="C311" s="11"/>
      <c r="D311" s="11"/>
      <c r="E311" s="11"/>
      <c r="F311" s="11"/>
      <c r="G311" s="11"/>
      <c r="H311" s="11"/>
    </row>
    <row r="312" spans="2:8">
      <c r="B312" s="11"/>
      <c r="C312" s="11"/>
      <c r="D312" s="11"/>
      <c r="E312" s="11"/>
      <c r="F312" s="11"/>
      <c r="G312" s="11"/>
      <c r="H312" s="11"/>
    </row>
    <row r="313" spans="2:8">
      <c r="B313" s="11"/>
      <c r="C313" s="11"/>
      <c r="D313" s="11"/>
      <c r="E313" s="11"/>
      <c r="F313" s="11"/>
      <c r="G313" s="11"/>
      <c r="H313" s="11"/>
    </row>
    <row r="314" spans="2:8">
      <c r="B314" s="11"/>
      <c r="C314" s="11"/>
      <c r="D314" s="11"/>
      <c r="E314" s="11"/>
      <c r="F314" s="11"/>
      <c r="G314" s="11"/>
      <c r="H314" s="11"/>
    </row>
    <row r="315" spans="2:8">
      <c r="B315" s="11"/>
      <c r="C315" s="11"/>
      <c r="D315" s="11"/>
      <c r="E315" s="11"/>
      <c r="F315" s="11"/>
      <c r="G315" s="11"/>
      <c r="H315" s="11"/>
    </row>
    <row r="316" spans="2:8">
      <c r="B316" s="11"/>
      <c r="C316" s="11"/>
      <c r="D316" s="11"/>
      <c r="E316" s="11"/>
      <c r="F316" s="11"/>
      <c r="G316" s="11"/>
      <c r="H316" s="11"/>
    </row>
    <row r="317" spans="2:8">
      <c r="B317" s="11"/>
      <c r="C317" s="11"/>
      <c r="D317" s="11"/>
      <c r="E317" s="11"/>
      <c r="F317" s="11"/>
      <c r="G317" s="11"/>
      <c r="H317" s="11"/>
    </row>
    <row r="318" spans="2:8">
      <c r="B318" s="11"/>
      <c r="C318" s="11"/>
      <c r="D318" s="11"/>
      <c r="E318" s="11"/>
      <c r="F318" s="11"/>
      <c r="G318" s="11"/>
      <c r="H318" s="11"/>
    </row>
    <row r="319" spans="2:8">
      <c r="B319" s="11"/>
      <c r="C319" s="11"/>
      <c r="D319" s="11"/>
      <c r="E319" s="11"/>
      <c r="F319" s="11"/>
      <c r="G319" s="11"/>
      <c r="H319" s="11"/>
    </row>
    <row r="320" spans="2:8">
      <c r="B320" s="11"/>
      <c r="C320" s="11"/>
      <c r="D320" s="11"/>
      <c r="E320" s="11"/>
      <c r="F320" s="11"/>
      <c r="G320" s="11"/>
      <c r="H320" s="11"/>
    </row>
    <row r="321" spans="2:8">
      <c r="B321" s="11"/>
      <c r="C321" s="11"/>
      <c r="D321" s="11"/>
      <c r="E321" s="11"/>
      <c r="F321" s="11"/>
      <c r="G321" s="11"/>
      <c r="H321" s="11"/>
    </row>
    <row r="322" spans="2:8">
      <c r="B322" s="11"/>
      <c r="C322" s="11"/>
      <c r="D322" s="11"/>
      <c r="E322" s="11"/>
      <c r="F322" s="11"/>
      <c r="G322" s="11"/>
      <c r="H322" s="11"/>
    </row>
    <row r="323" spans="2:8">
      <c r="B323" s="11"/>
      <c r="C323" s="11"/>
      <c r="D323" s="11"/>
      <c r="E323" s="11"/>
      <c r="F323" s="11"/>
      <c r="G323" s="11"/>
      <c r="H323" s="11"/>
    </row>
    <row r="324" spans="2:8">
      <c r="B324" s="11"/>
      <c r="C324" s="11"/>
      <c r="D324" s="11"/>
      <c r="E324" s="11"/>
      <c r="F324" s="11"/>
      <c r="G324" s="11"/>
      <c r="H324" s="11"/>
    </row>
    <row r="325" spans="2:8">
      <c r="B325" s="11"/>
      <c r="C325" s="11"/>
      <c r="D325" s="11"/>
      <c r="E325" s="11"/>
      <c r="F325" s="11"/>
      <c r="G325" s="11"/>
      <c r="H325" s="11"/>
    </row>
    <row r="326" spans="2:8">
      <c r="B326" s="11"/>
      <c r="C326" s="11"/>
      <c r="D326" s="11"/>
      <c r="E326" s="11"/>
      <c r="F326" s="11"/>
      <c r="G326" s="11"/>
      <c r="H326" s="11"/>
    </row>
    <row r="327" spans="2:8">
      <c r="B327" s="11"/>
      <c r="C327" s="11"/>
      <c r="D327" s="11"/>
      <c r="E327" s="11"/>
      <c r="F327" s="11"/>
      <c r="G327" s="11"/>
      <c r="H327" s="11"/>
    </row>
    <row r="328" spans="2:8">
      <c r="B328" s="11"/>
      <c r="C328" s="11"/>
      <c r="D328" s="11"/>
      <c r="E328" s="11"/>
      <c r="F328" s="11"/>
      <c r="G328" s="11"/>
      <c r="H328" s="11"/>
    </row>
    <row r="329" spans="2:8">
      <c r="B329" s="11"/>
      <c r="C329" s="11"/>
      <c r="D329" s="11"/>
      <c r="E329" s="11"/>
      <c r="F329" s="11"/>
      <c r="G329" s="11"/>
      <c r="H329" s="11"/>
    </row>
    <row r="330" spans="2:8">
      <c r="B330" s="11"/>
      <c r="C330" s="11"/>
      <c r="D330" s="11"/>
      <c r="E330" s="11"/>
      <c r="F330" s="11"/>
      <c r="G330" s="11"/>
      <c r="H330" s="11"/>
    </row>
    <row r="331" spans="2:8">
      <c r="B331" s="11"/>
      <c r="C331" s="11"/>
      <c r="D331" s="11"/>
      <c r="E331" s="11"/>
      <c r="F331" s="11"/>
      <c r="G331" s="11"/>
      <c r="H331" s="11"/>
    </row>
    <row r="332" spans="2:8">
      <c r="B332" s="11"/>
      <c r="C332" s="11"/>
      <c r="D332" s="11"/>
      <c r="E332" s="11"/>
      <c r="F332" s="11"/>
      <c r="G332" s="11"/>
      <c r="H332" s="11"/>
    </row>
    <row r="333" spans="2:8">
      <c r="B333" s="11"/>
      <c r="C333" s="11"/>
      <c r="D333" s="11"/>
      <c r="E333" s="11"/>
      <c r="F333" s="11"/>
      <c r="G333" s="11"/>
      <c r="H333" s="11"/>
    </row>
    <row r="334" spans="2:8">
      <c r="B334" s="11"/>
      <c r="C334" s="11"/>
      <c r="D334" s="11"/>
      <c r="E334" s="11"/>
      <c r="F334" s="11"/>
      <c r="G334" s="11"/>
      <c r="H334" s="11"/>
    </row>
    <row r="335" spans="2:8">
      <c r="B335" s="11"/>
      <c r="C335" s="11"/>
      <c r="D335" s="11"/>
      <c r="E335" s="11"/>
      <c r="F335" s="11"/>
      <c r="G335" s="11"/>
      <c r="H335" s="11"/>
    </row>
    <row r="336" spans="2:8">
      <c r="B336" s="11"/>
      <c r="C336" s="11"/>
      <c r="D336" s="11"/>
      <c r="E336" s="11"/>
      <c r="F336" s="11"/>
      <c r="G336" s="11"/>
      <c r="H336" s="11"/>
    </row>
    <row r="337" spans="2:8">
      <c r="B337" s="11"/>
      <c r="C337" s="11"/>
      <c r="D337" s="11"/>
      <c r="E337" s="11"/>
      <c r="F337" s="11"/>
      <c r="G337" s="11"/>
      <c r="H337" s="11"/>
    </row>
    <row r="338" spans="2:8">
      <c r="B338" s="11"/>
      <c r="C338" s="11"/>
      <c r="D338" s="11"/>
      <c r="E338" s="11"/>
      <c r="F338" s="11"/>
      <c r="G338" s="11"/>
      <c r="H338" s="11"/>
    </row>
    <row r="339" spans="2:8">
      <c r="B339" s="11"/>
      <c r="C339" s="11"/>
      <c r="D339" s="11"/>
      <c r="E339" s="11"/>
      <c r="F339" s="11"/>
      <c r="G339" s="11"/>
      <c r="H339" s="11"/>
    </row>
    <row r="340" spans="2:8">
      <c r="B340" s="11"/>
      <c r="C340" s="11"/>
      <c r="D340" s="11"/>
      <c r="E340" s="11"/>
      <c r="F340" s="11"/>
      <c r="G340" s="11"/>
      <c r="H340" s="11"/>
    </row>
    <row r="341" spans="2:8">
      <c r="B341" s="11"/>
      <c r="C341" s="11"/>
      <c r="D341" s="11"/>
      <c r="E341" s="11"/>
      <c r="F341" s="11"/>
      <c r="G341" s="11"/>
      <c r="H341" s="11"/>
    </row>
    <row r="342" spans="2:8">
      <c r="B342" s="11"/>
      <c r="C342" s="11"/>
      <c r="D342" s="11"/>
      <c r="E342" s="11"/>
      <c r="F342" s="11"/>
      <c r="G342" s="11"/>
      <c r="H342" s="11"/>
    </row>
    <row r="343" spans="2:8">
      <c r="B343" s="11"/>
      <c r="C343" s="11"/>
      <c r="D343" s="11"/>
      <c r="E343" s="11"/>
      <c r="F343" s="11"/>
      <c r="G343" s="11"/>
      <c r="H343" s="11"/>
    </row>
    <row r="344" spans="2:8">
      <c r="B344" s="11"/>
      <c r="C344" s="11"/>
      <c r="D344" s="11"/>
      <c r="E344" s="11"/>
      <c r="F344" s="11"/>
      <c r="G344" s="11"/>
      <c r="H344" s="11"/>
    </row>
    <row r="345" spans="2:8">
      <c r="B345" s="11"/>
      <c r="C345" s="11"/>
      <c r="D345" s="11"/>
      <c r="E345" s="11"/>
      <c r="F345" s="11"/>
      <c r="G345" s="11"/>
      <c r="H345" s="11"/>
    </row>
    <row r="346" spans="2:8">
      <c r="B346" s="11"/>
      <c r="C346" s="11"/>
      <c r="D346" s="11"/>
      <c r="E346" s="11"/>
      <c r="F346" s="11"/>
      <c r="G346" s="11"/>
      <c r="H346" s="11"/>
    </row>
    <row r="347" spans="2:8">
      <c r="B347" s="11"/>
      <c r="C347" s="11"/>
      <c r="D347" s="11"/>
      <c r="E347" s="11"/>
      <c r="F347" s="11"/>
      <c r="G347" s="11"/>
      <c r="H347" s="11"/>
    </row>
    <row r="348" spans="2:8">
      <c r="B348" s="11"/>
      <c r="C348" s="11"/>
      <c r="D348" s="11"/>
      <c r="E348" s="11"/>
      <c r="F348" s="11"/>
      <c r="G348" s="11"/>
      <c r="H348" s="11"/>
    </row>
    <row r="349" spans="2:8">
      <c r="B349" s="11"/>
      <c r="C349" s="11"/>
      <c r="D349" s="11"/>
      <c r="E349" s="11"/>
      <c r="F349" s="11"/>
      <c r="G349" s="11"/>
      <c r="H349" s="11"/>
    </row>
    <row r="350" spans="2:8">
      <c r="B350" s="11"/>
      <c r="C350" s="11"/>
      <c r="D350" s="11"/>
      <c r="E350" s="11"/>
      <c r="F350" s="11"/>
      <c r="G350" s="11"/>
      <c r="H350" s="11"/>
    </row>
    <row r="351" spans="2:8">
      <c r="B351" s="11"/>
      <c r="C351" s="11"/>
      <c r="D351" s="11"/>
      <c r="E351" s="11"/>
      <c r="F351" s="11"/>
      <c r="G351" s="11"/>
      <c r="H351" s="11"/>
    </row>
    <row r="352" spans="2:8">
      <c r="B352" s="11"/>
      <c r="C352" s="11"/>
      <c r="D352" s="11"/>
      <c r="E352" s="11"/>
      <c r="F352" s="11"/>
      <c r="G352" s="11"/>
      <c r="H352" s="11"/>
    </row>
    <row r="353" spans="2:8">
      <c r="B353" s="11"/>
      <c r="C353" s="11"/>
      <c r="D353" s="11"/>
      <c r="E353" s="11"/>
      <c r="F353" s="11"/>
      <c r="G353" s="11"/>
      <c r="H353" s="11"/>
    </row>
    <row r="354" spans="2:8">
      <c r="B354" s="11"/>
      <c r="C354" s="11"/>
      <c r="D354" s="11"/>
      <c r="E354" s="11"/>
      <c r="F354" s="11"/>
      <c r="G354" s="11"/>
      <c r="H354" s="11"/>
    </row>
    <row r="355" spans="2:8">
      <c r="B355" s="11"/>
      <c r="C355" s="11"/>
      <c r="D355" s="11"/>
      <c r="E355" s="11"/>
      <c r="F355" s="11"/>
      <c r="G355" s="11"/>
      <c r="H355" s="11"/>
    </row>
    <row r="356" spans="2:8">
      <c r="B356" s="11"/>
      <c r="C356" s="11"/>
      <c r="D356" s="11"/>
      <c r="E356" s="11"/>
      <c r="F356" s="11"/>
      <c r="G356" s="11"/>
      <c r="H356" s="11"/>
    </row>
    <row r="357" spans="2:8">
      <c r="B357" s="11"/>
      <c r="C357" s="11"/>
      <c r="D357" s="11"/>
      <c r="E357" s="11"/>
      <c r="F357" s="11"/>
      <c r="G357" s="11"/>
      <c r="H357" s="11"/>
    </row>
    <row r="358" spans="2:8">
      <c r="B358" s="11"/>
      <c r="C358" s="11"/>
      <c r="D358" s="11"/>
      <c r="E358" s="11"/>
      <c r="F358" s="11"/>
      <c r="G358" s="11"/>
      <c r="H358" s="11"/>
    </row>
    <row r="359" spans="2:8">
      <c r="B359" s="11"/>
      <c r="C359" s="11"/>
      <c r="D359" s="11"/>
      <c r="E359" s="11"/>
      <c r="F359" s="11"/>
      <c r="G359" s="11"/>
      <c r="H359" s="11"/>
    </row>
    <row r="360" spans="2:8">
      <c r="B360" s="11"/>
      <c r="C360" s="11"/>
      <c r="D360" s="11"/>
      <c r="E360" s="11"/>
      <c r="F360" s="11"/>
      <c r="G360" s="11"/>
      <c r="H360" s="11"/>
    </row>
    <row r="361" spans="2:8">
      <c r="B361" s="11"/>
      <c r="C361" s="11"/>
      <c r="D361" s="11"/>
      <c r="E361" s="11"/>
      <c r="F361" s="11"/>
      <c r="G361" s="11"/>
      <c r="H361" s="11"/>
    </row>
    <row r="362" spans="2:8">
      <c r="B362" s="11"/>
      <c r="C362" s="11"/>
      <c r="D362" s="11"/>
      <c r="E362" s="11"/>
      <c r="F362" s="11"/>
      <c r="G362" s="11"/>
      <c r="H362" s="11"/>
    </row>
    <row r="363" spans="2:8">
      <c r="B363" s="11"/>
      <c r="C363" s="11"/>
      <c r="D363" s="11"/>
      <c r="E363" s="11"/>
      <c r="F363" s="11"/>
      <c r="G363" s="11"/>
      <c r="H363" s="11"/>
    </row>
    <row r="364" spans="2:8">
      <c r="B364" s="11"/>
      <c r="C364" s="11"/>
      <c r="D364" s="11"/>
      <c r="E364" s="11"/>
      <c r="F364" s="11"/>
      <c r="G364" s="11"/>
      <c r="H364" s="11"/>
    </row>
    <row r="365" spans="2:8">
      <c r="B365" s="11"/>
      <c r="C365" s="11"/>
      <c r="D365" s="11"/>
      <c r="E365" s="11"/>
      <c r="F365" s="11"/>
      <c r="G365" s="11"/>
      <c r="H365" s="11"/>
    </row>
    <row r="366" spans="2:8">
      <c r="B366" s="11"/>
      <c r="C366" s="11"/>
      <c r="D366" s="11"/>
      <c r="E366" s="11"/>
      <c r="F366" s="11"/>
      <c r="G366" s="11"/>
      <c r="H366" s="11"/>
    </row>
    <row r="367" spans="2:8">
      <c r="B367" s="11"/>
      <c r="C367" s="11"/>
      <c r="D367" s="11"/>
      <c r="E367" s="11"/>
      <c r="F367" s="11"/>
      <c r="G367" s="11"/>
      <c r="H367" s="11"/>
    </row>
    <row r="368" spans="2:8">
      <c r="B368" s="11"/>
      <c r="C368" s="11"/>
      <c r="D368" s="11"/>
      <c r="E368" s="11"/>
      <c r="F368" s="11"/>
      <c r="G368" s="11"/>
      <c r="H368" s="11"/>
    </row>
    <row r="369" spans="2:8">
      <c r="B369" s="11"/>
      <c r="C369" s="11"/>
      <c r="D369" s="11"/>
      <c r="E369" s="11"/>
      <c r="F369" s="11"/>
      <c r="G369" s="11"/>
      <c r="H369" s="11"/>
    </row>
    <row r="370" spans="2:8">
      <c r="B370" s="11"/>
      <c r="C370" s="11"/>
      <c r="D370" s="11"/>
      <c r="E370" s="11"/>
      <c r="F370" s="11"/>
      <c r="G370" s="11"/>
      <c r="H370" s="11"/>
    </row>
    <row r="371" spans="2:8">
      <c r="B371" s="11"/>
      <c r="C371" s="11"/>
      <c r="D371" s="11"/>
      <c r="E371" s="11"/>
      <c r="F371" s="11"/>
      <c r="G371" s="11"/>
      <c r="H371" s="11"/>
    </row>
    <row r="372" spans="2:8">
      <c r="B372" s="11"/>
      <c r="C372" s="11"/>
      <c r="D372" s="11"/>
      <c r="E372" s="11"/>
      <c r="F372" s="11"/>
      <c r="G372" s="11"/>
      <c r="H372" s="11"/>
    </row>
    <row r="373" spans="2:8">
      <c r="B373" s="11"/>
      <c r="C373" s="11"/>
      <c r="D373" s="11"/>
      <c r="E373" s="11"/>
      <c r="F373" s="11"/>
      <c r="G373" s="11"/>
      <c r="H373" s="11"/>
    </row>
    <row r="374" spans="2:8">
      <c r="B374" s="11"/>
      <c r="C374" s="11"/>
      <c r="D374" s="11"/>
      <c r="E374" s="11"/>
      <c r="F374" s="11"/>
      <c r="G374" s="11"/>
      <c r="H374" s="11"/>
    </row>
    <row r="375" spans="2:8">
      <c r="B375" s="11"/>
      <c r="C375" s="11"/>
      <c r="D375" s="11"/>
      <c r="E375" s="11"/>
      <c r="F375" s="11"/>
      <c r="G375" s="11"/>
      <c r="H375" s="11"/>
    </row>
    <row r="376" spans="2:8">
      <c r="B376" s="11"/>
      <c r="C376" s="11"/>
      <c r="D376" s="11"/>
      <c r="E376" s="11"/>
      <c r="F376" s="11"/>
      <c r="G376" s="11"/>
      <c r="H376" s="11"/>
    </row>
    <row r="377" spans="2:8">
      <c r="B377" s="11"/>
      <c r="C377" s="11"/>
      <c r="D377" s="11"/>
      <c r="E377" s="11"/>
      <c r="F377" s="11"/>
      <c r="G377" s="11"/>
      <c r="H377" s="11"/>
    </row>
    <row r="378" spans="2:8">
      <c r="B378" s="11"/>
      <c r="C378" s="11"/>
      <c r="D378" s="11"/>
      <c r="E378" s="11"/>
      <c r="F378" s="11"/>
      <c r="G378" s="11"/>
      <c r="H378" s="11"/>
    </row>
    <row r="379" spans="2:8">
      <c r="B379" s="11"/>
      <c r="C379" s="11"/>
      <c r="D379" s="11"/>
      <c r="E379" s="11"/>
      <c r="F379" s="11"/>
      <c r="G379" s="11"/>
      <c r="H379" s="11"/>
    </row>
    <row r="380" spans="2:8">
      <c r="B380" s="11"/>
      <c r="C380" s="11"/>
      <c r="D380" s="11"/>
      <c r="E380" s="11"/>
      <c r="F380" s="11"/>
      <c r="G380" s="11"/>
      <c r="H380" s="11"/>
    </row>
    <row r="381" spans="2:8">
      <c r="B381" s="11"/>
      <c r="C381" s="11"/>
      <c r="D381" s="11"/>
      <c r="E381" s="11"/>
      <c r="F381" s="11"/>
      <c r="G381" s="11"/>
      <c r="H381" s="11"/>
    </row>
    <row r="382" spans="2:8">
      <c r="B382" s="11"/>
      <c r="C382" s="11"/>
      <c r="D382" s="11"/>
      <c r="E382" s="11"/>
      <c r="F382" s="11"/>
      <c r="G382" s="11"/>
      <c r="H382" s="11"/>
    </row>
    <row r="383" spans="2:8">
      <c r="B383" s="11"/>
      <c r="C383" s="11"/>
      <c r="D383" s="11"/>
      <c r="E383" s="11"/>
      <c r="F383" s="11"/>
      <c r="G383" s="11"/>
      <c r="H383" s="11"/>
    </row>
    <row r="384" spans="2:8">
      <c r="B384" s="11"/>
      <c r="C384" s="11"/>
      <c r="D384" s="11"/>
      <c r="E384" s="11"/>
      <c r="F384" s="11"/>
      <c r="G384" s="11"/>
      <c r="H384" s="11"/>
    </row>
    <row r="385" spans="2:8">
      <c r="B385" s="11"/>
      <c r="C385" s="11"/>
      <c r="D385" s="11"/>
      <c r="E385" s="11"/>
      <c r="F385" s="11"/>
      <c r="G385" s="11"/>
      <c r="H385" s="11"/>
    </row>
    <row r="386" spans="2:8">
      <c r="B386" s="11"/>
      <c r="C386" s="11"/>
      <c r="D386" s="11"/>
      <c r="E386" s="11"/>
      <c r="F386" s="11"/>
      <c r="G386" s="11"/>
      <c r="H386" s="11"/>
    </row>
    <row r="387" spans="2:8">
      <c r="B387" s="11"/>
      <c r="C387" s="11"/>
      <c r="D387" s="11"/>
      <c r="E387" s="11"/>
      <c r="F387" s="11"/>
      <c r="G387" s="11"/>
      <c r="H387" s="11"/>
    </row>
    <row r="388" spans="2:8">
      <c r="B388" s="11"/>
      <c r="C388" s="11"/>
      <c r="D388" s="11"/>
      <c r="E388" s="11"/>
      <c r="F388" s="11"/>
      <c r="G388" s="11"/>
      <c r="H388" s="11"/>
    </row>
    <row r="389" spans="2:8">
      <c r="B389" s="11"/>
      <c r="C389" s="11"/>
      <c r="D389" s="11"/>
      <c r="E389" s="11"/>
      <c r="F389" s="11"/>
      <c r="G389" s="11"/>
      <c r="H389" s="11"/>
    </row>
    <row r="390" spans="2:8">
      <c r="B390" s="11"/>
      <c r="C390" s="11"/>
      <c r="D390" s="11"/>
      <c r="E390" s="11"/>
      <c r="F390" s="11"/>
      <c r="G390" s="11"/>
      <c r="H390" s="11"/>
    </row>
    <row r="391" spans="2:8">
      <c r="B391" s="11"/>
      <c r="C391" s="11"/>
      <c r="D391" s="11"/>
      <c r="E391" s="11"/>
      <c r="F391" s="11"/>
      <c r="G391" s="11"/>
      <c r="H391" s="11"/>
    </row>
    <row r="392" spans="2:8">
      <c r="B392" s="11"/>
      <c r="C392" s="11"/>
      <c r="D392" s="11"/>
      <c r="E392" s="11"/>
      <c r="F392" s="11"/>
      <c r="G392" s="11"/>
      <c r="H392" s="11"/>
    </row>
    <row r="393" spans="2:8">
      <c r="B393" s="11"/>
      <c r="C393" s="11"/>
      <c r="D393" s="11"/>
      <c r="E393" s="11"/>
      <c r="F393" s="11"/>
      <c r="G393" s="11"/>
      <c r="H393" s="11"/>
    </row>
    <row r="394" spans="2:8">
      <c r="B394" s="11"/>
      <c r="C394" s="11"/>
      <c r="D394" s="11"/>
      <c r="E394" s="11"/>
      <c r="F394" s="11"/>
      <c r="G394" s="11"/>
      <c r="H394" s="11"/>
    </row>
    <row r="395" spans="2:8">
      <c r="B395" s="11"/>
      <c r="C395" s="11"/>
      <c r="D395" s="11"/>
      <c r="E395" s="11"/>
      <c r="F395" s="11"/>
      <c r="G395" s="11"/>
      <c r="H395" s="11"/>
    </row>
    <row r="396" spans="2:8">
      <c r="B396" s="11"/>
      <c r="C396" s="11"/>
      <c r="D396" s="11"/>
      <c r="E396" s="11"/>
      <c r="F396" s="11"/>
      <c r="G396" s="11"/>
      <c r="H396" s="11"/>
    </row>
    <row r="397" spans="2:8">
      <c r="B397" s="11"/>
      <c r="C397" s="11"/>
      <c r="D397" s="11"/>
      <c r="E397" s="11"/>
      <c r="F397" s="11"/>
      <c r="G397" s="11"/>
      <c r="H397" s="11"/>
    </row>
    <row r="398" spans="2:8">
      <c r="B398" s="11"/>
      <c r="C398" s="11"/>
      <c r="D398" s="11"/>
      <c r="E398" s="11"/>
      <c r="F398" s="11"/>
      <c r="G398" s="11"/>
      <c r="H398" s="11"/>
    </row>
    <row r="399" spans="2:8">
      <c r="B399" s="11"/>
      <c r="C399" s="11"/>
      <c r="D399" s="11"/>
      <c r="E399" s="11"/>
      <c r="F399" s="11"/>
      <c r="G399" s="11"/>
      <c r="H399" s="11"/>
    </row>
    <row r="400" spans="2:8">
      <c r="B400" s="11"/>
      <c r="C400" s="11"/>
      <c r="D400" s="11"/>
      <c r="E400" s="11"/>
      <c r="F400" s="11"/>
      <c r="G400" s="11"/>
      <c r="H400" s="11"/>
    </row>
    <row r="401" spans="2:8">
      <c r="B401" s="11"/>
      <c r="C401" s="11"/>
      <c r="D401" s="11"/>
      <c r="E401" s="11"/>
      <c r="F401" s="11"/>
      <c r="G401" s="11"/>
      <c r="H401" s="11"/>
    </row>
    <row r="402" spans="2:8">
      <c r="B402" s="11"/>
      <c r="C402" s="11"/>
      <c r="D402" s="11"/>
      <c r="E402" s="11"/>
      <c r="F402" s="11"/>
      <c r="G402" s="11"/>
      <c r="H402" s="11"/>
    </row>
    <row r="403" spans="2:8">
      <c r="B403" s="11"/>
      <c r="C403" s="11"/>
      <c r="D403" s="11"/>
      <c r="E403" s="11"/>
      <c r="F403" s="11"/>
      <c r="G403" s="11"/>
      <c r="H403" s="11"/>
    </row>
    <row r="404" spans="2:8">
      <c r="B404" s="11"/>
      <c r="C404" s="11"/>
      <c r="D404" s="11"/>
      <c r="E404" s="11"/>
      <c r="F404" s="11"/>
      <c r="G404" s="11"/>
      <c r="H404" s="11"/>
    </row>
    <row r="405" spans="2:8">
      <c r="B405" s="11"/>
      <c r="C405" s="11"/>
      <c r="D405" s="11"/>
      <c r="E405" s="11"/>
      <c r="F405" s="11"/>
      <c r="G405" s="11"/>
      <c r="H405" s="11"/>
    </row>
    <row r="406" spans="2:8">
      <c r="B406" s="11"/>
      <c r="C406" s="11"/>
      <c r="D406" s="11"/>
      <c r="E406" s="11"/>
      <c r="F406" s="11"/>
      <c r="G406" s="11"/>
      <c r="H406" s="11"/>
    </row>
    <row r="407" spans="2:8">
      <c r="B407" s="11"/>
      <c r="C407" s="11"/>
      <c r="D407" s="11"/>
      <c r="E407" s="11"/>
      <c r="F407" s="11"/>
      <c r="G407" s="11"/>
      <c r="H407" s="11"/>
    </row>
    <row r="408" spans="2:8">
      <c r="B408" s="11"/>
      <c r="C408" s="11"/>
      <c r="D408" s="11"/>
      <c r="E408" s="11"/>
      <c r="F408" s="11"/>
      <c r="G408" s="11"/>
      <c r="H408" s="11"/>
    </row>
    <row r="409" spans="2:8">
      <c r="B409" s="11"/>
      <c r="C409" s="11"/>
      <c r="D409" s="11"/>
      <c r="E409" s="11"/>
      <c r="F409" s="11"/>
      <c r="G409" s="11"/>
      <c r="H409" s="11"/>
    </row>
    <row r="410" spans="2:8">
      <c r="B410" s="11"/>
      <c r="C410" s="11"/>
      <c r="D410" s="11"/>
      <c r="E410" s="11"/>
      <c r="F410" s="11"/>
      <c r="G410" s="11"/>
      <c r="H410" s="11"/>
    </row>
    <row r="411" spans="2:8">
      <c r="B411" s="11"/>
      <c r="C411" s="11"/>
      <c r="D411" s="11"/>
      <c r="E411" s="11"/>
      <c r="F411" s="11"/>
      <c r="G411" s="11"/>
      <c r="H411" s="11"/>
    </row>
    <row r="412" spans="2:8">
      <c r="B412" s="11"/>
      <c r="C412" s="11"/>
      <c r="D412" s="11"/>
      <c r="E412" s="11"/>
      <c r="F412" s="11"/>
      <c r="G412" s="11"/>
      <c r="H412" s="11"/>
    </row>
    <row r="413" spans="2:8">
      <c r="B413" s="11"/>
      <c r="C413" s="11"/>
      <c r="D413" s="11"/>
      <c r="E413" s="11"/>
      <c r="F413" s="11"/>
      <c r="G413" s="11"/>
      <c r="H413" s="11"/>
    </row>
    <row r="414" spans="2:8">
      <c r="B414" s="11"/>
      <c r="C414" s="11"/>
      <c r="D414" s="11"/>
      <c r="E414" s="11"/>
      <c r="F414" s="11"/>
      <c r="G414" s="11"/>
      <c r="H414" s="11"/>
    </row>
    <row r="415" spans="2:8">
      <c r="B415" s="11"/>
      <c r="C415" s="11"/>
      <c r="D415" s="11"/>
      <c r="E415" s="11"/>
      <c r="F415" s="11"/>
      <c r="G415" s="11"/>
      <c r="H415" s="11"/>
    </row>
    <row r="416" spans="2:8">
      <c r="B416" s="11"/>
      <c r="C416" s="11"/>
      <c r="D416" s="11"/>
      <c r="E416" s="11"/>
      <c r="F416" s="11"/>
      <c r="G416" s="11"/>
      <c r="H416" s="11"/>
    </row>
    <row r="417" spans="2:8">
      <c r="B417" s="11"/>
      <c r="C417" s="11"/>
      <c r="D417" s="11"/>
      <c r="E417" s="11"/>
      <c r="F417" s="11"/>
      <c r="G417" s="11"/>
      <c r="H417" s="11"/>
    </row>
    <row r="418" spans="2:8">
      <c r="B418" s="11"/>
      <c r="C418" s="11"/>
      <c r="D418" s="11"/>
      <c r="E418" s="11"/>
      <c r="F418" s="11"/>
      <c r="G418" s="11"/>
      <c r="H418" s="11"/>
    </row>
    <row r="419" spans="2:8">
      <c r="B419" s="11"/>
      <c r="C419" s="11"/>
      <c r="D419" s="11"/>
      <c r="E419" s="11"/>
      <c r="F419" s="11"/>
      <c r="G419" s="11"/>
      <c r="H419" s="11"/>
    </row>
    <row r="420" spans="2:8">
      <c r="B420" s="11"/>
      <c r="C420" s="11"/>
      <c r="D420" s="11"/>
      <c r="E420" s="11"/>
      <c r="F420" s="11"/>
      <c r="G420" s="11"/>
      <c r="H420" s="11"/>
    </row>
    <row r="421" spans="2:8">
      <c r="B421" s="11"/>
      <c r="C421" s="11"/>
      <c r="D421" s="11"/>
      <c r="E421" s="11"/>
      <c r="F421" s="11"/>
      <c r="G421" s="11"/>
      <c r="H421" s="11"/>
    </row>
    <row r="422" spans="2:8">
      <c r="B422" s="11"/>
      <c r="C422" s="11"/>
      <c r="D422" s="11"/>
      <c r="E422" s="11"/>
      <c r="F422" s="11"/>
      <c r="G422" s="11"/>
      <c r="H422" s="11"/>
    </row>
    <row r="423" spans="2:8">
      <c r="B423" s="11"/>
      <c r="C423" s="11"/>
      <c r="D423" s="11"/>
      <c r="E423" s="11"/>
      <c r="F423" s="11"/>
      <c r="G423" s="11"/>
      <c r="H423" s="11"/>
    </row>
    <row r="424" spans="2:8">
      <c r="B424" s="11"/>
      <c r="C424" s="11"/>
      <c r="D424" s="11"/>
      <c r="E424" s="11"/>
      <c r="F424" s="11"/>
      <c r="G424" s="11"/>
      <c r="H424" s="11"/>
    </row>
    <row r="425" spans="2:8">
      <c r="B425" s="11"/>
      <c r="C425" s="11"/>
      <c r="D425" s="11"/>
      <c r="E425" s="11"/>
      <c r="F425" s="11"/>
      <c r="G425" s="11"/>
      <c r="H425" s="11"/>
    </row>
    <row r="426" spans="2:8">
      <c r="B426" s="11"/>
      <c r="C426" s="11"/>
      <c r="D426" s="11"/>
      <c r="E426" s="11"/>
      <c r="F426" s="11"/>
      <c r="G426" s="11"/>
      <c r="H426" s="11"/>
    </row>
    <row r="427" spans="2:8">
      <c r="B427" s="11"/>
      <c r="C427" s="11"/>
      <c r="D427" s="11"/>
      <c r="E427" s="11"/>
      <c r="F427" s="11"/>
      <c r="G427" s="11"/>
      <c r="H427" s="11"/>
    </row>
    <row r="428" spans="2:8">
      <c r="B428" s="11"/>
      <c r="C428" s="11"/>
      <c r="D428" s="11"/>
      <c r="E428" s="11"/>
      <c r="F428" s="11"/>
      <c r="G428" s="11"/>
      <c r="H428" s="11"/>
    </row>
    <row r="429" spans="2:8">
      <c r="B429" s="11"/>
      <c r="C429" s="11"/>
      <c r="D429" s="11"/>
      <c r="E429" s="11"/>
      <c r="F429" s="11"/>
      <c r="G429" s="11"/>
      <c r="H429" s="11"/>
    </row>
    <row r="430" spans="2:8">
      <c r="B430" s="11"/>
      <c r="C430" s="11"/>
      <c r="D430" s="11"/>
      <c r="E430" s="11"/>
      <c r="F430" s="11"/>
      <c r="G430" s="11"/>
      <c r="H430" s="11"/>
    </row>
    <row r="431" spans="2:8">
      <c r="B431" s="11"/>
      <c r="C431" s="11"/>
      <c r="D431" s="11"/>
      <c r="E431" s="11"/>
      <c r="F431" s="11"/>
      <c r="G431" s="11"/>
      <c r="H431" s="11"/>
    </row>
    <row r="432" spans="2:8">
      <c r="B432" s="11"/>
      <c r="C432" s="11"/>
      <c r="D432" s="11"/>
      <c r="E432" s="11"/>
      <c r="F432" s="11"/>
      <c r="G432" s="11"/>
      <c r="H432" s="11"/>
    </row>
    <row r="433" spans="2:8">
      <c r="B433" s="11"/>
      <c r="C433" s="11"/>
      <c r="D433" s="11"/>
      <c r="E433" s="11"/>
      <c r="F433" s="11"/>
      <c r="G433" s="11"/>
      <c r="H433" s="11"/>
    </row>
    <row r="434" spans="2:8">
      <c r="B434" s="11"/>
      <c r="C434" s="11"/>
      <c r="D434" s="11"/>
      <c r="E434" s="11"/>
      <c r="F434" s="11"/>
      <c r="G434" s="11"/>
      <c r="H434" s="11"/>
    </row>
    <row r="435" spans="2:8">
      <c r="B435" s="11"/>
      <c r="C435" s="11"/>
      <c r="D435" s="11"/>
      <c r="E435" s="11"/>
      <c r="F435" s="11"/>
      <c r="G435" s="11"/>
      <c r="H435" s="11"/>
    </row>
    <row r="436" spans="2:8">
      <c r="B436" s="11"/>
      <c r="C436" s="11"/>
      <c r="D436" s="11"/>
      <c r="E436" s="11"/>
      <c r="F436" s="11"/>
      <c r="G436" s="11"/>
      <c r="H436" s="11"/>
    </row>
    <row r="437" spans="2:8">
      <c r="B437" s="11"/>
      <c r="C437" s="11"/>
      <c r="D437" s="11"/>
      <c r="E437" s="11"/>
      <c r="F437" s="11"/>
      <c r="G437" s="11"/>
      <c r="H437" s="11"/>
    </row>
    <row r="438" spans="2:8">
      <c r="B438" s="11"/>
      <c r="C438" s="11"/>
      <c r="D438" s="11"/>
      <c r="E438" s="11"/>
      <c r="F438" s="11"/>
      <c r="G438" s="11"/>
      <c r="H438" s="11"/>
    </row>
    <row r="439" spans="2:8">
      <c r="B439" s="11"/>
      <c r="C439" s="11"/>
      <c r="D439" s="11"/>
      <c r="E439" s="11"/>
      <c r="F439" s="11"/>
      <c r="G439" s="11"/>
      <c r="H439" s="11"/>
    </row>
    <row r="440" spans="2:8">
      <c r="B440" s="11"/>
      <c r="C440" s="11"/>
      <c r="D440" s="11"/>
      <c r="E440" s="11"/>
      <c r="F440" s="11"/>
      <c r="G440" s="11"/>
      <c r="H440" s="11"/>
    </row>
    <row r="441" spans="2:8">
      <c r="B441" s="11"/>
      <c r="C441" s="11"/>
      <c r="D441" s="11"/>
      <c r="E441" s="11"/>
      <c r="F441" s="11"/>
      <c r="G441" s="11"/>
      <c r="H441" s="11"/>
    </row>
    <row r="442" spans="2:8">
      <c r="B442" s="11"/>
      <c r="C442" s="11"/>
      <c r="D442" s="11"/>
      <c r="E442" s="11"/>
      <c r="F442" s="11"/>
      <c r="G442" s="11"/>
      <c r="H442" s="11"/>
    </row>
    <row r="443" spans="2:8">
      <c r="B443" s="11"/>
      <c r="C443" s="11"/>
      <c r="D443" s="11"/>
      <c r="E443" s="11"/>
      <c r="F443" s="11"/>
      <c r="G443" s="11"/>
      <c r="H443" s="11"/>
    </row>
    <row r="444" spans="2:8">
      <c r="B444" s="11"/>
      <c r="C444" s="11"/>
      <c r="D444" s="11"/>
      <c r="E444" s="11"/>
      <c r="F444" s="11"/>
      <c r="G444" s="11"/>
      <c r="H444" s="11"/>
    </row>
    <row r="445" spans="2:8">
      <c r="B445" s="11"/>
      <c r="C445" s="11"/>
      <c r="D445" s="11"/>
      <c r="E445" s="11"/>
      <c r="F445" s="11"/>
      <c r="G445" s="11"/>
      <c r="H445" s="11"/>
    </row>
    <row r="446" spans="2:8">
      <c r="B446" s="11"/>
      <c r="C446" s="11"/>
      <c r="D446" s="11"/>
      <c r="E446" s="11"/>
      <c r="F446" s="11"/>
      <c r="G446" s="11"/>
      <c r="H446" s="11"/>
    </row>
    <row r="447" spans="2:8">
      <c r="B447" s="11"/>
      <c r="C447" s="11"/>
      <c r="D447" s="11"/>
      <c r="E447" s="11"/>
      <c r="F447" s="11"/>
      <c r="G447" s="11"/>
      <c r="H447" s="11"/>
    </row>
    <row r="448" spans="2:8">
      <c r="B448" s="11"/>
      <c r="C448" s="11"/>
      <c r="D448" s="11"/>
      <c r="E448" s="11"/>
      <c r="F448" s="11"/>
      <c r="G448" s="11"/>
      <c r="H448" s="11"/>
    </row>
    <row r="449" spans="2:8">
      <c r="B449" s="11"/>
      <c r="C449" s="11"/>
      <c r="D449" s="11"/>
      <c r="E449" s="11"/>
      <c r="F449" s="11"/>
      <c r="G449" s="11"/>
      <c r="H449" s="11"/>
    </row>
    <row r="450" spans="2:8">
      <c r="B450" s="11"/>
      <c r="C450" s="11"/>
      <c r="D450" s="11"/>
      <c r="E450" s="11"/>
      <c r="F450" s="11"/>
      <c r="G450" s="11"/>
      <c r="H450" s="11"/>
    </row>
    <row r="451" spans="2:8">
      <c r="B451" s="11"/>
      <c r="C451" s="11"/>
      <c r="D451" s="11"/>
      <c r="E451" s="11"/>
      <c r="F451" s="11"/>
      <c r="G451" s="11"/>
      <c r="H451" s="11"/>
    </row>
    <row r="452" spans="2:8">
      <c r="B452" s="11"/>
      <c r="C452" s="11"/>
      <c r="D452" s="11"/>
      <c r="E452" s="11"/>
      <c r="F452" s="11"/>
      <c r="G452" s="11"/>
      <c r="H452" s="11"/>
    </row>
    <row r="453" spans="2:8">
      <c r="B453" s="11"/>
      <c r="C453" s="11"/>
      <c r="D453" s="11"/>
      <c r="E453" s="11"/>
      <c r="F453" s="11"/>
      <c r="G453" s="11"/>
      <c r="H453" s="11"/>
    </row>
    <row r="454" spans="2:8">
      <c r="B454" s="11"/>
      <c r="C454" s="11"/>
      <c r="D454" s="11"/>
      <c r="E454" s="11"/>
      <c r="F454" s="11"/>
      <c r="G454" s="11"/>
      <c r="H454" s="11"/>
    </row>
    <row r="455" spans="2:8">
      <c r="B455" s="11"/>
      <c r="C455" s="11"/>
      <c r="D455" s="11"/>
      <c r="E455" s="11"/>
      <c r="F455" s="11"/>
      <c r="G455" s="11"/>
      <c r="H455" s="11"/>
    </row>
    <row r="456" spans="2:8">
      <c r="B456" s="11"/>
      <c r="C456" s="11"/>
      <c r="D456" s="11"/>
      <c r="E456" s="11"/>
      <c r="F456" s="11"/>
      <c r="G456" s="11"/>
      <c r="H456" s="11"/>
    </row>
    <row r="457" spans="2:8">
      <c r="B457" s="11"/>
      <c r="C457" s="11"/>
      <c r="D457" s="11"/>
      <c r="E457" s="11"/>
      <c r="F457" s="11"/>
      <c r="G457" s="11"/>
      <c r="H457" s="11"/>
    </row>
    <row r="458" spans="2:8">
      <c r="B458" s="11"/>
      <c r="C458" s="11"/>
      <c r="D458" s="11"/>
      <c r="E458" s="11"/>
      <c r="F458" s="11"/>
      <c r="G458" s="11"/>
      <c r="H458" s="11"/>
    </row>
    <row r="459" spans="2:8">
      <c r="B459" s="11"/>
      <c r="C459" s="11"/>
      <c r="D459" s="11"/>
      <c r="E459" s="11"/>
      <c r="F459" s="11"/>
      <c r="G459" s="11"/>
      <c r="H459" s="11"/>
    </row>
    <row r="460" spans="2:8">
      <c r="B460" s="11"/>
      <c r="C460" s="11"/>
      <c r="D460" s="11"/>
      <c r="E460" s="11"/>
      <c r="F460" s="11"/>
      <c r="G460" s="11"/>
      <c r="H460" s="11"/>
    </row>
    <row r="461" spans="2:8">
      <c r="B461" s="11"/>
      <c r="C461" s="11"/>
      <c r="D461" s="11"/>
      <c r="E461" s="11"/>
      <c r="F461" s="11"/>
      <c r="G461" s="11"/>
      <c r="H461" s="11"/>
    </row>
    <row r="462" spans="2:8">
      <c r="B462" s="11"/>
      <c r="C462" s="11"/>
      <c r="D462" s="11"/>
      <c r="E462" s="11"/>
      <c r="F462" s="11"/>
      <c r="G462" s="11"/>
      <c r="H462" s="11"/>
    </row>
    <row r="463" spans="2:8">
      <c r="B463" s="11"/>
      <c r="C463" s="11"/>
      <c r="D463" s="11"/>
      <c r="E463" s="11"/>
      <c r="F463" s="11"/>
      <c r="G463" s="11"/>
      <c r="H463" s="11"/>
    </row>
    <row r="464" spans="2:8">
      <c r="B464" s="11"/>
      <c r="C464" s="11"/>
      <c r="D464" s="11"/>
      <c r="E464" s="11"/>
      <c r="F464" s="11"/>
      <c r="G464" s="11"/>
      <c r="H464" s="11"/>
    </row>
    <row r="465" spans="2:8">
      <c r="B465" s="11"/>
      <c r="C465" s="11"/>
      <c r="D465" s="11"/>
      <c r="E465" s="11"/>
      <c r="F465" s="11"/>
      <c r="G465" s="11"/>
      <c r="H465" s="11"/>
    </row>
    <row r="466" spans="2:8">
      <c r="B466" s="11"/>
      <c r="C466" s="11"/>
      <c r="D466" s="11"/>
      <c r="E466" s="11"/>
      <c r="F466" s="11"/>
      <c r="G466" s="11"/>
      <c r="H466" s="11"/>
    </row>
    <row r="467" spans="2:8">
      <c r="B467" s="11"/>
      <c r="C467" s="11"/>
      <c r="D467" s="11"/>
      <c r="E467" s="11"/>
      <c r="F467" s="11"/>
      <c r="G467" s="11"/>
      <c r="H467" s="11"/>
    </row>
    <row r="468" spans="2:8">
      <c r="B468" s="11"/>
      <c r="C468" s="11"/>
      <c r="D468" s="11"/>
      <c r="E468" s="11"/>
      <c r="F468" s="11"/>
      <c r="G468" s="11"/>
      <c r="H468" s="11"/>
    </row>
    <row r="469" spans="2:8">
      <c r="B469" s="11"/>
      <c r="C469" s="11"/>
      <c r="D469" s="11"/>
      <c r="E469" s="11"/>
      <c r="F469" s="11"/>
      <c r="G469" s="11"/>
      <c r="H469" s="11"/>
    </row>
    <row r="470" spans="2:8">
      <c r="B470" s="11"/>
      <c r="C470" s="11"/>
      <c r="D470" s="11"/>
      <c r="E470" s="11"/>
      <c r="F470" s="11"/>
      <c r="G470" s="11"/>
      <c r="H470" s="11"/>
    </row>
    <row r="471" spans="2:8">
      <c r="B471" s="11"/>
      <c r="C471" s="11"/>
      <c r="D471" s="11"/>
      <c r="E471" s="11"/>
      <c r="F471" s="11"/>
      <c r="G471" s="11"/>
      <c r="H471" s="11"/>
    </row>
    <row r="472" spans="2:8">
      <c r="B472" s="11"/>
      <c r="C472" s="11"/>
      <c r="D472" s="11"/>
      <c r="E472" s="11"/>
      <c r="F472" s="11"/>
      <c r="G472" s="11"/>
      <c r="H472" s="11"/>
    </row>
    <row r="473" spans="2:8">
      <c r="B473" s="11"/>
      <c r="C473" s="11"/>
      <c r="D473" s="11"/>
      <c r="E473" s="11"/>
      <c r="F473" s="11"/>
      <c r="G473" s="11"/>
      <c r="H473" s="11"/>
    </row>
    <row r="474" spans="2:8">
      <c r="B474" s="11"/>
      <c r="C474" s="11"/>
      <c r="D474" s="11"/>
      <c r="E474" s="11"/>
      <c r="F474" s="11"/>
      <c r="G474" s="11"/>
      <c r="H474" s="11"/>
    </row>
    <row r="475" spans="2:8">
      <c r="B475" s="11"/>
      <c r="C475" s="11"/>
      <c r="D475" s="11"/>
      <c r="E475" s="11"/>
      <c r="F475" s="11"/>
      <c r="G475" s="11"/>
      <c r="H475" s="11"/>
    </row>
    <row r="476" spans="2:8">
      <c r="B476" s="11"/>
      <c r="C476" s="11"/>
      <c r="D476" s="11"/>
      <c r="E476" s="11"/>
      <c r="F476" s="11"/>
      <c r="G476" s="11"/>
      <c r="H476" s="11"/>
    </row>
    <row r="477" spans="2:8">
      <c r="B477" s="11"/>
      <c r="C477" s="11"/>
      <c r="D477" s="11"/>
      <c r="E477" s="11"/>
      <c r="F477" s="11"/>
      <c r="G477" s="11"/>
      <c r="H477" s="11"/>
    </row>
    <row r="478" spans="2:8">
      <c r="B478" s="11"/>
      <c r="C478" s="11"/>
      <c r="D478" s="11"/>
      <c r="E478" s="11"/>
      <c r="F478" s="11"/>
      <c r="G478" s="11"/>
      <c r="H478" s="11"/>
    </row>
    <row r="479" spans="2:8">
      <c r="B479" s="11"/>
      <c r="C479" s="11"/>
      <c r="D479" s="11"/>
      <c r="E479" s="11"/>
      <c r="F479" s="11"/>
      <c r="G479" s="11"/>
      <c r="H479" s="11"/>
    </row>
    <row r="480" spans="2:8">
      <c r="B480" s="11"/>
      <c r="C480" s="11"/>
      <c r="D480" s="11"/>
      <c r="E480" s="11"/>
      <c r="F480" s="11"/>
      <c r="G480" s="11"/>
      <c r="H480" s="11"/>
    </row>
    <row r="481" spans="2:8">
      <c r="B481" s="11"/>
      <c r="C481" s="11"/>
      <c r="D481" s="11"/>
      <c r="E481" s="11"/>
      <c r="F481" s="11"/>
      <c r="G481" s="11"/>
      <c r="H481" s="11"/>
    </row>
    <row r="482" spans="2:8">
      <c r="B482" s="11"/>
      <c r="C482" s="11"/>
      <c r="D482" s="11"/>
      <c r="E482" s="11"/>
      <c r="F482" s="11"/>
      <c r="G482" s="11"/>
      <c r="H482" s="11"/>
    </row>
    <row r="483" spans="2:8">
      <c r="B483" s="11"/>
      <c r="C483" s="11"/>
      <c r="D483" s="11"/>
      <c r="E483" s="11"/>
      <c r="F483" s="11"/>
      <c r="G483" s="11"/>
      <c r="H483" s="11"/>
    </row>
    <row r="484" spans="2:8">
      <c r="B484" s="11"/>
      <c r="C484" s="11"/>
      <c r="D484" s="11"/>
      <c r="E484" s="11"/>
      <c r="F484" s="11"/>
      <c r="G484" s="11"/>
      <c r="H484" s="11"/>
    </row>
    <row r="485" spans="2:8">
      <c r="B485" s="11"/>
      <c r="C485" s="11"/>
      <c r="D485" s="11"/>
      <c r="E485" s="11"/>
      <c r="F485" s="11"/>
      <c r="G485" s="11"/>
      <c r="H485" s="11"/>
    </row>
    <row r="486" spans="2:8">
      <c r="B486" s="11"/>
      <c r="C486" s="11"/>
      <c r="D486" s="11"/>
      <c r="E486" s="11"/>
      <c r="F486" s="11"/>
      <c r="G486" s="11"/>
      <c r="H486" s="11"/>
    </row>
    <row r="487" spans="2:8">
      <c r="B487" s="11"/>
      <c r="C487" s="11"/>
      <c r="D487" s="11"/>
      <c r="E487" s="11"/>
      <c r="F487" s="11"/>
      <c r="G487" s="11"/>
      <c r="H487" s="11"/>
    </row>
    <row r="488" spans="2:8">
      <c r="B488" s="11"/>
      <c r="C488" s="11"/>
      <c r="D488" s="11"/>
      <c r="E488" s="11"/>
      <c r="F488" s="11"/>
      <c r="G488" s="11"/>
      <c r="H488" s="11"/>
    </row>
    <row r="489" spans="2:8">
      <c r="B489" s="11"/>
      <c r="C489" s="11"/>
      <c r="D489" s="11"/>
      <c r="E489" s="11"/>
      <c r="F489" s="11"/>
      <c r="G489" s="11"/>
      <c r="H489" s="11"/>
    </row>
    <row r="490" spans="2:8">
      <c r="B490" s="11"/>
      <c r="C490" s="11"/>
      <c r="D490" s="11"/>
      <c r="E490" s="11"/>
      <c r="F490" s="11"/>
      <c r="G490" s="11"/>
      <c r="H490" s="11"/>
    </row>
    <row r="491" spans="2:8">
      <c r="B491" s="11"/>
      <c r="C491" s="11"/>
      <c r="D491" s="11"/>
      <c r="E491" s="11"/>
      <c r="F491" s="11"/>
      <c r="G491" s="11"/>
      <c r="H491" s="11"/>
    </row>
    <row r="492" spans="2:8">
      <c r="B492" s="11"/>
      <c r="C492" s="11"/>
      <c r="D492" s="11"/>
      <c r="E492" s="11"/>
      <c r="F492" s="11"/>
      <c r="G492" s="11"/>
      <c r="H492" s="11"/>
    </row>
    <row r="493" spans="2:8">
      <c r="B493" s="11"/>
      <c r="C493" s="11"/>
      <c r="D493" s="11"/>
      <c r="E493" s="11"/>
      <c r="F493" s="11"/>
      <c r="G493" s="11"/>
      <c r="H493" s="11"/>
    </row>
    <row r="494" spans="2:8">
      <c r="B494" s="11"/>
      <c r="C494" s="11"/>
      <c r="D494" s="11"/>
      <c r="E494" s="11"/>
      <c r="F494" s="11"/>
      <c r="G494" s="11"/>
      <c r="H494" s="11"/>
    </row>
    <row r="495" spans="2:8">
      <c r="B495" s="11"/>
      <c r="C495" s="11"/>
      <c r="D495" s="11"/>
      <c r="E495" s="11"/>
      <c r="F495" s="11"/>
      <c r="G495" s="11"/>
      <c r="H495" s="11"/>
    </row>
    <row r="496" spans="2:8">
      <c r="B496" s="11"/>
      <c r="C496" s="11"/>
      <c r="D496" s="11"/>
      <c r="E496" s="11"/>
      <c r="F496" s="11"/>
      <c r="G496" s="11"/>
      <c r="H496" s="11"/>
    </row>
    <row r="497" spans="2:8">
      <c r="B497" s="11"/>
      <c r="C497" s="11"/>
      <c r="D497" s="11"/>
      <c r="E497" s="11"/>
      <c r="F497" s="11"/>
      <c r="G497" s="11"/>
      <c r="H497" s="11"/>
    </row>
    <row r="498" spans="2:8">
      <c r="B498" s="11"/>
      <c r="C498" s="11"/>
      <c r="D498" s="11"/>
      <c r="E498" s="11"/>
      <c r="F498" s="11"/>
      <c r="G498" s="11"/>
      <c r="H498" s="11"/>
    </row>
    <row r="499" spans="2:8">
      <c r="B499" s="11"/>
      <c r="C499" s="11"/>
      <c r="D499" s="11"/>
      <c r="E499" s="11"/>
      <c r="F499" s="11"/>
      <c r="G499" s="11"/>
      <c r="H499" s="11"/>
    </row>
    <row r="500" spans="2:8">
      <c r="B500" s="11"/>
      <c r="C500" s="11"/>
      <c r="D500" s="11"/>
      <c r="E500" s="11"/>
      <c r="F500" s="11"/>
      <c r="G500" s="11"/>
      <c r="H500" s="11"/>
    </row>
    <row r="501" spans="2:8">
      <c r="B501" s="11"/>
      <c r="C501" s="11"/>
      <c r="D501" s="11"/>
      <c r="E501" s="11"/>
      <c r="F501" s="11"/>
      <c r="G501" s="11"/>
      <c r="H501" s="11"/>
    </row>
    <row r="502" spans="2:8">
      <c r="B502" s="11"/>
      <c r="C502" s="11"/>
      <c r="D502" s="11"/>
      <c r="E502" s="11"/>
      <c r="F502" s="11"/>
      <c r="G502" s="11"/>
      <c r="H502" s="11"/>
    </row>
    <row r="503" spans="2:8">
      <c r="B503" s="11"/>
      <c r="C503" s="11"/>
      <c r="D503" s="11"/>
      <c r="E503" s="11"/>
      <c r="F503" s="11"/>
      <c r="G503" s="11"/>
      <c r="H503" s="11"/>
    </row>
    <row r="504" spans="2:8">
      <c r="B504" s="11"/>
      <c r="C504" s="11"/>
      <c r="D504" s="11"/>
      <c r="E504" s="11"/>
      <c r="F504" s="11"/>
      <c r="G504" s="11"/>
      <c r="H504" s="11"/>
    </row>
    <row r="505" spans="2:8">
      <c r="B505" s="11"/>
      <c r="C505" s="11"/>
      <c r="D505" s="11"/>
      <c r="E505" s="11"/>
      <c r="F505" s="11"/>
      <c r="G505" s="11"/>
      <c r="H505" s="11"/>
    </row>
    <row r="506" spans="2:8">
      <c r="B506" s="11"/>
      <c r="C506" s="11"/>
      <c r="D506" s="11"/>
      <c r="E506" s="11"/>
      <c r="F506" s="11"/>
      <c r="G506" s="11"/>
      <c r="H506" s="11"/>
    </row>
    <row r="507" spans="2:8">
      <c r="B507" s="11"/>
      <c r="C507" s="11"/>
      <c r="D507" s="11"/>
      <c r="E507" s="11"/>
      <c r="F507" s="11"/>
      <c r="G507" s="11"/>
      <c r="H507" s="11"/>
    </row>
    <row r="508" spans="2:8">
      <c r="B508" s="11"/>
      <c r="C508" s="11"/>
      <c r="D508" s="11"/>
      <c r="E508" s="11"/>
      <c r="F508" s="11"/>
      <c r="G508" s="11"/>
      <c r="H508" s="11"/>
    </row>
    <row r="509" spans="2:8">
      <c r="B509" s="11"/>
      <c r="C509" s="11"/>
      <c r="D509" s="11"/>
      <c r="E509" s="11"/>
      <c r="F509" s="11"/>
      <c r="G509" s="11"/>
      <c r="H509" s="11"/>
    </row>
    <row r="510" spans="2:8">
      <c r="B510" s="11"/>
      <c r="C510" s="11"/>
      <c r="D510" s="11"/>
      <c r="E510" s="11"/>
      <c r="F510" s="11"/>
      <c r="G510" s="11"/>
      <c r="H510" s="11"/>
    </row>
    <row r="511" spans="2:8">
      <c r="B511" s="11"/>
      <c r="C511" s="11"/>
      <c r="D511" s="11"/>
      <c r="E511" s="11"/>
      <c r="F511" s="11"/>
      <c r="G511" s="11"/>
      <c r="H511" s="11"/>
    </row>
    <row r="512" spans="2:8">
      <c r="B512" s="11"/>
      <c r="C512" s="11"/>
      <c r="D512" s="11"/>
      <c r="E512" s="11"/>
      <c r="F512" s="11"/>
      <c r="G512" s="11"/>
      <c r="H512" s="11"/>
    </row>
    <row r="513" spans="2:8">
      <c r="B513" s="11"/>
      <c r="C513" s="11"/>
      <c r="D513" s="11"/>
      <c r="E513" s="11"/>
      <c r="F513" s="11"/>
      <c r="G513" s="11"/>
      <c r="H513" s="11"/>
    </row>
    <row r="514" spans="2:8">
      <c r="B514" s="11"/>
      <c r="C514" s="11"/>
      <c r="D514" s="11"/>
      <c r="E514" s="11"/>
      <c r="F514" s="11"/>
      <c r="G514" s="11"/>
      <c r="H514" s="11"/>
    </row>
    <row r="515" spans="2:8">
      <c r="B515" s="11"/>
      <c r="C515" s="11"/>
      <c r="D515" s="11"/>
      <c r="E515" s="11"/>
      <c r="F515" s="11"/>
      <c r="G515" s="11"/>
      <c r="H515" s="11"/>
    </row>
    <row r="516" spans="2:8">
      <c r="B516" s="11"/>
      <c r="C516" s="11"/>
      <c r="D516" s="11"/>
      <c r="E516" s="11"/>
      <c r="F516" s="11"/>
      <c r="G516" s="11"/>
      <c r="H516" s="11"/>
    </row>
    <row r="517" spans="2:8">
      <c r="B517" s="11"/>
      <c r="C517" s="11"/>
      <c r="D517" s="11"/>
      <c r="E517" s="11"/>
      <c r="F517" s="11"/>
      <c r="G517" s="11"/>
      <c r="H517" s="11"/>
    </row>
    <row r="518" spans="2:8">
      <c r="B518" s="11"/>
      <c r="C518" s="11"/>
      <c r="D518" s="11"/>
      <c r="E518" s="11"/>
      <c r="F518" s="11"/>
      <c r="G518" s="11"/>
      <c r="H518" s="11"/>
    </row>
    <row r="519" spans="2:8">
      <c r="B519" s="11"/>
      <c r="C519" s="11"/>
      <c r="D519" s="11"/>
      <c r="E519" s="11"/>
      <c r="F519" s="11"/>
      <c r="G519" s="11"/>
      <c r="H519" s="11"/>
    </row>
    <row r="520" spans="2:8">
      <c r="B520" s="11"/>
      <c r="C520" s="11"/>
      <c r="D520" s="11"/>
      <c r="E520" s="11"/>
      <c r="F520" s="11"/>
      <c r="G520" s="11"/>
      <c r="H520" s="11"/>
    </row>
    <row r="521" spans="2:8">
      <c r="B521" s="11"/>
      <c r="C521" s="11"/>
      <c r="D521" s="11"/>
      <c r="E521" s="11"/>
      <c r="F521" s="11"/>
      <c r="G521" s="11"/>
      <c r="H521" s="11"/>
    </row>
    <row r="522" spans="2:8">
      <c r="B522" s="11"/>
      <c r="C522" s="11"/>
      <c r="D522" s="11"/>
      <c r="E522" s="11"/>
      <c r="F522" s="11"/>
      <c r="G522" s="11"/>
      <c r="H522" s="11"/>
    </row>
    <row r="523" spans="2:8">
      <c r="B523" s="11"/>
      <c r="C523" s="11"/>
      <c r="D523" s="11"/>
      <c r="E523" s="11"/>
      <c r="F523" s="11"/>
      <c r="G523" s="11"/>
      <c r="H523" s="11"/>
    </row>
    <row r="524" spans="2:8">
      <c r="B524" s="11"/>
      <c r="C524" s="11"/>
      <c r="D524" s="11"/>
      <c r="E524" s="11"/>
      <c r="F524" s="11"/>
      <c r="G524" s="11"/>
      <c r="H524" s="11"/>
    </row>
    <row r="525" spans="2:8">
      <c r="B525" s="11"/>
      <c r="C525" s="11"/>
      <c r="D525" s="11"/>
      <c r="E525" s="11"/>
      <c r="F525" s="11"/>
      <c r="G525" s="11"/>
      <c r="H525" s="11"/>
    </row>
    <row r="526" spans="2:8">
      <c r="B526" s="11"/>
      <c r="C526" s="11"/>
      <c r="D526" s="11"/>
      <c r="E526" s="11"/>
      <c r="F526" s="11"/>
      <c r="G526" s="11"/>
      <c r="H526" s="11"/>
    </row>
    <row r="527" spans="2:8">
      <c r="B527" s="11"/>
      <c r="C527" s="11"/>
      <c r="D527" s="11"/>
      <c r="E527" s="11"/>
      <c r="F527" s="11"/>
      <c r="G527" s="11"/>
      <c r="H527" s="11"/>
    </row>
    <row r="528" spans="2:8">
      <c r="B528" s="11"/>
      <c r="C528" s="11"/>
      <c r="D528" s="11"/>
      <c r="E528" s="11"/>
      <c r="F528" s="11"/>
      <c r="G528" s="11"/>
      <c r="H528" s="11"/>
    </row>
    <row r="529" spans="2:8">
      <c r="B529" s="11"/>
      <c r="C529" s="11"/>
      <c r="D529" s="11"/>
      <c r="E529" s="11"/>
      <c r="F529" s="11"/>
      <c r="G529" s="11"/>
      <c r="H529" s="11"/>
    </row>
    <row r="530" spans="2:8">
      <c r="B530" s="11"/>
      <c r="C530" s="11"/>
      <c r="D530" s="11"/>
      <c r="E530" s="11"/>
      <c r="F530" s="11"/>
      <c r="G530" s="11"/>
      <c r="H530" s="11"/>
    </row>
    <row r="531" spans="2:8">
      <c r="B531" s="11"/>
      <c r="C531" s="11"/>
      <c r="D531" s="11"/>
      <c r="E531" s="11"/>
      <c r="F531" s="11"/>
      <c r="G531" s="11"/>
      <c r="H531" s="11"/>
    </row>
    <row r="532" spans="2:8">
      <c r="B532" s="11"/>
      <c r="C532" s="11"/>
      <c r="D532" s="11"/>
      <c r="E532" s="11"/>
      <c r="F532" s="11"/>
      <c r="G532" s="11"/>
      <c r="H532" s="11"/>
    </row>
    <row r="533" spans="2:8">
      <c r="B533" s="11"/>
      <c r="C533" s="11"/>
      <c r="D533" s="11"/>
      <c r="E533" s="11"/>
      <c r="F533" s="11"/>
      <c r="G533" s="11"/>
      <c r="H533" s="11"/>
    </row>
    <row r="534" spans="2:8">
      <c r="B534" s="11"/>
      <c r="C534" s="11"/>
      <c r="D534" s="11"/>
      <c r="E534" s="11"/>
      <c r="F534" s="11"/>
      <c r="G534" s="11"/>
      <c r="H534" s="11"/>
    </row>
    <row r="535" spans="2:8">
      <c r="B535" s="11"/>
      <c r="C535" s="11"/>
      <c r="D535" s="11"/>
      <c r="E535" s="11"/>
      <c r="F535" s="11"/>
      <c r="G535" s="11"/>
      <c r="H535" s="11"/>
    </row>
    <row r="536" spans="2:8">
      <c r="B536" s="11"/>
      <c r="C536" s="11"/>
      <c r="D536" s="11"/>
      <c r="E536" s="11"/>
      <c r="F536" s="11"/>
      <c r="G536" s="11"/>
      <c r="H536" s="11"/>
    </row>
    <row r="537" spans="2:8">
      <c r="B537" s="11"/>
      <c r="C537" s="11"/>
      <c r="D537" s="11"/>
      <c r="E537" s="11"/>
      <c r="F537" s="11"/>
      <c r="G537" s="11"/>
      <c r="H537" s="11"/>
    </row>
    <row r="538" spans="2:8">
      <c r="B538" s="11"/>
      <c r="C538" s="11"/>
      <c r="D538" s="11"/>
      <c r="E538" s="11"/>
      <c r="F538" s="11"/>
      <c r="G538" s="11"/>
      <c r="H538" s="11"/>
    </row>
    <row r="539" spans="2:8">
      <c r="B539" s="11"/>
      <c r="C539" s="11"/>
      <c r="D539" s="11"/>
      <c r="E539" s="11"/>
      <c r="F539" s="11"/>
      <c r="G539" s="11"/>
      <c r="H539" s="11"/>
    </row>
    <row r="540" spans="2:8">
      <c r="B540" s="11"/>
      <c r="C540" s="11"/>
      <c r="D540" s="11"/>
      <c r="E540" s="11"/>
      <c r="F540" s="11"/>
      <c r="G540" s="11"/>
      <c r="H540" s="11"/>
    </row>
    <row r="541" spans="2:8">
      <c r="B541" s="11"/>
      <c r="C541" s="11"/>
      <c r="D541" s="11"/>
      <c r="E541" s="11"/>
      <c r="F541" s="11"/>
      <c r="G541" s="11"/>
      <c r="H541" s="11"/>
    </row>
    <row r="542" spans="2:8">
      <c r="B542" s="11"/>
      <c r="C542" s="11"/>
      <c r="D542" s="11"/>
      <c r="E542" s="11"/>
      <c r="F542" s="11"/>
      <c r="G542" s="11"/>
      <c r="H542" s="11"/>
    </row>
    <row r="543" spans="2:8">
      <c r="B543" s="11"/>
      <c r="C543" s="11"/>
      <c r="D543" s="11"/>
      <c r="E543" s="11"/>
      <c r="F543" s="11"/>
      <c r="G543" s="11"/>
      <c r="H543" s="11"/>
    </row>
    <row r="544" spans="2:8">
      <c r="B544" s="11"/>
      <c r="C544" s="11"/>
      <c r="D544" s="11"/>
      <c r="E544" s="11"/>
      <c r="F544" s="11"/>
      <c r="G544" s="11"/>
      <c r="H544" s="11"/>
    </row>
    <row r="545" spans="2:8">
      <c r="B545" s="11"/>
      <c r="C545" s="11"/>
      <c r="D545" s="11"/>
      <c r="E545" s="11"/>
      <c r="F545" s="11"/>
      <c r="G545" s="11"/>
      <c r="H545" s="11"/>
    </row>
    <row r="546" spans="2:8">
      <c r="B546" s="11"/>
      <c r="C546" s="11"/>
      <c r="D546" s="11"/>
      <c r="E546" s="11"/>
      <c r="F546" s="11"/>
      <c r="G546" s="11"/>
      <c r="H546" s="11"/>
    </row>
    <row r="547" spans="2:8">
      <c r="B547" s="11"/>
      <c r="C547" s="11"/>
      <c r="D547" s="11"/>
      <c r="E547" s="11"/>
      <c r="F547" s="11"/>
      <c r="G547" s="11"/>
      <c r="H547" s="11"/>
    </row>
    <row r="548" spans="2:8">
      <c r="B548" s="11"/>
      <c r="C548" s="11"/>
      <c r="D548" s="11"/>
      <c r="E548" s="11"/>
      <c r="F548" s="11"/>
      <c r="G548" s="11"/>
      <c r="H548" s="11"/>
    </row>
    <row r="549" spans="2:8">
      <c r="B549" s="11"/>
      <c r="C549" s="11"/>
      <c r="D549" s="11"/>
      <c r="E549" s="11"/>
      <c r="F549" s="11"/>
      <c r="G549" s="11"/>
      <c r="H549" s="11"/>
    </row>
    <row r="550" spans="2:8">
      <c r="B550" s="11"/>
      <c r="C550" s="11"/>
      <c r="D550" s="11"/>
      <c r="E550" s="11"/>
      <c r="F550" s="11"/>
      <c r="G550" s="11"/>
      <c r="H550" s="11"/>
    </row>
    <row r="551" spans="2:8">
      <c r="B551" s="11"/>
      <c r="C551" s="11"/>
      <c r="D551" s="11"/>
      <c r="E551" s="11"/>
      <c r="F551" s="11"/>
      <c r="G551" s="11"/>
      <c r="H551" s="11"/>
    </row>
    <row r="552" spans="2:8">
      <c r="B552" s="11"/>
      <c r="C552" s="11"/>
      <c r="D552" s="11"/>
      <c r="E552" s="11"/>
      <c r="F552" s="11"/>
      <c r="G552" s="11"/>
      <c r="H552" s="11"/>
    </row>
    <row r="553" spans="2:8">
      <c r="B553" s="11"/>
      <c r="C553" s="11"/>
      <c r="D553" s="11"/>
      <c r="E553" s="11"/>
      <c r="F553" s="11"/>
      <c r="G553" s="11"/>
      <c r="H553" s="11"/>
    </row>
    <row r="554" spans="2:8">
      <c r="B554" s="11"/>
      <c r="C554" s="11"/>
      <c r="D554" s="11"/>
      <c r="E554" s="11"/>
      <c r="F554" s="11"/>
      <c r="G554" s="11"/>
      <c r="H554" s="11"/>
    </row>
    <row r="555" spans="2:8">
      <c r="B555" s="11"/>
      <c r="C555" s="11"/>
      <c r="D555" s="11"/>
      <c r="E555" s="11"/>
      <c r="F555" s="11"/>
      <c r="G555" s="11"/>
      <c r="H555" s="11"/>
    </row>
    <row r="556" spans="2:8">
      <c r="B556" s="11"/>
      <c r="C556" s="11"/>
      <c r="D556" s="11"/>
      <c r="E556" s="11"/>
      <c r="F556" s="11"/>
      <c r="G556" s="11"/>
      <c r="H556" s="11"/>
    </row>
    <row r="557" spans="2:8">
      <c r="B557" s="11"/>
      <c r="C557" s="11"/>
      <c r="D557" s="11"/>
      <c r="E557" s="11"/>
      <c r="F557" s="11"/>
      <c r="G557" s="11"/>
      <c r="H557" s="11"/>
    </row>
    <row r="558" spans="2:8">
      <c r="B558" s="11"/>
      <c r="C558" s="11"/>
      <c r="D558" s="11"/>
      <c r="E558" s="11"/>
      <c r="F558" s="11"/>
      <c r="G558" s="11"/>
      <c r="H558" s="11"/>
    </row>
    <row r="559" spans="2:8">
      <c r="B559" s="11"/>
      <c r="C559" s="11"/>
      <c r="D559" s="11"/>
      <c r="E559" s="11"/>
      <c r="F559" s="11"/>
      <c r="G559" s="11"/>
      <c r="H559" s="11"/>
    </row>
    <row r="560" spans="2:8">
      <c r="B560" s="11"/>
      <c r="C560" s="11"/>
      <c r="D560" s="11"/>
      <c r="E560" s="11"/>
      <c r="F560" s="11"/>
      <c r="G560" s="11"/>
      <c r="H560" s="11"/>
    </row>
    <row r="561" spans="2:8">
      <c r="B561" s="11"/>
      <c r="C561" s="11"/>
      <c r="D561" s="11"/>
      <c r="E561" s="11"/>
      <c r="F561" s="11"/>
      <c r="G561" s="11"/>
      <c r="H561" s="11"/>
    </row>
    <row r="562" spans="2:8">
      <c r="B562" s="11"/>
      <c r="C562" s="11"/>
      <c r="D562" s="11"/>
      <c r="E562" s="11"/>
      <c r="F562" s="11"/>
      <c r="G562" s="11"/>
      <c r="H562" s="11"/>
    </row>
    <row r="563" spans="2:8">
      <c r="B563" s="11"/>
      <c r="C563" s="11"/>
      <c r="D563" s="11"/>
      <c r="E563" s="11"/>
      <c r="F563" s="11"/>
      <c r="G563" s="11"/>
      <c r="H563" s="11"/>
    </row>
    <row r="564" spans="2:8">
      <c r="B564" s="11"/>
      <c r="C564" s="11"/>
      <c r="D564" s="11"/>
      <c r="E564" s="11"/>
      <c r="F564" s="11"/>
      <c r="G564" s="11"/>
      <c r="H564" s="11"/>
    </row>
    <row r="565" spans="2:8">
      <c r="B565" s="11"/>
      <c r="C565" s="11"/>
      <c r="D565" s="11"/>
      <c r="E565" s="11"/>
      <c r="F565" s="11"/>
      <c r="G565" s="11"/>
      <c r="H565" s="11"/>
    </row>
    <row r="566" spans="2:8">
      <c r="B566" s="11"/>
      <c r="C566" s="11"/>
      <c r="D566" s="11"/>
      <c r="E566" s="11"/>
      <c r="F566" s="11"/>
      <c r="G566" s="11"/>
      <c r="H566" s="11"/>
    </row>
    <row r="567" spans="2:8">
      <c r="B567" s="11"/>
      <c r="C567" s="11"/>
      <c r="D567" s="11"/>
      <c r="E567" s="11"/>
      <c r="F567" s="11"/>
      <c r="G567" s="11"/>
      <c r="H567" s="11"/>
    </row>
    <row r="568" spans="2:8">
      <c r="B568" s="11"/>
      <c r="C568" s="11"/>
      <c r="D568" s="11"/>
      <c r="E568" s="11"/>
      <c r="F568" s="11"/>
      <c r="G568" s="11"/>
      <c r="H568" s="11"/>
    </row>
    <row r="569" spans="2:8">
      <c r="B569" s="11"/>
      <c r="C569" s="11"/>
      <c r="D569" s="11"/>
      <c r="E569" s="11"/>
      <c r="F569" s="11"/>
      <c r="G569" s="11"/>
      <c r="H569" s="11"/>
    </row>
    <row r="570" spans="2:8">
      <c r="B570" s="11"/>
      <c r="C570" s="11"/>
      <c r="D570" s="11"/>
      <c r="E570" s="11"/>
      <c r="F570" s="11"/>
      <c r="G570" s="11"/>
      <c r="H570" s="11"/>
    </row>
    <row r="571" spans="2:8">
      <c r="B571" s="11"/>
      <c r="C571" s="11"/>
      <c r="D571" s="11"/>
      <c r="E571" s="11"/>
      <c r="F571" s="11"/>
      <c r="G571" s="11"/>
      <c r="H571" s="11"/>
    </row>
    <row r="572" spans="2:8">
      <c r="B572" s="11"/>
      <c r="C572" s="11"/>
      <c r="D572" s="11"/>
      <c r="E572" s="11"/>
      <c r="F572" s="11"/>
      <c r="G572" s="11"/>
      <c r="H572" s="11"/>
    </row>
    <row r="573" spans="2:8">
      <c r="B573" s="11"/>
      <c r="C573" s="11"/>
      <c r="D573" s="11"/>
      <c r="E573" s="11"/>
      <c r="F573" s="11"/>
      <c r="G573" s="11"/>
      <c r="H573" s="11"/>
    </row>
    <row r="574" spans="2:8">
      <c r="B574" s="11"/>
      <c r="C574" s="11"/>
      <c r="D574" s="11"/>
      <c r="E574" s="11"/>
      <c r="F574" s="11"/>
      <c r="G574" s="11"/>
      <c r="H574" s="11"/>
    </row>
    <row r="575" spans="2:8">
      <c r="B575" s="11"/>
      <c r="C575" s="11"/>
      <c r="D575" s="11"/>
      <c r="E575" s="11"/>
      <c r="F575" s="11"/>
      <c r="G575" s="11"/>
      <c r="H575" s="11"/>
    </row>
    <row r="576" spans="2:8">
      <c r="B576" s="11"/>
      <c r="C576" s="11"/>
      <c r="D576" s="11"/>
      <c r="E576" s="11"/>
      <c r="F576" s="11"/>
      <c r="G576" s="11"/>
      <c r="H576" s="11"/>
    </row>
    <row r="577" spans="2:8">
      <c r="B577" s="11"/>
      <c r="C577" s="11"/>
      <c r="D577" s="11"/>
      <c r="E577" s="11"/>
      <c r="F577" s="11"/>
      <c r="G577" s="11"/>
      <c r="H577" s="11"/>
    </row>
    <row r="578" spans="2:8">
      <c r="B578" s="11"/>
      <c r="C578" s="11"/>
      <c r="D578" s="11"/>
      <c r="E578" s="11"/>
      <c r="F578" s="11"/>
      <c r="G578" s="11"/>
      <c r="H578" s="11"/>
    </row>
    <row r="579" spans="2:8">
      <c r="B579" s="11"/>
      <c r="C579" s="11"/>
      <c r="D579" s="11"/>
      <c r="E579" s="11"/>
      <c r="F579" s="11"/>
      <c r="G579" s="11"/>
      <c r="H579" s="11"/>
    </row>
    <row r="580" spans="2:8">
      <c r="B580" s="11"/>
      <c r="C580" s="11"/>
      <c r="D580" s="11"/>
      <c r="E580" s="11"/>
      <c r="F580" s="11"/>
      <c r="G580" s="11"/>
      <c r="H580" s="11"/>
    </row>
    <row r="581" spans="2:8">
      <c r="B581" s="11"/>
      <c r="C581" s="11"/>
      <c r="D581" s="11"/>
      <c r="E581" s="11"/>
      <c r="F581" s="11"/>
      <c r="G581" s="11"/>
      <c r="H581" s="11"/>
    </row>
    <row r="582" spans="2:8">
      <c r="B582" s="11"/>
      <c r="C582" s="11"/>
      <c r="D582" s="11"/>
      <c r="E582" s="11"/>
      <c r="F582" s="11"/>
      <c r="G582" s="11"/>
      <c r="H582" s="11"/>
    </row>
    <row r="583" spans="2:8">
      <c r="B583" s="11"/>
      <c r="C583" s="11"/>
      <c r="D583" s="11"/>
      <c r="E583" s="11"/>
      <c r="F583" s="11"/>
      <c r="G583" s="11"/>
      <c r="H583" s="11"/>
    </row>
    <row r="584" spans="2:8">
      <c r="B584" s="11"/>
      <c r="C584" s="11"/>
      <c r="D584" s="11"/>
      <c r="E584" s="11"/>
      <c r="F584" s="11"/>
      <c r="G584" s="11"/>
      <c r="H584" s="11"/>
    </row>
    <row r="585" spans="2:8">
      <c r="B585" s="11"/>
      <c r="C585" s="11"/>
      <c r="D585" s="11"/>
      <c r="E585" s="11"/>
      <c r="F585" s="11"/>
      <c r="G585" s="11"/>
      <c r="H585" s="11"/>
    </row>
    <row r="586" spans="2:8">
      <c r="B586" s="11"/>
      <c r="C586" s="11"/>
      <c r="D586" s="11"/>
      <c r="E586" s="11"/>
      <c r="F586" s="11"/>
      <c r="G586" s="11"/>
      <c r="H586" s="11"/>
    </row>
    <row r="587" spans="2:8">
      <c r="B587" s="11"/>
      <c r="C587" s="11"/>
      <c r="D587" s="11"/>
      <c r="E587" s="11"/>
      <c r="F587" s="11"/>
      <c r="G587" s="11"/>
      <c r="H587" s="11"/>
    </row>
    <row r="588" spans="2:8">
      <c r="B588" s="11"/>
      <c r="C588" s="11"/>
      <c r="D588" s="11"/>
      <c r="E588" s="11"/>
      <c r="F588" s="11"/>
      <c r="G588" s="11"/>
      <c r="H588" s="11"/>
    </row>
    <row r="589" spans="2:8">
      <c r="B589" s="11"/>
      <c r="C589" s="11"/>
      <c r="D589" s="11"/>
      <c r="E589" s="11"/>
      <c r="F589" s="11"/>
      <c r="G589" s="11"/>
      <c r="H589" s="11"/>
    </row>
    <row r="590" spans="2:8">
      <c r="B590" s="11"/>
      <c r="C590" s="11"/>
      <c r="D590" s="11"/>
      <c r="E590" s="11"/>
      <c r="F590" s="11"/>
      <c r="G590" s="11"/>
      <c r="H590" s="11"/>
    </row>
    <row r="591" spans="2:8">
      <c r="B591" s="11"/>
      <c r="C591" s="11"/>
      <c r="D591" s="11"/>
      <c r="E591" s="11"/>
      <c r="F591" s="11"/>
      <c r="G591" s="11"/>
      <c r="H591" s="11"/>
    </row>
    <row r="592" spans="2:8">
      <c r="B592" s="11"/>
      <c r="C592" s="11"/>
      <c r="D592" s="11"/>
      <c r="E592" s="11"/>
      <c r="F592" s="11"/>
      <c r="G592" s="11"/>
      <c r="H592" s="11"/>
    </row>
    <row r="593" spans="2:8">
      <c r="B593" s="11"/>
      <c r="C593" s="11"/>
      <c r="D593" s="11"/>
      <c r="E593" s="11"/>
      <c r="F593" s="11"/>
      <c r="G593" s="11"/>
      <c r="H593" s="11"/>
    </row>
    <row r="594" spans="2:8">
      <c r="B594" s="11"/>
      <c r="C594" s="11"/>
      <c r="D594" s="11"/>
      <c r="E594" s="11"/>
      <c r="F594" s="11"/>
      <c r="G594" s="11"/>
      <c r="H594" s="11"/>
    </row>
    <row r="595" spans="2:8">
      <c r="B595" s="11"/>
      <c r="C595" s="11"/>
      <c r="D595" s="11"/>
      <c r="E595" s="11"/>
      <c r="F595" s="11"/>
      <c r="G595" s="11"/>
      <c r="H595" s="11"/>
    </row>
    <row r="596" spans="2:8">
      <c r="B596" s="11"/>
      <c r="C596" s="11"/>
      <c r="D596" s="11"/>
      <c r="E596" s="11"/>
      <c r="F596" s="11"/>
      <c r="G596" s="11"/>
      <c r="H596" s="11"/>
    </row>
    <row r="597" spans="2:8">
      <c r="B597" s="11"/>
      <c r="C597" s="11"/>
      <c r="D597" s="11"/>
      <c r="E597" s="11"/>
      <c r="F597" s="11"/>
      <c r="G597" s="11"/>
      <c r="H597" s="11"/>
    </row>
    <row r="598" spans="2:8">
      <c r="B598" s="11"/>
      <c r="C598" s="11"/>
      <c r="D598" s="11"/>
      <c r="E598" s="11"/>
      <c r="F598" s="11"/>
      <c r="G598" s="11"/>
      <c r="H598" s="11"/>
    </row>
    <row r="599" spans="2:8">
      <c r="B599" s="11"/>
      <c r="C599" s="11"/>
      <c r="D599" s="11"/>
      <c r="E599" s="11"/>
      <c r="F599" s="11"/>
      <c r="G599" s="11"/>
      <c r="H599" s="11"/>
    </row>
    <row r="600" spans="2:8">
      <c r="B600" s="11"/>
      <c r="C600" s="11"/>
      <c r="D600" s="11"/>
      <c r="E600" s="11"/>
      <c r="F600" s="11"/>
      <c r="G600" s="11"/>
      <c r="H600" s="11"/>
    </row>
    <row r="601" spans="2:8">
      <c r="B601" s="11"/>
      <c r="C601" s="11"/>
      <c r="D601" s="11"/>
      <c r="E601" s="11"/>
      <c r="F601" s="11"/>
      <c r="G601" s="11"/>
      <c r="H601" s="11"/>
    </row>
    <row r="602" spans="2:8">
      <c r="B602" s="11"/>
      <c r="C602" s="11"/>
      <c r="D602" s="11"/>
      <c r="E602" s="11"/>
      <c r="F602" s="11"/>
      <c r="G602" s="11"/>
      <c r="H602" s="11"/>
    </row>
    <row r="603" spans="2:8">
      <c r="B603" s="11"/>
      <c r="C603" s="11"/>
      <c r="D603" s="11"/>
      <c r="E603" s="11"/>
      <c r="F603" s="11"/>
      <c r="G603" s="11"/>
      <c r="H603" s="11"/>
    </row>
    <row r="604" spans="2:8">
      <c r="B604" s="11"/>
      <c r="C604" s="11"/>
      <c r="D604" s="11"/>
      <c r="E604" s="11"/>
      <c r="F604" s="11"/>
      <c r="G604" s="11"/>
      <c r="H604" s="11"/>
    </row>
    <row r="605" spans="2:8">
      <c r="B605" s="11"/>
      <c r="C605" s="11"/>
      <c r="D605" s="11"/>
      <c r="E605" s="11"/>
      <c r="F605" s="11"/>
      <c r="G605" s="11"/>
      <c r="H605" s="11"/>
    </row>
    <row r="606" spans="2:8">
      <c r="B606" s="11"/>
      <c r="C606" s="11"/>
      <c r="D606" s="11"/>
      <c r="E606" s="11"/>
      <c r="F606" s="11"/>
      <c r="G606" s="11"/>
      <c r="H606" s="11"/>
    </row>
    <row r="607" spans="2:8">
      <c r="B607" s="11"/>
      <c r="C607" s="11"/>
      <c r="D607" s="11"/>
      <c r="E607" s="11"/>
      <c r="F607" s="11"/>
      <c r="G607" s="11"/>
      <c r="H607" s="11"/>
    </row>
    <row r="608" spans="2:8">
      <c r="B608" s="11"/>
      <c r="C608" s="11"/>
      <c r="D608" s="11"/>
      <c r="E608" s="11"/>
      <c r="F608" s="11"/>
      <c r="G608" s="11"/>
      <c r="H608" s="11"/>
    </row>
    <row r="609" spans="2:8">
      <c r="B609" s="11"/>
      <c r="C609" s="11"/>
      <c r="D609" s="11"/>
      <c r="E609" s="11"/>
      <c r="F609" s="11"/>
      <c r="G609" s="11"/>
      <c r="H609" s="11"/>
    </row>
    <row r="610" spans="2:8">
      <c r="B610" s="11"/>
      <c r="C610" s="11"/>
      <c r="D610" s="11"/>
      <c r="E610" s="11"/>
      <c r="F610" s="11"/>
      <c r="G610" s="11"/>
      <c r="H610" s="11"/>
    </row>
    <row r="611" spans="2:8">
      <c r="B611" s="11"/>
      <c r="C611" s="11"/>
      <c r="D611" s="11"/>
      <c r="E611" s="11"/>
      <c r="F611" s="11"/>
      <c r="G611" s="11"/>
      <c r="H611" s="11"/>
    </row>
    <row r="612" spans="2:8">
      <c r="B612" s="11"/>
      <c r="C612" s="11"/>
      <c r="D612" s="11"/>
      <c r="E612" s="11"/>
      <c r="F612" s="11"/>
      <c r="G612" s="11"/>
      <c r="H612" s="11"/>
    </row>
    <row r="613" spans="2:8">
      <c r="B613" s="11"/>
      <c r="C613" s="11"/>
      <c r="D613" s="11"/>
      <c r="E613" s="11"/>
      <c r="F613" s="11"/>
      <c r="G613" s="11"/>
      <c r="H613" s="11"/>
    </row>
    <row r="614" spans="2:8">
      <c r="B614" s="11"/>
      <c r="C614" s="11"/>
      <c r="D614" s="11"/>
      <c r="E614" s="11"/>
      <c r="F614" s="11"/>
      <c r="G614" s="11"/>
      <c r="H614" s="11"/>
    </row>
    <row r="615" spans="2:8">
      <c r="B615" s="11"/>
      <c r="C615" s="11"/>
      <c r="D615" s="11"/>
      <c r="E615" s="11"/>
      <c r="F615" s="11"/>
      <c r="G615" s="11"/>
      <c r="H615" s="11"/>
    </row>
    <row r="616" spans="2:8">
      <c r="B616" s="11"/>
      <c r="C616" s="11"/>
      <c r="D616" s="11"/>
      <c r="E616" s="11"/>
      <c r="F616" s="11"/>
      <c r="G616" s="11"/>
      <c r="H616" s="11"/>
    </row>
    <row r="617" spans="2:8">
      <c r="B617" s="11"/>
      <c r="C617" s="11"/>
      <c r="D617" s="11"/>
      <c r="E617" s="11"/>
      <c r="F617" s="11"/>
      <c r="G617" s="11"/>
      <c r="H617" s="11"/>
    </row>
    <row r="618" spans="2:8">
      <c r="B618" s="11"/>
      <c r="C618" s="11"/>
      <c r="D618" s="11"/>
      <c r="E618" s="11"/>
      <c r="F618" s="11"/>
      <c r="G618" s="11"/>
      <c r="H618" s="11"/>
    </row>
    <row r="619" spans="2:8">
      <c r="B619" s="11"/>
      <c r="C619" s="11"/>
      <c r="D619" s="11"/>
      <c r="E619" s="11"/>
      <c r="F619" s="11"/>
      <c r="G619" s="11"/>
      <c r="H619" s="11"/>
    </row>
    <row r="620" spans="2:8">
      <c r="B620" s="11"/>
      <c r="C620" s="11"/>
      <c r="D620" s="11"/>
      <c r="E620" s="11"/>
      <c r="F620" s="11"/>
      <c r="G620" s="11"/>
      <c r="H620" s="11"/>
    </row>
    <row r="621" spans="2:8">
      <c r="B621" s="11"/>
      <c r="C621" s="11"/>
      <c r="D621" s="11"/>
      <c r="E621" s="11"/>
      <c r="F621" s="11"/>
      <c r="G621" s="11"/>
      <c r="H621" s="11"/>
    </row>
    <row r="622" spans="2:8">
      <c r="B622" s="11"/>
      <c r="C622" s="11"/>
      <c r="D622" s="11"/>
      <c r="E622" s="11"/>
      <c r="F622" s="11"/>
      <c r="G622" s="11"/>
      <c r="H622" s="11"/>
    </row>
    <row r="623" spans="2:8">
      <c r="B623" s="11"/>
      <c r="C623" s="11"/>
      <c r="D623" s="11"/>
      <c r="E623" s="11"/>
      <c r="F623" s="11"/>
      <c r="G623" s="11"/>
      <c r="H623" s="11"/>
    </row>
    <row r="624" spans="2:8">
      <c r="B624" s="11"/>
      <c r="C624" s="11"/>
      <c r="D624" s="11"/>
      <c r="E624" s="11"/>
      <c r="F624" s="11"/>
      <c r="G624" s="11"/>
      <c r="H624" s="11"/>
    </row>
    <row r="625" spans="2:8">
      <c r="B625" s="11"/>
      <c r="C625" s="11"/>
      <c r="D625" s="11"/>
      <c r="E625" s="11"/>
      <c r="F625" s="11"/>
      <c r="G625" s="11"/>
      <c r="H625" s="11"/>
    </row>
    <row r="626" spans="2:8">
      <c r="B626" s="11"/>
      <c r="C626" s="11"/>
      <c r="D626" s="11"/>
      <c r="E626" s="11"/>
      <c r="F626" s="11"/>
      <c r="G626" s="11"/>
      <c r="H626" s="11"/>
    </row>
    <row r="627" spans="2:8">
      <c r="B627" s="11"/>
      <c r="C627" s="11"/>
      <c r="D627" s="11"/>
      <c r="E627" s="11"/>
      <c r="F627" s="11"/>
      <c r="G627" s="11"/>
      <c r="H627" s="11"/>
    </row>
    <row r="628" spans="2:8">
      <c r="B628" s="11"/>
      <c r="C628" s="11"/>
      <c r="D628" s="11"/>
      <c r="E628" s="11"/>
      <c r="F628" s="11"/>
      <c r="G628" s="11"/>
      <c r="H628" s="11"/>
    </row>
    <row r="629" spans="2:8">
      <c r="B629" s="11"/>
      <c r="C629" s="11"/>
      <c r="D629" s="11"/>
      <c r="E629" s="11"/>
      <c r="F629" s="11"/>
      <c r="G629" s="11"/>
      <c r="H629" s="11"/>
    </row>
    <row r="630" spans="2:8">
      <c r="B630" s="11"/>
      <c r="C630" s="11"/>
      <c r="D630" s="11"/>
      <c r="E630" s="11"/>
      <c r="F630" s="11"/>
      <c r="G630" s="11"/>
      <c r="H630" s="11"/>
    </row>
    <row r="631" spans="2:8">
      <c r="B631" s="11"/>
      <c r="C631" s="11"/>
      <c r="D631" s="11"/>
      <c r="E631" s="11"/>
      <c r="F631" s="11"/>
      <c r="G631" s="11"/>
      <c r="H631" s="11"/>
    </row>
    <row r="632" spans="2:8">
      <c r="B632" s="11"/>
      <c r="C632" s="11"/>
      <c r="D632" s="11"/>
      <c r="E632" s="11"/>
      <c r="F632" s="11"/>
      <c r="G632" s="11"/>
      <c r="H632" s="11"/>
    </row>
    <row r="633" spans="2:8">
      <c r="B633" s="11"/>
      <c r="C633" s="11"/>
      <c r="D633" s="11"/>
      <c r="E633" s="11"/>
      <c r="F633" s="11"/>
      <c r="G633" s="11"/>
      <c r="H633" s="11"/>
    </row>
    <row r="634" spans="2:8">
      <c r="B634" s="11"/>
      <c r="C634" s="11"/>
      <c r="D634" s="11"/>
      <c r="E634" s="11"/>
      <c r="F634" s="11"/>
      <c r="G634" s="11"/>
      <c r="H634" s="11"/>
    </row>
    <row r="635" spans="2:8">
      <c r="B635" s="11"/>
      <c r="C635" s="11"/>
      <c r="D635" s="11"/>
      <c r="E635" s="11"/>
      <c r="F635" s="11"/>
      <c r="G635" s="11"/>
      <c r="H635" s="11"/>
    </row>
    <row r="636" spans="2:8">
      <c r="B636" s="11"/>
      <c r="C636" s="11"/>
      <c r="D636" s="11"/>
      <c r="E636" s="11"/>
      <c r="F636" s="11"/>
      <c r="G636" s="11"/>
      <c r="H636" s="11"/>
    </row>
    <row r="637" spans="2:8">
      <c r="B637" s="11"/>
      <c r="C637" s="11"/>
      <c r="D637" s="11"/>
      <c r="E637" s="11"/>
      <c r="F637" s="11"/>
      <c r="G637" s="11"/>
      <c r="H637" s="11"/>
    </row>
    <row r="638" spans="2:8">
      <c r="B638" s="11"/>
      <c r="C638" s="11"/>
      <c r="D638" s="11"/>
      <c r="E638" s="11"/>
      <c r="F638" s="11"/>
      <c r="G638" s="11"/>
      <c r="H638" s="11"/>
    </row>
    <row r="639" spans="2:8">
      <c r="B639" s="11"/>
      <c r="C639" s="11"/>
      <c r="D639" s="11"/>
      <c r="E639" s="11"/>
      <c r="F639" s="11"/>
      <c r="G639" s="11"/>
      <c r="H639" s="11"/>
    </row>
    <row r="640" spans="2:8">
      <c r="B640" s="11"/>
      <c r="C640" s="11"/>
      <c r="D640" s="11"/>
      <c r="E640" s="11"/>
      <c r="F640" s="11"/>
      <c r="G640" s="11"/>
      <c r="H640" s="11"/>
    </row>
    <row r="641" spans="2:8">
      <c r="B641" s="11"/>
      <c r="C641" s="11"/>
      <c r="D641" s="11"/>
      <c r="E641" s="11"/>
      <c r="F641" s="11"/>
      <c r="G641" s="11"/>
      <c r="H641" s="11"/>
    </row>
    <row r="642" spans="2:8">
      <c r="B642" s="11"/>
      <c r="C642" s="11"/>
      <c r="D642" s="11"/>
      <c r="E642" s="11"/>
      <c r="F642" s="11"/>
      <c r="G642" s="11"/>
      <c r="H642" s="11"/>
    </row>
    <row r="643" spans="2:8">
      <c r="B643" s="11"/>
      <c r="C643" s="11"/>
      <c r="D643" s="11"/>
      <c r="E643" s="11"/>
      <c r="F643" s="11"/>
      <c r="G643" s="11"/>
      <c r="H643" s="11"/>
    </row>
    <row r="644" spans="2:8">
      <c r="B644" s="11"/>
      <c r="C644" s="11"/>
      <c r="D644" s="11"/>
      <c r="E644" s="11"/>
      <c r="F644" s="11"/>
      <c r="G644" s="11"/>
      <c r="H644" s="11"/>
    </row>
    <row r="645" spans="2:8">
      <c r="B645" s="11"/>
      <c r="C645" s="11"/>
      <c r="D645" s="11"/>
      <c r="E645" s="11"/>
      <c r="F645" s="11"/>
      <c r="G645" s="11"/>
      <c r="H645" s="11"/>
    </row>
    <row r="646" spans="2:8">
      <c r="B646" s="11"/>
      <c r="C646" s="11"/>
      <c r="D646" s="11"/>
      <c r="E646" s="11"/>
      <c r="F646" s="11"/>
      <c r="G646" s="11"/>
      <c r="H646" s="11"/>
    </row>
    <row r="647" spans="2:8">
      <c r="B647" s="11"/>
      <c r="C647" s="11"/>
      <c r="D647" s="11"/>
      <c r="E647" s="11"/>
      <c r="F647" s="11"/>
      <c r="G647" s="11"/>
      <c r="H647" s="11"/>
    </row>
    <row r="648" spans="2:8">
      <c r="B648" s="11"/>
      <c r="C648" s="11"/>
      <c r="D648" s="11"/>
      <c r="E648" s="11"/>
      <c r="F648" s="11"/>
      <c r="G648" s="11"/>
      <c r="H648" s="11"/>
    </row>
    <row r="649" spans="2:8">
      <c r="B649" s="11"/>
      <c r="C649" s="11"/>
      <c r="D649" s="11"/>
      <c r="E649" s="11"/>
      <c r="F649" s="11"/>
      <c r="G649" s="11"/>
      <c r="H649" s="11"/>
    </row>
    <row r="650" spans="2:8">
      <c r="B650" s="11"/>
      <c r="C650" s="11"/>
      <c r="D650" s="11"/>
      <c r="E650" s="11"/>
      <c r="F650" s="11"/>
      <c r="G650" s="11"/>
      <c r="H650" s="11"/>
    </row>
    <row r="651" spans="2:8">
      <c r="B651" s="11"/>
      <c r="C651" s="11"/>
      <c r="D651" s="11"/>
      <c r="E651" s="11"/>
      <c r="F651" s="11"/>
      <c r="G651" s="11"/>
      <c r="H651" s="11"/>
    </row>
    <row r="652" spans="2:8">
      <c r="B652" s="11"/>
      <c r="C652" s="11"/>
      <c r="D652" s="11"/>
      <c r="E652" s="11"/>
      <c r="F652" s="11"/>
      <c r="G652" s="11"/>
      <c r="H652" s="11"/>
    </row>
    <row r="653" spans="2:8">
      <c r="B653" s="11"/>
      <c r="C653" s="11"/>
      <c r="D653" s="11"/>
      <c r="E653" s="11"/>
      <c r="F653" s="11"/>
      <c r="G653" s="11"/>
      <c r="H653" s="11"/>
    </row>
    <row r="654" spans="2:8">
      <c r="B654" s="11"/>
      <c r="C654" s="11"/>
      <c r="D654" s="11"/>
      <c r="E654" s="11"/>
      <c r="F654" s="11"/>
      <c r="G654" s="11"/>
      <c r="H654" s="11"/>
    </row>
    <row r="655" spans="2:8">
      <c r="B655" s="11"/>
      <c r="C655" s="11"/>
      <c r="D655" s="11"/>
      <c r="E655" s="11"/>
      <c r="F655" s="11"/>
      <c r="G655" s="11"/>
      <c r="H655" s="11"/>
    </row>
    <row r="656" spans="2:8">
      <c r="B656" s="11"/>
      <c r="C656" s="11"/>
      <c r="D656" s="11"/>
      <c r="E656" s="11"/>
      <c r="F656" s="11"/>
      <c r="G656" s="11"/>
      <c r="H656" s="11"/>
    </row>
    <row r="657" spans="2:8">
      <c r="B657" s="11"/>
      <c r="C657" s="11"/>
      <c r="D657" s="11"/>
      <c r="E657" s="11"/>
      <c r="F657" s="11"/>
      <c r="G657" s="11"/>
      <c r="H657" s="11"/>
    </row>
    <row r="658" spans="2:8">
      <c r="B658" s="11"/>
      <c r="C658" s="11"/>
      <c r="D658" s="11"/>
      <c r="E658" s="11"/>
      <c r="F658" s="11"/>
      <c r="G658" s="11"/>
      <c r="H658" s="11"/>
    </row>
    <row r="659" spans="2:8">
      <c r="B659" s="11"/>
      <c r="C659" s="11"/>
      <c r="D659" s="11"/>
      <c r="E659" s="11"/>
      <c r="F659" s="11"/>
      <c r="G659" s="11"/>
      <c r="H659" s="11"/>
    </row>
    <row r="660" spans="2:8">
      <c r="B660" s="11"/>
      <c r="C660" s="11"/>
      <c r="D660" s="11"/>
      <c r="E660" s="11"/>
      <c r="F660" s="11"/>
      <c r="G660" s="11"/>
      <c r="H660" s="11"/>
    </row>
    <row r="661" spans="2:8">
      <c r="B661" s="11"/>
      <c r="C661" s="11"/>
      <c r="D661" s="11"/>
      <c r="E661" s="11"/>
      <c r="F661" s="11"/>
      <c r="G661" s="11"/>
      <c r="H661" s="11"/>
    </row>
    <row r="662" spans="2:8">
      <c r="B662" s="11"/>
      <c r="C662" s="11"/>
      <c r="D662" s="11"/>
      <c r="E662" s="11"/>
      <c r="F662" s="11"/>
      <c r="G662" s="11"/>
      <c r="H662" s="11"/>
    </row>
    <row r="663" spans="2:8">
      <c r="B663" s="11"/>
      <c r="C663" s="11"/>
      <c r="D663" s="11"/>
      <c r="E663" s="11"/>
      <c r="F663" s="11"/>
      <c r="G663" s="11"/>
      <c r="H663" s="11"/>
    </row>
    <row r="664" spans="2:8">
      <c r="B664" s="11"/>
      <c r="C664" s="11"/>
      <c r="D664" s="11"/>
      <c r="E664" s="11"/>
      <c r="F664" s="11"/>
      <c r="G664" s="11"/>
      <c r="H664" s="11"/>
    </row>
    <row r="665" spans="2:8">
      <c r="B665" s="11"/>
      <c r="C665" s="11"/>
      <c r="D665" s="11"/>
      <c r="E665" s="11"/>
      <c r="F665" s="11"/>
      <c r="G665" s="11"/>
      <c r="H665" s="11"/>
    </row>
    <row r="666" spans="2:8">
      <c r="B666" s="11"/>
      <c r="C666" s="11"/>
      <c r="D666" s="11"/>
      <c r="E666" s="11"/>
      <c r="F666" s="11"/>
      <c r="G666" s="11"/>
      <c r="H666" s="11"/>
    </row>
    <row r="667" spans="2:8">
      <c r="B667" s="11"/>
      <c r="C667" s="11"/>
      <c r="D667" s="11"/>
      <c r="E667" s="11"/>
      <c r="F667" s="11"/>
      <c r="G667" s="11"/>
      <c r="H667" s="11"/>
    </row>
    <row r="668" spans="2:8">
      <c r="B668" s="11"/>
      <c r="C668" s="11"/>
      <c r="D668" s="11"/>
      <c r="E668" s="11"/>
      <c r="F668" s="11"/>
      <c r="G668" s="11"/>
      <c r="H668" s="11"/>
    </row>
    <row r="669" spans="2:8">
      <c r="B669" s="11"/>
      <c r="C669" s="11"/>
      <c r="D669" s="11"/>
      <c r="E669" s="11"/>
      <c r="F669" s="11"/>
      <c r="G669" s="11"/>
      <c r="H669" s="11"/>
    </row>
    <row r="670" spans="2:8">
      <c r="B670" s="11"/>
      <c r="C670" s="11"/>
      <c r="D670" s="11"/>
      <c r="E670" s="11"/>
      <c r="F670" s="11"/>
      <c r="G670" s="11"/>
      <c r="H670" s="11"/>
    </row>
    <row r="671" spans="2:8">
      <c r="B671" s="11"/>
      <c r="C671" s="11"/>
      <c r="D671" s="11"/>
      <c r="E671" s="11"/>
      <c r="F671" s="11"/>
      <c r="G671" s="11"/>
      <c r="H671" s="11"/>
    </row>
    <row r="672" spans="2:8">
      <c r="B672" s="11"/>
      <c r="C672" s="11"/>
      <c r="D672" s="11"/>
      <c r="E672" s="11"/>
      <c r="F672" s="11"/>
      <c r="G672" s="11"/>
      <c r="H672" s="11"/>
    </row>
    <row r="673" spans="2:8">
      <c r="B673" s="11"/>
      <c r="C673" s="11"/>
      <c r="D673" s="11"/>
      <c r="E673" s="11"/>
      <c r="F673" s="11"/>
      <c r="G673" s="11"/>
      <c r="H673" s="11"/>
    </row>
    <row r="674" spans="2:8">
      <c r="B674" s="11"/>
      <c r="C674" s="11"/>
      <c r="D674" s="11"/>
      <c r="E674" s="11"/>
      <c r="F674" s="11"/>
      <c r="G674" s="11"/>
      <c r="H674" s="11"/>
    </row>
    <row r="675" spans="2:8">
      <c r="B675" s="11"/>
      <c r="C675" s="11"/>
      <c r="D675" s="11"/>
      <c r="E675" s="11"/>
      <c r="F675" s="11"/>
      <c r="G675" s="11"/>
      <c r="H675" s="11"/>
    </row>
    <row r="676" spans="2:8">
      <c r="B676" s="11"/>
      <c r="C676" s="11"/>
      <c r="D676" s="11"/>
      <c r="E676" s="11"/>
      <c r="F676" s="11"/>
      <c r="G676" s="11"/>
      <c r="H676" s="11"/>
    </row>
    <row r="677" spans="2:8">
      <c r="B677" s="11"/>
      <c r="C677" s="11"/>
      <c r="D677" s="11"/>
      <c r="E677" s="11"/>
      <c r="F677" s="11"/>
      <c r="G677" s="11"/>
      <c r="H677" s="11"/>
    </row>
    <row r="678" spans="2:8">
      <c r="B678" s="11"/>
      <c r="C678" s="11"/>
      <c r="D678" s="11"/>
      <c r="E678" s="11"/>
      <c r="F678" s="11"/>
      <c r="G678" s="11"/>
      <c r="H678" s="11"/>
    </row>
    <row r="679" spans="2:8">
      <c r="B679" s="11"/>
      <c r="C679" s="11"/>
      <c r="D679" s="11"/>
      <c r="E679" s="11"/>
      <c r="F679" s="11"/>
      <c r="G679" s="11"/>
      <c r="H679" s="11"/>
    </row>
    <row r="680" spans="2:8">
      <c r="B680" s="11"/>
      <c r="C680" s="11"/>
      <c r="D680" s="11"/>
      <c r="E680" s="11"/>
      <c r="F680" s="11"/>
      <c r="G680" s="11"/>
      <c r="H680" s="11"/>
    </row>
    <row r="681" spans="2:8">
      <c r="B681" s="11"/>
      <c r="C681" s="11"/>
      <c r="D681" s="11"/>
      <c r="E681" s="11"/>
      <c r="F681" s="11"/>
      <c r="G681" s="11"/>
      <c r="H681" s="11"/>
    </row>
    <row r="682" spans="2:8">
      <c r="B682" s="11"/>
      <c r="C682" s="11"/>
      <c r="D682" s="11"/>
      <c r="E682" s="11"/>
      <c r="F682" s="11"/>
      <c r="G682" s="11"/>
      <c r="H682" s="11"/>
    </row>
    <row r="683" spans="2:8">
      <c r="B683" s="11"/>
      <c r="C683" s="11"/>
      <c r="D683" s="11"/>
      <c r="E683" s="11"/>
      <c r="F683" s="11"/>
      <c r="G683" s="11"/>
      <c r="H683" s="11"/>
    </row>
    <row r="684" spans="2:8">
      <c r="B684" s="11"/>
      <c r="C684" s="11"/>
      <c r="D684" s="11"/>
      <c r="E684" s="11"/>
      <c r="F684" s="11"/>
      <c r="G684" s="11"/>
      <c r="H684" s="11"/>
    </row>
    <row r="685" spans="2:8">
      <c r="B685" s="11"/>
      <c r="C685" s="11"/>
      <c r="D685" s="11"/>
      <c r="E685" s="11"/>
      <c r="F685" s="11"/>
      <c r="G685" s="11"/>
      <c r="H685" s="11"/>
    </row>
    <row r="686" spans="2:8">
      <c r="B686" s="11"/>
      <c r="C686" s="11"/>
      <c r="D686" s="11"/>
      <c r="E686" s="11"/>
      <c r="F686" s="11"/>
      <c r="G686" s="11"/>
      <c r="H686" s="11"/>
    </row>
    <row r="687" spans="2:8">
      <c r="B687" s="11"/>
      <c r="C687" s="11"/>
      <c r="D687" s="11"/>
      <c r="E687" s="11"/>
      <c r="F687" s="11"/>
      <c r="G687" s="11"/>
      <c r="H687" s="11"/>
    </row>
    <row r="688" spans="2:8">
      <c r="B688" s="11"/>
      <c r="C688" s="11"/>
      <c r="D688" s="11"/>
      <c r="E688" s="11"/>
      <c r="F688" s="11"/>
      <c r="G688" s="11"/>
      <c r="H688" s="11"/>
    </row>
    <row r="689" spans="2:8">
      <c r="B689" s="11"/>
      <c r="C689" s="11"/>
      <c r="D689" s="11"/>
      <c r="E689" s="11"/>
      <c r="F689" s="11"/>
      <c r="G689" s="11"/>
      <c r="H689" s="11"/>
    </row>
    <row r="690" spans="2:8">
      <c r="B690" s="11"/>
      <c r="C690" s="11"/>
      <c r="D690" s="11"/>
      <c r="E690" s="11"/>
      <c r="F690" s="11"/>
      <c r="G690" s="11"/>
      <c r="H690" s="11"/>
    </row>
    <row r="691" spans="2:8">
      <c r="B691" s="11"/>
      <c r="C691" s="11"/>
      <c r="D691" s="11"/>
      <c r="E691" s="11"/>
      <c r="F691" s="11"/>
      <c r="G691" s="11"/>
      <c r="H691" s="11"/>
    </row>
    <row r="692" spans="2:8">
      <c r="B692" s="11"/>
      <c r="C692" s="11"/>
      <c r="D692" s="11"/>
      <c r="E692" s="11"/>
      <c r="F692" s="11"/>
      <c r="G692" s="11"/>
      <c r="H692" s="11"/>
    </row>
    <row r="693" spans="2:8">
      <c r="B693" s="11"/>
      <c r="C693" s="11"/>
      <c r="D693" s="11"/>
      <c r="E693" s="11"/>
      <c r="F693" s="11"/>
      <c r="G693" s="11"/>
      <c r="H693" s="11"/>
    </row>
    <row r="694" spans="2:8">
      <c r="B694" s="11"/>
      <c r="C694" s="11"/>
      <c r="D694" s="11"/>
      <c r="E694" s="11"/>
      <c r="F694" s="11"/>
      <c r="G694" s="11"/>
      <c r="H694" s="11"/>
    </row>
    <row r="695" spans="2:8">
      <c r="B695" s="11"/>
      <c r="C695" s="11"/>
      <c r="D695" s="11"/>
      <c r="E695" s="11"/>
      <c r="F695" s="11"/>
      <c r="G695" s="11"/>
      <c r="H695" s="11"/>
    </row>
    <row r="696" spans="2:8">
      <c r="B696" s="11"/>
      <c r="C696" s="11"/>
      <c r="D696" s="11"/>
      <c r="E696" s="11"/>
      <c r="F696" s="11"/>
      <c r="G696" s="11"/>
      <c r="H696" s="11"/>
    </row>
    <row r="697" spans="2:8">
      <c r="B697" s="11"/>
      <c r="C697" s="11"/>
      <c r="D697" s="11"/>
      <c r="E697" s="11"/>
      <c r="F697" s="11"/>
      <c r="G697" s="11"/>
      <c r="H697" s="11"/>
    </row>
    <row r="698" spans="2:8">
      <c r="B698" s="11"/>
      <c r="C698" s="11"/>
      <c r="D698" s="11"/>
      <c r="E698" s="11"/>
      <c r="F698" s="11"/>
      <c r="G698" s="11"/>
      <c r="H698" s="11"/>
    </row>
    <row r="699" spans="2:8">
      <c r="B699" s="11"/>
      <c r="C699" s="11"/>
      <c r="D699" s="11"/>
      <c r="E699" s="11"/>
      <c r="F699" s="11"/>
      <c r="G699" s="11"/>
      <c r="H699" s="11"/>
    </row>
    <row r="700" spans="2:8">
      <c r="B700" s="11"/>
      <c r="C700" s="11"/>
      <c r="D700" s="11"/>
      <c r="E700" s="11"/>
      <c r="F700" s="11"/>
      <c r="G700" s="11"/>
      <c r="H700" s="11"/>
    </row>
    <row r="701" spans="2:8">
      <c r="B701" s="11"/>
      <c r="C701" s="11"/>
      <c r="D701" s="11"/>
      <c r="E701" s="11"/>
      <c r="F701" s="11"/>
      <c r="G701" s="11"/>
      <c r="H701" s="11"/>
    </row>
    <row r="702" spans="2:8">
      <c r="B702" s="11"/>
      <c r="C702" s="11"/>
      <c r="D702" s="11"/>
      <c r="E702" s="11"/>
      <c r="F702" s="11"/>
      <c r="G702" s="11"/>
      <c r="H702" s="11"/>
    </row>
    <row r="703" spans="2:8">
      <c r="B703" s="11"/>
      <c r="C703" s="11"/>
      <c r="D703" s="11"/>
      <c r="E703" s="11"/>
      <c r="F703" s="11"/>
      <c r="G703" s="11"/>
      <c r="H703" s="11"/>
    </row>
    <row r="704" spans="2:8">
      <c r="B704" s="11"/>
      <c r="C704" s="11"/>
      <c r="D704" s="11"/>
      <c r="E704" s="11"/>
      <c r="F704" s="11"/>
      <c r="G704" s="11"/>
      <c r="H704" s="11"/>
    </row>
    <row r="705" spans="2:8">
      <c r="B705" s="11"/>
      <c r="C705" s="11"/>
      <c r="D705" s="11"/>
      <c r="E705" s="11"/>
      <c r="F705" s="11"/>
      <c r="G705" s="11"/>
      <c r="H705" s="11"/>
    </row>
    <row r="706" spans="2:8">
      <c r="B706" s="11"/>
      <c r="C706" s="11"/>
      <c r="D706" s="11"/>
      <c r="E706" s="11"/>
      <c r="F706" s="11"/>
      <c r="G706" s="11"/>
      <c r="H706" s="11"/>
    </row>
    <row r="707" spans="2:8">
      <c r="B707" s="11"/>
      <c r="C707" s="11"/>
      <c r="D707" s="11"/>
      <c r="E707" s="11"/>
      <c r="F707" s="11"/>
      <c r="G707" s="11"/>
      <c r="H707" s="11"/>
    </row>
    <row r="708" spans="2:8">
      <c r="B708" s="11"/>
      <c r="C708" s="11"/>
      <c r="D708" s="11"/>
      <c r="E708" s="11"/>
      <c r="F708" s="11"/>
      <c r="G708" s="11"/>
      <c r="H708" s="11"/>
    </row>
    <row r="709" spans="2:8">
      <c r="B709" s="11"/>
      <c r="C709" s="11"/>
      <c r="D709" s="11"/>
      <c r="E709" s="11"/>
      <c r="F709" s="11"/>
      <c r="G709" s="11"/>
      <c r="H709" s="11"/>
    </row>
    <row r="710" spans="2:8">
      <c r="B710" s="11"/>
      <c r="C710" s="11"/>
      <c r="D710" s="11"/>
      <c r="E710" s="11"/>
      <c r="F710" s="11"/>
      <c r="G710" s="11"/>
      <c r="H710" s="11"/>
    </row>
    <row r="711" spans="2:8">
      <c r="B711" s="11"/>
      <c r="C711" s="11"/>
      <c r="D711" s="11"/>
      <c r="E711" s="11"/>
      <c r="F711" s="11"/>
      <c r="G711" s="11"/>
      <c r="H711" s="11"/>
    </row>
    <row r="712" spans="2:8">
      <c r="B712" s="11"/>
      <c r="C712" s="11"/>
      <c r="D712" s="11"/>
      <c r="E712" s="11"/>
      <c r="F712" s="11"/>
      <c r="G712" s="11"/>
      <c r="H712" s="11"/>
    </row>
    <row r="713" spans="2:8">
      <c r="B713" s="11"/>
      <c r="C713" s="11"/>
      <c r="D713" s="11"/>
      <c r="E713" s="11"/>
      <c r="F713" s="11"/>
      <c r="G713" s="11"/>
      <c r="H713" s="11"/>
    </row>
    <row r="714" spans="2:8">
      <c r="B714" s="11"/>
      <c r="C714" s="11"/>
      <c r="D714" s="11"/>
      <c r="E714" s="11"/>
      <c r="F714" s="11"/>
      <c r="G714" s="11"/>
      <c r="H714" s="11"/>
    </row>
    <row r="715" spans="2:8">
      <c r="B715" s="11"/>
      <c r="C715" s="11"/>
      <c r="D715" s="11"/>
      <c r="E715" s="11"/>
      <c r="F715" s="11"/>
      <c r="G715" s="11"/>
      <c r="H715" s="11"/>
    </row>
    <row r="716" spans="2:8">
      <c r="B716" s="11"/>
      <c r="C716" s="11"/>
      <c r="D716" s="11"/>
      <c r="E716" s="11"/>
      <c r="F716" s="11"/>
      <c r="G716" s="11"/>
      <c r="H716" s="11"/>
    </row>
    <row r="717" spans="2:8">
      <c r="B717" s="11"/>
      <c r="C717" s="11"/>
      <c r="D717" s="11"/>
      <c r="E717" s="11"/>
      <c r="F717" s="11"/>
      <c r="G717" s="11"/>
      <c r="H717" s="11"/>
    </row>
    <row r="718" spans="2:8">
      <c r="B718" s="11"/>
      <c r="C718" s="11"/>
      <c r="D718" s="11"/>
      <c r="E718" s="11"/>
      <c r="F718" s="11"/>
      <c r="G718" s="11"/>
      <c r="H718" s="11"/>
    </row>
    <row r="719" spans="2:8">
      <c r="B719" s="11"/>
      <c r="C719" s="11"/>
      <c r="D719" s="11"/>
      <c r="E719" s="11"/>
      <c r="F719" s="11"/>
      <c r="G719" s="11"/>
      <c r="H719" s="11"/>
    </row>
    <row r="720" spans="2:8">
      <c r="B720" s="11"/>
      <c r="C720" s="11"/>
      <c r="D720" s="11"/>
      <c r="E720" s="11"/>
      <c r="F720" s="11"/>
      <c r="G720" s="11"/>
      <c r="H720" s="11"/>
    </row>
    <row r="721" spans="2:8">
      <c r="B721" s="11"/>
      <c r="C721" s="11"/>
      <c r="D721" s="11"/>
      <c r="E721" s="11"/>
      <c r="F721" s="11"/>
      <c r="G721" s="11"/>
      <c r="H721" s="11"/>
    </row>
    <row r="722" spans="2:8">
      <c r="B722" s="11"/>
      <c r="C722" s="11"/>
      <c r="D722" s="11"/>
      <c r="E722" s="11"/>
      <c r="F722" s="11"/>
      <c r="G722" s="11"/>
      <c r="H722" s="11"/>
    </row>
    <row r="723" spans="2:8">
      <c r="B723" s="11"/>
      <c r="C723" s="11"/>
      <c r="D723" s="11"/>
      <c r="E723" s="11"/>
      <c r="F723" s="11"/>
      <c r="G723" s="11"/>
      <c r="H723" s="11"/>
    </row>
    <row r="724" spans="2:8">
      <c r="B724" s="11"/>
      <c r="C724" s="11"/>
      <c r="D724" s="11"/>
      <c r="E724" s="11"/>
      <c r="F724" s="11"/>
      <c r="G724" s="11"/>
      <c r="H724" s="11"/>
    </row>
    <row r="725" spans="2:8">
      <c r="B725" s="11"/>
      <c r="C725" s="11"/>
      <c r="D725" s="11"/>
      <c r="E725" s="11"/>
      <c r="F725" s="11"/>
      <c r="G725" s="11"/>
      <c r="H725" s="11"/>
    </row>
    <row r="726" spans="2:8">
      <c r="B726" s="11"/>
      <c r="C726" s="11"/>
      <c r="D726" s="11"/>
      <c r="E726" s="11"/>
      <c r="F726" s="11"/>
      <c r="G726" s="11"/>
      <c r="H726" s="11"/>
    </row>
    <row r="727" spans="2:8">
      <c r="B727" s="11"/>
      <c r="C727" s="11"/>
      <c r="D727" s="11"/>
      <c r="E727" s="11"/>
      <c r="F727" s="11"/>
      <c r="G727" s="11"/>
      <c r="H727" s="11"/>
    </row>
    <row r="728" spans="2:8">
      <c r="B728" s="11"/>
      <c r="C728" s="11"/>
      <c r="D728" s="11"/>
      <c r="E728" s="11"/>
      <c r="F728" s="11"/>
      <c r="G728" s="11"/>
      <c r="H728" s="11"/>
    </row>
    <row r="729" spans="2:8">
      <c r="B729" s="11"/>
      <c r="C729" s="11"/>
      <c r="D729" s="11"/>
      <c r="E729" s="11"/>
      <c r="F729" s="11"/>
      <c r="G729" s="11"/>
      <c r="H729" s="11"/>
    </row>
    <row r="730" spans="2:8">
      <c r="B730" s="11"/>
      <c r="C730" s="11"/>
      <c r="D730" s="11"/>
      <c r="E730" s="11"/>
      <c r="F730" s="11"/>
      <c r="G730" s="11"/>
      <c r="H730" s="11"/>
    </row>
    <row r="731" spans="2:8">
      <c r="B731" s="11"/>
      <c r="C731" s="11"/>
      <c r="D731" s="11"/>
      <c r="E731" s="11"/>
      <c r="F731" s="11"/>
      <c r="G731" s="11"/>
      <c r="H731" s="11"/>
    </row>
    <row r="732" spans="2:8">
      <c r="B732" s="11"/>
      <c r="C732" s="11"/>
      <c r="D732" s="11"/>
      <c r="E732" s="11"/>
      <c r="F732" s="11"/>
      <c r="G732" s="11"/>
      <c r="H732" s="11"/>
    </row>
    <row r="733" spans="2:8">
      <c r="B733" s="11"/>
      <c r="C733" s="11"/>
      <c r="D733" s="11"/>
      <c r="E733" s="11"/>
      <c r="F733" s="11"/>
      <c r="G733" s="11"/>
      <c r="H733" s="11"/>
    </row>
    <row r="734" spans="2:8">
      <c r="B734" s="11"/>
      <c r="C734" s="11"/>
      <c r="D734" s="11"/>
      <c r="E734" s="11"/>
      <c r="F734" s="11"/>
      <c r="G734" s="11"/>
      <c r="H734" s="11"/>
    </row>
    <row r="735" spans="2:8">
      <c r="B735" s="11"/>
      <c r="C735" s="11"/>
      <c r="D735" s="11"/>
      <c r="E735" s="11"/>
      <c r="F735" s="11"/>
      <c r="G735" s="11"/>
      <c r="H735" s="11"/>
    </row>
    <row r="736" spans="2:8">
      <c r="B736" s="11"/>
      <c r="C736" s="11"/>
      <c r="D736" s="11"/>
      <c r="E736" s="11"/>
      <c r="F736" s="11"/>
      <c r="G736" s="11"/>
      <c r="H736" s="11"/>
    </row>
    <row r="737" spans="2:8">
      <c r="B737" s="11"/>
      <c r="C737" s="11"/>
      <c r="D737" s="11"/>
      <c r="E737" s="11"/>
      <c r="F737" s="11"/>
      <c r="G737" s="11"/>
      <c r="H737" s="11"/>
    </row>
    <row r="738" spans="2:8">
      <c r="B738" s="11"/>
      <c r="C738" s="11"/>
      <c r="D738" s="11"/>
      <c r="E738" s="11"/>
      <c r="F738" s="11"/>
      <c r="G738" s="11"/>
      <c r="H738" s="11"/>
    </row>
    <row r="739" spans="2:8">
      <c r="B739" s="11"/>
      <c r="C739" s="11"/>
      <c r="D739" s="11"/>
      <c r="E739" s="11"/>
      <c r="F739" s="11"/>
      <c r="G739" s="11"/>
      <c r="H739" s="11"/>
    </row>
    <row r="740" spans="2:8">
      <c r="B740" s="11"/>
      <c r="C740" s="11"/>
      <c r="D740" s="11"/>
      <c r="E740" s="11"/>
      <c r="F740" s="11"/>
      <c r="G740" s="11"/>
      <c r="H740" s="11"/>
    </row>
    <row r="741" spans="2:8">
      <c r="B741" s="11"/>
      <c r="C741" s="11"/>
      <c r="D741" s="11"/>
      <c r="E741" s="11"/>
      <c r="F741" s="11"/>
      <c r="G741" s="11"/>
      <c r="H741" s="11"/>
    </row>
    <row r="742" spans="2:8">
      <c r="B742" s="11"/>
      <c r="C742" s="11"/>
      <c r="D742" s="11"/>
      <c r="E742" s="11"/>
      <c r="F742" s="11"/>
      <c r="G742" s="11"/>
      <c r="H742" s="11"/>
    </row>
    <row r="743" spans="2:8">
      <c r="B743" s="11"/>
      <c r="C743" s="11"/>
      <c r="D743" s="11"/>
      <c r="E743" s="11"/>
      <c r="F743" s="11"/>
      <c r="G743" s="11"/>
      <c r="H743" s="11"/>
    </row>
    <row r="744" spans="2:8">
      <c r="B744" s="11"/>
      <c r="C744" s="11"/>
      <c r="D744" s="11"/>
      <c r="E744" s="11"/>
      <c r="F744" s="11"/>
      <c r="G744" s="11"/>
      <c r="H744" s="11"/>
    </row>
    <row r="745" spans="2:8">
      <c r="B745" s="11"/>
      <c r="C745" s="11"/>
      <c r="D745" s="11"/>
      <c r="E745" s="11"/>
      <c r="F745" s="11"/>
      <c r="G745" s="11"/>
      <c r="H745" s="11"/>
    </row>
    <row r="746" spans="2:8">
      <c r="B746" s="11"/>
      <c r="C746" s="11"/>
      <c r="D746" s="11"/>
      <c r="E746" s="11"/>
      <c r="F746" s="11"/>
      <c r="G746" s="11"/>
      <c r="H746" s="11"/>
    </row>
    <row r="747" spans="2:8">
      <c r="B747" s="11"/>
      <c r="C747" s="11"/>
      <c r="D747" s="11"/>
      <c r="E747" s="11"/>
      <c r="F747" s="11"/>
      <c r="G747" s="11"/>
      <c r="H747" s="11"/>
    </row>
    <row r="748" spans="2:8">
      <c r="B748" s="11"/>
      <c r="C748" s="11"/>
      <c r="D748" s="11"/>
      <c r="E748" s="11"/>
      <c r="F748" s="11"/>
      <c r="G748" s="11"/>
      <c r="H748" s="11"/>
    </row>
    <row r="749" spans="2:8">
      <c r="B749" s="11"/>
      <c r="C749" s="11"/>
      <c r="D749" s="11"/>
      <c r="E749" s="11"/>
      <c r="F749" s="11"/>
      <c r="G749" s="11"/>
      <c r="H749" s="11"/>
    </row>
    <row r="750" spans="2:8">
      <c r="B750" s="11"/>
      <c r="C750" s="11"/>
      <c r="D750" s="11"/>
      <c r="E750" s="11"/>
      <c r="F750" s="11"/>
      <c r="G750" s="11"/>
      <c r="H750" s="11"/>
    </row>
    <row r="751" spans="2:8">
      <c r="B751" s="11"/>
      <c r="C751" s="11"/>
      <c r="D751" s="11"/>
      <c r="E751" s="11"/>
      <c r="F751" s="11"/>
      <c r="G751" s="11"/>
      <c r="H751" s="11"/>
    </row>
    <row r="752" spans="2:8">
      <c r="B752" s="11"/>
      <c r="C752" s="11"/>
      <c r="D752" s="11"/>
      <c r="E752" s="11"/>
      <c r="F752" s="11"/>
      <c r="G752" s="11"/>
      <c r="H752" s="11"/>
    </row>
    <row r="753" spans="2:8">
      <c r="B753" s="11"/>
      <c r="C753" s="11"/>
      <c r="D753" s="11"/>
      <c r="E753" s="11"/>
      <c r="F753" s="11"/>
      <c r="G753" s="11"/>
      <c r="H753" s="11"/>
    </row>
    <row r="754" spans="2:8">
      <c r="B754" s="11"/>
      <c r="C754" s="11"/>
      <c r="D754" s="11"/>
      <c r="E754" s="11"/>
      <c r="F754" s="11"/>
      <c r="G754" s="11"/>
      <c r="H754" s="11"/>
    </row>
    <row r="755" spans="2:8">
      <c r="B755" s="11"/>
      <c r="C755" s="11"/>
      <c r="D755" s="11"/>
      <c r="E755" s="11"/>
      <c r="F755" s="11"/>
      <c r="G755" s="11"/>
      <c r="H755" s="11"/>
    </row>
    <row r="756" spans="2:8">
      <c r="B756" s="11"/>
      <c r="C756" s="11"/>
      <c r="D756" s="11"/>
      <c r="E756" s="11"/>
      <c r="F756" s="11"/>
      <c r="G756" s="11"/>
      <c r="H756" s="11"/>
    </row>
    <row r="757" spans="2:8">
      <c r="B757" s="11"/>
      <c r="C757" s="11"/>
      <c r="D757" s="11"/>
      <c r="E757" s="11"/>
      <c r="F757" s="11"/>
      <c r="G757" s="11"/>
      <c r="H757" s="11"/>
    </row>
    <row r="758" spans="2:8">
      <c r="B758" s="11"/>
      <c r="C758" s="11"/>
      <c r="D758" s="11"/>
      <c r="E758" s="11"/>
      <c r="F758" s="11"/>
      <c r="G758" s="11"/>
      <c r="H758" s="11"/>
    </row>
    <row r="759" spans="2:8">
      <c r="B759" s="11"/>
      <c r="C759" s="11"/>
      <c r="D759" s="11"/>
      <c r="E759" s="11"/>
      <c r="F759" s="11"/>
      <c r="G759" s="11"/>
      <c r="H759" s="11"/>
    </row>
    <row r="760" spans="2:8">
      <c r="B760" s="11"/>
      <c r="C760" s="11"/>
      <c r="D760" s="11"/>
      <c r="E760" s="11"/>
      <c r="F760" s="11"/>
      <c r="G760" s="11"/>
      <c r="H760" s="11"/>
    </row>
    <row r="761" spans="2:8">
      <c r="B761" s="11"/>
      <c r="C761" s="11"/>
      <c r="D761" s="11"/>
      <c r="E761" s="11"/>
      <c r="F761" s="11"/>
      <c r="G761" s="11"/>
      <c r="H761" s="11"/>
    </row>
    <row r="762" spans="2:8">
      <c r="B762" s="11"/>
      <c r="C762" s="11"/>
      <c r="D762" s="11"/>
      <c r="E762" s="11"/>
      <c r="F762" s="11"/>
      <c r="G762" s="11"/>
      <c r="H762" s="11"/>
    </row>
    <row r="763" spans="2:8">
      <c r="B763" s="11"/>
      <c r="C763" s="11"/>
      <c r="D763" s="11"/>
      <c r="E763" s="11"/>
      <c r="F763" s="11"/>
      <c r="G763" s="11"/>
      <c r="H763" s="11"/>
    </row>
    <row r="764" spans="2:8">
      <c r="B764" s="11"/>
      <c r="C764" s="11"/>
      <c r="D764" s="11"/>
      <c r="E764" s="11"/>
      <c r="F764" s="11"/>
      <c r="G764" s="11"/>
      <c r="H764" s="11"/>
    </row>
    <row r="765" spans="2:8">
      <c r="B765" s="11"/>
      <c r="C765" s="11"/>
      <c r="D765" s="11"/>
      <c r="E765" s="11"/>
      <c r="F765" s="11"/>
      <c r="G765" s="11"/>
      <c r="H765" s="11"/>
    </row>
    <row r="766" spans="2:8">
      <c r="B766" s="11"/>
      <c r="C766" s="11"/>
      <c r="D766" s="11"/>
      <c r="E766" s="11"/>
      <c r="F766" s="11"/>
      <c r="G766" s="11"/>
      <c r="H766" s="11"/>
    </row>
    <row r="767" spans="2:8">
      <c r="B767" s="11"/>
      <c r="C767" s="11"/>
      <c r="D767" s="11"/>
      <c r="E767" s="11"/>
      <c r="F767" s="11"/>
      <c r="G767" s="11"/>
      <c r="H767" s="11"/>
    </row>
    <row r="768" spans="2:8">
      <c r="B768" s="11"/>
      <c r="C768" s="11"/>
      <c r="D768" s="11"/>
      <c r="E768" s="11"/>
      <c r="F768" s="11"/>
      <c r="G768" s="11"/>
      <c r="H768" s="11"/>
    </row>
    <row r="769" spans="2:8">
      <c r="B769" s="11"/>
      <c r="C769" s="11"/>
      <c r="D769" s="11"/>
      <c r="E769" s="11"/>
      <c r="F769" s="11"/>
      <c r="G769" s="11"/>
      <c r="H769" s="11"/>
    </row>
    <row r="770" spans="2:8">
      <c r="B770" s="11"/>
      <c r="C770" s="11"/>
      <c r="D770" s="11"/>
      <c r="E770" s="11"/>
      <c r="F770" s="11"/>
      <c r="G770" s="11"/>
      <c r="H770" s="11"/>
    </row>
    <row r="771" spans="2:8">
      <c r="B771" s="11"/>
      <c r="C771" s="11"/>
      <c r="D771" s="11"/>
      <c r="E771" s="11"/>
      <c r="F771" s="11"/>
      <c r="G771" s="11"/>
      <c r="H771" s="11"/>
    </row>
    <row r="772" spans="2:8">
      <c r="B772" s="11"/>
      <c r="C772" s="11"/>
      <c r="D772" s="11"/>
      <c r="E772" s="11"/>
      <c r="F772" s="11"/>
      <c r="G772" s="11"/>
      <c r="H772" s="11"/>
    </row>
    <row r="773" spans="2:8">
      <c r="B773" s="11"/>
      <c r="C773" s="11"/>
      <c r="D773" s="11"/>
      <c r="E773" s="11"/>
      <c r="F773" s="11"/>
      <c r="G773" s="11"/>
      <c r="H773" s="11"/>
    </row>
    <row r="774" spans="2:8">
      <c r="B774" s="11"/>
      <c r="C774" s="11"/>
      <c r="D774" s="11"/>
      <c r="E774" s="11"/>
      <c r="F774" s="11"/>
      <c r="G774" s="11"/>
      <c r="H774" s="11"/>
    </row>
    <row r="775" spans="2:8">
      <c r="B775" s="11"/>
      <c r="C775" s="11"/>
      <c r="D775" s="11"/>
      <c r="E775" s="11"/>
      <c r="F775" s="11"/>
      <c r="G775" s="11"/>
      <c r="H775" s="11"/>
    </row>
    <row r="776" spans="2:8">
      <c r="B776" s="11"/>
      <c r="C776" s="11"/>
      <c r="D776" s="11"/>
      <c r="E776" s="11"/>
      <c r="F776" s="11"/>
      <c r="G776" s="11"/>
      <c r="H776" s="11"/>
    </row>
    <row r="777" spans="2:8">
      <c r="B777" s="11"/>
      <c r="C777" s="11"/>
      <c r="D777" s="11"/>
      <c r="E777" s="11"/>
      <c r="F777" s="11"/>
      <c r="G777" s="11"/>
      <c r="H777" s="11"/>
    </row>
    <row r="778" spans="2:8">
      <c r="B778" s="11"/>
      <c r="C778" s="11"/>
      <c r="D778" s="11"/>
      <c r="E778" s="11"/>
      <c r="F778" s="11"/>
      <c r="G778" s="11"/>
      <c r="H778" s="11"/>
    </row>
    <row r="779" spans="2:8">
      <c r="B779" s="11"/>
      <c r="C779" s="11"/>
      <c r="D779" s="11"/>
      <c r="E779" s="11"/>
      <c r="F779" s="11"/>
      <c r="G779" s="11"/>
      <c r="H779" s="11"/>
    </row>
    <row r="780" spans="2:8">
      <c r="B780" s="11"/>
      <c r="C780" s="11"/>
      <c r="D780" s="11"/>
      <c r="E780" s="11"/>
      <c r="F780" s="11"/>
      <c r="G780" s="11"/>
      <c r="H780" s="11"/>
    </row>
    <row r="781" spans="2:8">
      <c r="B781" s="11"/>
      <c r="C781" s="11"/>
      <c r="D781" s="11"/>
      <c r="E781" s="11"/>
      <c r="F781" s="11"/>
      <c r="G781" s="11"/>
      <c r="H781" s="11"/>
    </row>
    <row r="782" spans="2:8">
      <c r="B782" s="11"/>
      <c r="C782" s="11"/>
      <c r="D782" s="11"/>
      <c r="E782" s="11"/>
      <c r="F782" s="11"/>
      <c r="G782" s="11"/>
      <c r="H782" s="11"/>
    </row>
    <row r="783" spans="2:8">
      <c r="B783" s="11"/>
      <c r="C783" s="11"/>
      <c r="D783" s="11"/>
      <c r="E783" s="11"/>
      <c r="F783" s="11"/>
      <c r="G783" s="11"/>
      <c r="H783" s="11"/>
    </row>
    <row r="784" spans="2:8">
      <c r="B784" s="11"/>
      <c r="C784" s="11"/>
      <c r="D784" s="11"/>
      <c r="E784" s="11"/>
      <c r="F784" s="11"/>
      <c r="G784" s="11"/>
      <c r="H784" s="11"/>
    </row>
    <row r="785" spans="2:8">
      <c r="B785" s="11"/>
      <c r="C785" s="11"/>
      <c r="D785" s="11"/>
      <c r="E785" s="11"/>
      <c r="F785" s="11"/>
      <c r="G785" s="11"/>
      <c r="H785" s="11"/>
    </row>
    <row r="786" spans="2:8">
      <c r="B786" s="11"/>
      <c r="C786" s="11"/>
      <c r="D786" s="11"/>
      <c r="E786" s="11"/>
      <c r="F786" s="11"/>
      <c r="G786" s="11"/>
      <c r="H786" s="11"/>
    </row>
    <row r="787" spans="2:8">
      <c r="B787" s="11"/>
      <c r="C787" s="11"/>
      <c r="D787" s="11"/>
      <c r="E787" s="11"/>
      <c r="F787" s="11"/>
      <c r="G787" s="11"/>
      <c r="H787" s="11"/>
    </row>
    <row r="788" spans="2:8">
      <c r="B788" s="11"/>
      <c r="C788" s="11"/>
      <c r="D788" s="11"/>
      <c r="E788" s="11"/>
      <c r="F788" s="11"/>
      <c r="G788" s="11"/>
      <c r="H788" s="11"/>
    </row>
    <row r="789" spans="2:8">
      <c r="B789" s="11"/>
      <c r="C789" s="11"/>
      <c r="D789" s="11"/>
      <c r="E789" s="11"/>
      <c r="F789" s="11"/>
      <c r="G789" s="11"/>
      <c r="H789" s="11"/>
    </row>
    <row r="790" spans="2:8">
      <c r="B790" s="11"/>
      <c r="C790" s="11"/>
      <c r="D790" s="11"/>
      <c r="E790" s="11"/>
      <c r="F790" s="11"/>
      <c r="G790" s="11"/>
      <c r="H790" s="11"/>
    </row>
    <row r="791" spans="2:8">
      <c r="B791" s="11"/>
      <c r="C791" s="11"/>
      <c r="D791" s="11"/>
      <c r="E791" s="11"/>
      <c r="F791" s="11"/>
      <c r="G791" s="11"/>
      <c r="H791" s="11"/>
    </row>
    <row r="792" spans="2:8">
      <c r="B792" s="11"/>
      <c r="C792" s="11"/>
      <c r="D792" s="11"/>
      <c r="E792" s="11"/>
      <c r="F792" s="11"/>
      <c r="G792" s="11"/>
      <c r="H792" s="11"/>
    </row>
    <row r="793" spans="2:8">
      <c r="B793" s="11"/>
      <c r="C793" s="11"/>
      <c r="D793" s="11"/>
      <c r="E793" s="11"/>
      <c r="F793" s="11"/>
      <c r="G793" s="11"/>
      <c r="H793" s="11"/>
    </row>
    <row r="794" spans="2:8">
      <c r="B794" s="11"/>
      <c r="C794" s="11"/>
      <c r="D794" s="11"/>
      <c r="E794" s="11"/>
      <c r="F794" s="11"/>
      <c r="G794" s="11"/>
      <c r="H794" s="11"/>
    </row>
    <row r="795" spans="2:8">
      <c r="B795" s="11"/>
      <c r="C795" s="11"/>
      <c r="D795" s="11"/>
      <c r="E795" s="11"/>
      <c r="F795" s="11"/>
      <c r="G795" s="11"/>
      <c r="H795" s="11"/>
    </row>
    <row r="796" spans="2:8">
      <c r="B796" s="11"/>
      <c r="C796" s="11"/>
      <c r="D796" s="11"/>
      <c r="E796" s="11"/>
      <c r="F796" s="11"/>
      <c r="G796" s="11"/>
      <c r="H796" s="11"/>
    </row>
    <row r="797" spans="2:8">
      <c r="B797" s="11"/>
      <c r="C797" s="11"/>
      <c r="D797" s="11"/>
      <c r="E797" s="11"/>
      <c r="F797" s="11"/>
      <c r="G797" s="11"/>
      <c r="H797" s="11"/>
    </row>
    <row r="798" spans="2:8">
      <c r="B798" s="11"/>
      <c r="C798" s="11"/>
      <c r="D798" s="11"/>
      <c r="E798" s="11"/>
      <c r="F798" s="11"/>
      <c r="G798" s="11"/>
      <c r="H798" s="11"/>
    </row>
    <row r="799" spans="2:8">
      <c r="B799" s="11"/>
      <c r="C799" s="11"/>
      <c r="D799" s="11"/>
      <c r="E799" s="11"/>
      <c r="F799" s="11"/>
      <c r="G799" s="11"/>
      <c r="H799" s="11"/>
    </row>
    <row r="800" spans="2:8">
      <c r="B800" s="11"/>
      <c r="C800" s="11"/>
      <c r="D800" s="11"/>
      <c r="E800" s="11"/>
      <c r="F800" s="11"/>
      <c r="G800" s="11"/>
      <c r="H800" s="11"/>
    </row>
    <row r="801" spans="2:8">
      <c r="B801" s="11"/>
      <c r="C801" s="11"/>
      <c r="D801" s="11"/>
      <c r="E801" s="11"/>
      <c r="F801" s="11"/>
      <c r="G801" s="11"/>
      <c r="H801" s="11"/>
    </row>
    <row r="802" spans="2:8">
      <c r="B802" s="11"/>
      <c r="C802" s="11"/>
      <c r="D802" s="11"/>
      <c r="E802" s="11"/>
      <c r="F802" s="11"/>
      <c r="G802" s="11"/>
      <c r="H802" s="11"/>
    </row>
    <row r="803" spans="2:8">
      <c r="B803" s="11"/>
      <c r="C803" s="11"/>
      <c r="D803" s="11"/>
      <c r="E803" s="11"/>
      <c r="F803" s="11"/>
      <c r="G803" s="11"/>
      <c r="H803" s="11"/>
    </row>
    <row r="804" spans="2:8">
      <c r="B804" s="11"/>
      <c r="C804" s="11"/>
      <c r="D804" s="11"/>
      <c r="E804" s="11"/>
      <c r="F804" s="11"/>
      <c r="G804" s="11"/>
      <c r="H804" s="11"/>
    </row>
    <row r="805" spans="2:8">
      <c r="B805" s="11"/>
      <c r="C805" s="11"/>
      <c r="D805" s="11"/>
      <c r="E805" s="11"/>
      <c r="F805" s="11"/>
      <c r="G805" s="11"/>
      <c r="H805" s="11"/>
    </row>
    <row r="806" spans="2:8">
      <c r="B806" s="11"/>
      <c r="C806" s="11"/>
      <c r="D806" s="11"/>
      <c r="E806" s="11"/>
      <c r="F806" s="11"/>
      <c r="G806" s="11"/>
      <c r="H806" s="11"/>
    </row>
    <row r="807" spans="2:8">
      <c r="B807" s="11"/>
      <c r="C807" s="11"/>
      <c r="D807" s="11"/>
      <c r="E807" s="11"/>
      <c r="F807" s="11"/>
      <c r="G807" s="11"/>
      <c r="H807" s="11"/>
    </row>
    <row r="808" spans="2:8">
      <c r="B808" s="11"/>
      <c r="C808" s="11"/>
      <c r="D808" s="11"/>
      <c r="E808" s="11"/>
      <c r="F808" s="11"/>
      <c r="G808" s="11"/>
      <c r="H808" s="11"/>
    </row>
    <row r="809" spans="2:8">
      <c r="B809" s="11"/>
      <c r="C809" s="11"/>
      <c r="D809" s="11"/>
      <c r="E809" s="11"/>
      <c r="F809" s="11"/>
      <c r="G809" s="11"/>
      <c r="H809" s="11"/>
    </row>
    <row r="810" spans="2:8">
      <c r="B810" s="11"/>
      <c r="C810" s="11"/>
      <c r="D810" s="11"/>
      <c r="E810" s="11"/>
      <c r="F810" s="11"/>
      <c r="G810" s="11"/>
      <c r="H810" s="11"/>
    </row>
    <row r="811" spans="2:8">
      <c r="B811" s="11"/>
      <c r="C811" s="11"/>
      <c r="D811" s="11"/>
      <c r="E811" s="11"/>
      <c r="F811" s="11"/>
      <c r="G811" s="11"/>
      <c r="H811" s="11"/>
    </row>
    <row r="812" spans="2:8">
      <c r="B812" s="11"/>
      <c r="C812" s="11"/>
      <c r="D812" s="11"/>
      <c r="E812" s="11"/>
      <c r="F812" s="11"/>
      <c r="G812" s="11"/>
      <c r="H812" s="11"/>
    </row>
    <row r="813" spans="2:8">
      <c r="B813" s="11"/>
      <c r="C813" s="11"/>
      <c r="D813" s="11"/>
      <c r="E813" s="11"/>
      <c r="F813" s="11"/>
      <c r="G813" s="11"/>
      <c r="H813" s="11"/>
    </row>
    <row r="814" spans="2:8">
      <c r="B814" s="11"/>
      <c r="C814" s="11"/>
      <c r="D814" s="11"/>
      <c r="E814" s="11"/>
      <c r="F814" s="11"/>
      <c r="G814" s="11"/>
      <c r="H814" s="11"/>
    </row>
    <row r="815" spans="2:8">
      <c r="B815" s="11"/>
      <c r="C815" s="11"/>
      <c r="D815" s="11"/>
      <c r="E815" s="11"/>
      <c r="F815" s="11"/>
      <c r="G815" s="11"/>
      <c r="H815" s="11"/>
    </row>
    <row r="816" spans="2:8">
      <c r="B816" s="11"/>
      <c r="C816" s="11"/>
      <c r="D816" s="11"/>
      <c r="E816" s="11"/>
      <c r="F816" s="11"/>
      <c r="G816" s="11"/>
      <c r="H816" s="11"/>
    </row>
    <row r="817" spans="2:8">
      <c r="B817" s="11"/>
      <c r="C817" s="11"/>
      <c r="D817" s="11"/>
      <c r="E817" s="11"/>
      <c r="F817" s="11"/>
      <c r="G817" s="11"/>
      <c r="H817" s="11"/>
    </row>
    <row r="818" spans="2:8">
      <c r="B818" s="11"/>
      <c r="C818" s="11"/>
      <c r="D818" s="11"/>
      <c r="E818" s="11"/>
      <c r="F818" s="11"/>
      <c r="G818" s="11"/>
      <c r="H818" s="11"/>
    </row>
    <row r="819" spans="2:8">
      <c r="B819" s="11"/>
      <c r="C819" s="11"/>
      <c r="D819" s="11"/>
      <c r="E819" s="11"/>
      <c r="F819" s="11"/>
      <c r="G819" s="11"/>
      <c r="H819" s="11"/>
    </row>
    <row r="820" spans="2:8">
      <c r="B820" s="11"/>
      <c r="C820" s="11"/>
      <c r="D820" s="11"/>
      <c r="E820" s="11"/>
      <c r="F820" s="11"/>
      <c r="G820" s="11"/>
      <c r="H820" s="11"/>
    </row>
    <row r="821" spans="2:8">
      <c r="B821" s="11"/>
      <c r="C821" s="11"/>
      <c r="D821" s="11"/>
      <c r="E821" s="11"/>
      <c r="F821" s="11"/>
      <c r="G821" s="11"/>
      <c r="H821" s="11"/>
    </row>
    <row r="822" spans="2:8">
      <c r="B822" s="11"/>
      <c r="C822" s="11"/>
      <c r="D822" s="11"/>
      <c r="E822" s="11"/>
      <c r="F822" s="11"/>
      <c r="G822" s="11"/>
      <c r="H822" s="11"/>
    </row>
    <row r="823" spans="2:8">
      <c r="B823" s="11"/>
      <c r="C823" s="11"/>
      <c r="D823" s="11"/>
      <c r="E823" s="11"/>
      <c r="F823" s="11"/>
      <c r="G823" s="11"/>
      <c r="H823" s="11"/>
    </row>
    <row r="824" spans="2:8">
      <c r="B824" s="11"/>
      <c r="C824" s="11"/>
      <c r="D824" s="11"/>
      <c r="E824" s="11"/>
      <c r="F824" s="11"/>
      <c r="G824" s="11"/>
      <c r="H824" s="11"/>
    </row>
    <row r="825" spans="2:8">
      <c r="B825" s="11"/>
      <c r="C825" s="11"/>
      <c r="D825" s="11"/>
      <c r="E825" s="11"/>
      <c r="F825" s="11"/>
      <c r="G825" s="11"/>
      <c r="H825" s="11"/>
    </row>
    <row r="826" spans="2:8">
      <c r="B826" s="11"/>
      <c r="C826" s="11"/>
      <c r="D826" s="11"/>
      <c r="E826" s="11"/>
      <c r="F826" s="11"/>
      <c r="G826" s="11"/>
      <c r="H826" s="11"/>
    </row>
    <row r="827" spans="2:8">
      <c r="B827" s="11"/>
      <c r="C827" s="11"/>
      <c r="D827" s="11"/>
      <c r="E827" s="11"/>
      <c r="F827" s="11"/>
      <c r="G827" s="11"/>
      <c r="H827" s="11"/>
    </row>
    <row r="828" spans="2:8">
      <c r="B828" s="11"/>
      <c r="C828" s="11"/>
      <c r="D828" s="11"/>
      <c r="E828" s="11"/>
      <c r="F828" s="11"/>
      <c r="G828" s="11"/>
      <c r="H828" s="11"/>
    </row>
    <row r="829" spans="2:8">
      <c r="B829" s="11"/>
      <c r="C829" s="11"/>
      <c r="D829" s="11"/>
      <c r="E829" s="11"/>
      <c r="F829" s="11"/>
      <c r="G829" s="11"/>
      <c r="H829" s="11"/>
    </row>
    <row r="830" spans="2:8">
      <c r="B830" s="11"/>
      <c r="C830" s="11"/>
      <c r="D830" s="11"/>
      <c r="E830" s="11"/>
      <c r="F830" s="11"/>
      <c r="G830" s="11"/>
      <c r="H830" s="11"/>
    </row>
    <row r="831" spans="2:8">
      <c r="B831" s="11"/>
      <c r="C831" s="11"/>
      <c r="D831" s="11"/>
      <c r="E831" s="11"/>
      <c r="F831" s="11"/>
      <c r="G831" s="11"/>
      <c r="H831" s="11"/>
    </row>
    <row r="832" spans="2:8">
      <c r="B832" s="11"/>
      <c r="C832" s="11"/>
      <c r="D832" s="11"/>
      <c r="E832" s="11"/>
      <c r="F832" s="11"/>
      <c r="G832" s="11"/>
      <c r="H832" s="11"/>
    </row>
    <row r="833" spans="2:8">
      <c r="B833" s="11"/>
      <c r="C833" s="11"/>
      <c r="D833" s="11"/>
      <c r="E833" s="11"/>
      <c r="F833" s="11"/>
      <c r="G833" s="11"/>
      <c r="H833" s="11"/>
    </row>
    <row r="834" spans="2:8">
      <c r="B834" s="11"/>
      <c r="C834" s="11"/>
      <c r="D834" s="11"/>
      <c r="E834" s="11"/>
      <c r="F834" s="11"/>
      <c r="G834" s="11"/>
      <c r="H834" s="11"/>
    </row>
    <row r="835" spans="2:8">
      <c r="B835" s="11"/>
      <c r="C835" s="11"/>
      <c r="D835" s="11"/>
      <c r="E835" s="11"/>
      <c r="F835" s="11"/>
      <c r="G835" s="11"/>
      <c r="H835" s="11"/>
    </row>
    <row r="836" spans="2:8">
      <c r="B836" s="11"/>
      <c r="C836" s="11"/>
      <c r="D836" s="11"/>
      <c r="E836" s="11"/>
      <c r="F836" s="11"/>
      <c r="G836" s="11"/>
      <c r="H836" s="11"/>
    </row>
    <row r="837" spans="2:8">
      <c r="B837" s="11"/>
      <c r="C837" s="11"/>
      <c r="D837" s="11"/>
      <c r="E837" s="11"/>
      <c r="F837" s="11"/>
      <c r="G837" s="11"/>
      <c r="H837" s="11"/>
    </row>
    <row r="838" spans="2:8">
      <c r="B838" s="11"/>
      <c r="C838" s="11"/>
      <c r="D838" s="11"/>
      <c r="E838" s="11"/>
      <c r="F838" s="11"/>
      <c r="G838" s="11"/>
      <c r="H838" s="11"/>
    </row>
    <row r="839" spans="2:8">
      <c r="B839" s="11"/>
      <c r="C839" s="11"/>
      <c r="D839" s="11"/>
      <c r="E839" s="11"/>
      <c r="F839" s="11"/>
      <c r="G839" s="11"/>
      <c r="H839" s="11"/>
    </row>
    <row r="840" spans="2:8">
      <c r="B840" s="11"/>
      <c r="C840" s="11"/>
      <c r="D840" s="11"/>
      <c r="E840" s="11"/>
      <c r="F840" s="11"/>
      <c r="G840" s="11"/>
      <c r="H840" s="11"/>
    </row>
    <row r="841" spans="2:8">
      <c r="B841" s="11"/>
      <c r="C841" s="11"/>
      <c r="D841" s="11"/>
      <c r="E841" s="11"/>
      <c r="F841" s="11"/>
      <c r="G841" s="11"/>
      <c r="H841" s="11"/>
    </row>
    <row r="842" spans="2:8">
      <c r="B842" s="11"/>
      <c r="C842" s="11"/>
      <c r="D842" s="11"/>
      <c r="E842" s="11"/>
      <c r="F842" s="11"/>
      <c r="G842" s="11"/>
      <c r="H842" s="11"/>
    </row>
    <row r="843" spans="2:8">
      <c r="B843" s="11"/>
      <c r="C843" s="11"/>
      <c r="D843" s="11"/>
      <c r="E843" s="11"/>
      <c r="F843" s="11"/>
      <c r="G843" s="11"/>
      <c r="H843" s="11"/>
    </row>
    <row r="844" spans="2:8">
      <c r="B844" s="11"/>
      <c r="C844" s="11"/>
      <c r="D844" s="11"/>
      <c r="E844" s="11"/>
      <c r="F844" s="11"/>
      <c r="G844" s="11"/>
      <c r="H844" s="11"/>
    </row>
    <row r="845" spans="2:8">
      <c r="B845" s="11"/>
      <c r="C845" s="11"/>
      <c r="D845" s="11"/>
      <c r="E845" s="11"/>
      <c r="F845" s="11"/>
      <c r="G845" s="11"/>
      <c r="H845" s="11"/>
    </row>
    <row r="846" spans="2:8">
      <c r="B846" s="11"/>
      <c r="C846" s="11"/>
      <c r="D846" s="11"/>
      <c r="E846" s="11"/>
      <c r="F846" s="11"/>
      <c r="G846" s="11"/>
      <c r="H846" s="11"/>
    </row>
    <row r="847" spans="2:8">
      <c r="B847" s="11"/>
      <c r="C847" s="11"/>
      <c r="D847" s="11"/>
      <c r="E847" s="11"/>
      <c r="F847" s="11"/>
      <c r="G847" s="11"/>
      <c r="H847" s="11"/>
    </row>
    <row r="848" spans="2:8">
      <c r="B848" s="11"/>
      <c r="C848" s="11"/>
      <c r="D848" s="11"/>
      <c r="E848" s="11"/>
      <c r="F848" s="11"/>
      <c r="G848" s="11"/>
      <c r="H848" s="11"/>
    </row>
    <row r="849" spans="2:8">
      <c r="B849" s="11"/>
      <c r="C849" s="11"/>
      <c r="D849" s="11"/>
      <c r="E849" s="11"/>
      <c r="F849" s="11"/>
      <c r="G849" s="11"/>
      <c r="H849" s="11"/>
    </row>
    <row r="850" spans="2:8">
      <c r="B850" s="11"/>
      <c r="C850" s="11"/>
      <c r="D850" s="11"/>
      <c r="E850" s="11"/>
      <c r="F850" s="11"/>
      <c r="G850" s="11"/>
      <c r="H850" s="11"/>
    </row>
    <row r="851" spans="2:8">
      <c r="B851" s="11"/>
      <c r="C851" s="11"/>
      <c r="D851" s="11"/>
      <c r="E851" s="11"/>
      <c r="F851" s="11"/>
      <c r="G851" s="11"/>
      <c r="H851" s="11"/>
    </row>
    <row r="852" spans="2:8">
      <c r="B852" s="11"/>
      <c r="C852" s="11"/>
      <c r="D852" s="11"/>
      <c r="E852" s="11"/>
      <c r="F852" s="11"/>
      <c r="G852" s="11"/>
      <c r="H852" s="11"/>
    </row>
    <row r="853" spans="2:8">
      <c r="B853" s="11"/>
      <c r="C853" s="11"/>
      <c r="D853" s="11"/>
      <c r="E853" s="11"/>
      <c r="F853" s="11"/>
      <c r="G853" s="11"/>
      <c r="H853" s="11"/>
    </row>
    <row r="854" spans="2:8">
      <c r="B854" s="11"/>
      <c r="C854" s="11"/>
      <c r="D854" s="11"/>
      <c r="E854" s="11"/>
      <c r="F854" s="11"/>
      <c r="G854" s="11"/>
      <c r="H854" s="11"/>
    </row>
    <row r="855" spans="2:8">
      <c r="B855" s="11"/>
      <c r="C855" s="11"/>
      <c r="D855" s="11"/>
      <c r="E855" s="11"/>
      <c r="F855" s="11"/>
      <c r="G855" s="11"/>
      <c r="H855" s="11"/>
    </row>
    <row r="856" spans="2:8">
      <c r="B856" s="11"/>
      <c r="C856" s="11"/>
      <c r="D856" s="11"/>
      <c r="E856" s="11"/>
      <c r="F856" s="11"/>
      <c r="G856" s="11"/>
      <c r="H856" s="11"/>
    </row>
    <row r="857" spans="2:8">
      <c r="B857" s="11"/>
      <c r="C857" s="11"/>
      <c r="D857" s="11"/>
      <c r="E857" s="11"/>
      <c r="F857" s="11"/>
      <c r="G857" s="11"/>
      <c r="H857" s="11"/>
    </row>
    <row r="858" spans="2:8">
      <c r="B858" s="11"/>
      <c r="C858" s="11"/>
      <c r="D858" s="11"/>
      <c r="E858" s="11"/>
      <c r="F858" s="11"/>
      <c r="G858" s="11"/>
      <c r="H858" s="11"/>
    </row>
    <row r="859" spans="2:8">
      <c r="B859" s="11"/>
      <c r="C859" s="11"/>
      <c r="D859" s="11"/>
      <c r="E859" s="11"/>
      <c r="F859" s="11"/>
      <c r="G859" s="11"/>
      <c r="H859" s="11"/>
    </row>
    <row r="860" spans="2:8">
      <c r="B860" s="11"/>
      <c r="C860" s="11"/>
      <c r="D860" s="11"/>
      <c r="E860" s="11"/>
      <c r="F860" s="11"/>
      <c r="G860" s="11"/>
      <c r="H860" s="11"/>
    </row>
    <row r="861" spans="2:8">
      <c r="B861" s="11"/>
      <c r="C861" s="11"/>
      <c r="D861" s="11"/>
      <c r="E861" s="11"/>
      <c r="F861" s="11"/>
      <c r="G861" s="11"/>
      <c r="H861" s="11"/>
    </row>
    <row r="862" spans="2:8">
      <c r="B862" s="11"/>
      <c r="C862" s="11"/>
      <c r="D862" s="11"/>
      <c r="E862" s="11"/>
      <c r="F862" s="11"/>
      <c r="G862" s="11"/>
      <c r="H862" s="11"/>
    </row>
    <row r="863" spans="2:8">
      <c r="B863" s="11"/>
      <c r="C863" s="11"/>
      <c r="D863" s="11"/>
      <c r="E863" s="11"/>
      <c r="F863" s="11"/>
      <c r="G863" s="11"/>
      <c r="H863" s="11"/>
    </row>
    <row r="864" spans="2:8">
      <c r="B864" s="11"/>
      <c r="C864" s="11"/>
      <c r="D864" s="11"/>
      <c r="E864" s="11"/>
      <c r="F864" s="11"/>
      <c r="G864" s="11"/>
      <c r="H864" s="11"/>
    </row>
    <row r="865" spans="2:8">
      <c r="B865" s="11"/>
      <c r="C865" s="11"/>
      <c r="D865" s="11"/>
      <c r="E865" s="11"/>
      <c r="F865" s="11"/>
      <c r="G865" s="11"/>
      <c r="H865" s="11"/>
    </row>
    <row r="866" spans="2:8">
      <c r="B866" s="11"/>
      <c r="C866" s="11"/>
      <c r="D866" s="11"/>
      <c r="E866" s="11"/>
      <c r="F866" s="11"/>
      <c r="G866" s="11"/>
      <c r="H866" s="11"/>
    </row>
    <row r="867" spans="2:8">
      <c r="B867" s="11"/>
      <c r="C867" s="11"/>
      <c r="D867" s="11"/>
      <c r="E867" s="11"/>
      <c r="F867" s="11"/>
      <c r="G867" s="11"/>
      <c r="H867" s="11"/>
    </row>
    <row r="868" spans="2:8">
      <c r="B868" s="11"/>
      <c r="C868" s="11"/>
      <c r="D868" s="11"/>
      <c r="E868" s="11"/>
      <c r="F868" s="11"/>
      <c r="G868" s="11"/>
      <c r="H868" s="11"/>
    </row>
    <row r="869" spans="2:8">
      <c r="B869" s="11"/>
      <c r="C869" s="11"/>
      <c r="D869" s="11"/>
      <c r="E869" s="11"/>
      <c r="F869" s="11"/>
      <c r="G869" s="11"/>
      <c r="H869" s="11"/>
    </row>
    <row r="870" spans="2:8">
      <c r="B870" s="11"/>
      <c r="C870" s="11"/>
      <c r="D870" s="11"/>
      <c r="E870" s="11"/>
      <c r="F870" s="11"/>
      <c r="G870" s="11"/>
      <c r="H870" s="11"/>
    </row>
    <row r="871" spans="2:8">
      <c r="B871" s="11"/>
      <c r="C871" s="11"/>
      <c r="D871" s="11"/>
      <c r="E871" s="11"/>
      <c r="F871" s="11"/>
      <c r="G871" s="11"/>
      <c r="H871" s="11"/>
    </row>
    <row r="872" spans="2:8">
      <c r="B872" s="11"/>
      <c r="C872" s="11"/>
      <c r="D872" s="11"/>
      <c r="E872" s="11"/>
      <c r="F872" s="11"/>
      <c r="G872" s="11"/>
      <c r="H872" s="11"/>
    </row>
    <row r="873" spans="2:8">
      <c r="B873" s="11"/>
      <c r="C873" s="11"/>
      <c r="D873" s="11"/>
      <c r="E873" s="11"/>
      <c r="F873" s="11"/>
      <c r="G873" s="11"/>
      <c r="H873" s="11"/>
    </row>
    <row r="874" spans="2:8">
      <c r="B874" s="11"/>
      <c r="C874" s="11"/>
      <c r="D874" s="11"/>
      <c r="E874" s="11"/>
      <c r="F874" s="11"/>
      <c r="G874" s="11"/>
      <c r="H874" s="11"/>
    </row>
    <row r="875" spans="2:8">
      <c r="B875" s="11"/>
      <c r="C875" s="11"/>
      <c r="D875" s="11"/>
      <c r="E875" s="11"/>
      <c r="F875" s="11"/>
      <c r="G875" s="11"/>
      <c r="H875" s="11"/>
    </row>
    <row r="876" spans="2:8">
      <c r="B876" s="11"/>
      <c r="C876" s="11"/>
      <c r="D876" s="11"/>
      <c r="E876" s="11"/>
      <c r="F876" s="11"/>
      <c r="G876" s="11"/>
      <c r="H876" s="11"/>
    </row>
    <row r="877" spans="2:8">
      <c r="B877" s="11"/>
      <c r="C877" s="11"/>
      <c r="D877" s="11"/>
      <c r="E877" s="11"/>
      <c r="F877" s="11"/>
      <c r="G877" s="11"/>
      <c r="H877" s="11"/>
    </row>
    <row r="878" spans="2:8">
      <c r="B878" s="11"/>
      <c r="C878" s="11"/>
      <c r="D878" s="11"/>
      <c r="E878" s="11"/>
      <c r="F878" s="11"/>
      <c r="G878" s="11"/>
      <c r="H878" s="11"/>
    </row>
    <row r="879" spans="2:8">
      <c r="B879" s="11"/>
      <c r="C879" s="11"/>
      <c r="D879" s="11"/>
      <c r="E879" s="11"/>
      <c r="F879" s="11"/>
      <c r="G879" s="11"/>
      <c r="H879" s="11"/>
    </row>
    <row r="880" spans="2:8">
      <c r="B880" s="11"/>
      <c r="C880" s="11"/>
      <c r="D880" s="11"/>
      <c r="E880" s="11"/>
      <c r="F880" s="11"/>
      <c r="G880" s="11"/>
      <c r="H880" s="11"/>
    </row>
    <row r="881" spans="2:8">
      <c r="B881" s="11"/>
      <c r="C881" s="11"/>
      <c r="D881" s="11"/>
      <c r="E881" s="11"/>
      <c r="F881" s="11"/>
      <c r="G881" s="11"/>
      <c r="H881" s="11"/>
    </row>
    <row r="882" spans="2:8">
      <c r="B882" s="11"/>
      <c r="C882" s="11"/>
      <c r="D882" s="11"/>
      <c r="E882" s="11"/>
      <c r="F882" s="11"/>
      <c r="G882" s="11"/>
      <c r="H882" s="11"/>
    </row>
    <row r="883" spans="2:8">
      <c r="B883" s="11"/>
      <c r="C883" s="11"/>
      <c r="D883" s="11"/>
      <c r="E883" s="11"/>
      <c r="F883" s="11"/>
      <c r="G883" s="11"/>
      <c r="H883" s="11"/>
    </row>
    <row r="884" spans="2:8">
      <c r="B884" s="11"/>
      <c r="C884" s="11"/>
      <c r="D884" s="11"/>
      <c r="E884" s="11"/>
      <c r="F884" s="11"/>
      <c r="G884" s="11"/>
      <c r="H884" s="11"/>
    </row>
    <row r="885" spans="2:8">
      <c r="B885" s="11"/>
      <c r="C885" s="11"/>
      <c r="D885" s="11"/>
      <c r="E885" s="11"/>
      <c r="F885" s="11"/>
      <c r="G885" s="11"/>
      <c r="H885" s="11"/>
    </row>
    <row r="886" spans="2:8">
      <c r="B886" s="11"/>
      <c r="C886" s="11"/>
      <c r="D886" s="11"/>
      <c r="E886" s="11"/>
      <c r="F886" s="11"/>
      <c r="G886" s="11"/>
      <c r="H886" s="11"/>
    </row>
    <row r="887" spans="2:8">
      <c r="B887" s="11"/>
      <c r="C887" s="11"/>
      <c r="D887" s="11"/>
      <c r="E887" s="11"/>
      <c r="F887" s="11"/>
      <c r="G887" s="11"/>
      <c r="H887" s="11"/>
    </row>
    <row r="888" spans="2:8">
      <c r="B888" s="11"/>
      <c r="C888" s="11"/>
      <c r="D888" s="11"/>
      <c r="E888" s="11"/>
      <c r="F888" s="11"/>
      <c r="G888" s="11"/>
      <c r="H888" s="11"/>
    </row>
    <row r="889" spans="2:8">
      <c r="B889" s="11"/>
      <c r="C889" s="11"/>
      <c r="D889" s="11"/>
      <c r="E889" s="11"/>
      <c r="F889" s="11"/>
      <c r="G889" s="11"/>
      <c r="H889" s="11"/>
    </row>
    <row r="890" spans="2:8">
      <c r="B890" s="11"/>
      <c r="C890" s="11"/>
      <c r="D890" s="11"/>
      <c r="E890" s="11"/>
      <c r="F890" s="11"/>
      <c r="G890" s="11"/>
      <c r="H890" s="11"/>
    </row>
    <row r="891" spans="2:8">
      <c r="B891" s="11"/>
      <c r="C891" s="11"/>
      <c r="D891" s="11"/>
      <c r="E891" s="11"/>
      <c r="F891" s="11"/>
      <c r="G891" s="11"/>
      <c r="H891" s="11"/>
    </row>
    <row r="892" spans="2:8">
      <c r="B892" s="11"/>
      <c r="C892" s="11"/>
      <c r="D892" s="11"/>
      <c r="E892" s="11"/>
      <c r="F892" s="11"/>
      <c r="G892" s="11"/>
      <c r="H892" s="11"/>
    </row>
    <row r="893" spans="2:8">
      <c r="B893" s="11"/>
      <c r="C893" s="11"/>
      <c r="D893" s="11"/>
      <c r="E893" s="11"/>
      <c r="F893" s="11"/>
      <c r="G893" s="11"/>
      <c r="H893" s="11"/>
    </row>
    <row r="894" spans="2:8">
      <c r="B894" s="11"/>
      <c r="C894" s="11"/>
      <c r="D894" s="11"/>
      <c r="E894" s="11"/>
      <c r="F894" s="11"/>
      <c r="G894" s="11"/>
      <c r="H894" s="11"/>
    </row>
    <row r="895" spans="2:8">
      <c r="B895" s="11"/>
      <c r="C895" s="11"/>
      <c r="D895" s="11"/>
      <c r="E895" s="11"/>
      <c r="F895" s="11"/>
      <c r="G895" s="11"/>
      <c r="H895" s="11"/>
    </row>
    <row r="896" spans="2:8">
      <c r="B896" s="11"/>
      <c r="C896" s="11"/>
      <c r="D896" s="11"/>
      <c r="E896" s="11"/>
      <c r="F896" s="11"/>
      <c r="G896" s="11"/>
      <c r="H896" s="11"/>
    </row>
    <row r="897" spans="2:8">
      <c r="B897" s="11"/>
      <c r="C897" s="11"/>
      <c r="D897" s="11"/>
      <c r="E897" s="11"/>
      <c r="F897" s="11"/>
      <c r="G897" s="11"/>
      <c r="H897" s="11"/>
    </row>
    <row r="898" spans="2:8">
      <c r="B898" s="11"/>
      <c r="C898" s="11"/>
      <c r="D898" s="11"/>
      <c r="E898" s="11"/>
      <c r="F898" s="11"/>
      <c r="G898" s="11"/>
      <c r="H898" s="11"/>
    </row>
    <row r="899" spans="2:8">
      <c r="B899" s="11"/>
      <c r="C899" s="11"/>
      <c r="D899" s="11"/>
      <c r="E899" s="11"/>
      <c r="F899" s="11"/>
      <c r="G899" s="11"/>
      <c r="H899" s="11"/>
    </row>
    <row r="900" spans="2:8">
      <c r="B900" s="11"/>
      <c r="C900" s="11"/>
      <c r="D900" s="11"/>
      <c r="E900" s="11"/>
      <c r="F900" s="11"/>
      <c r="G900" s="11"/>
      <c r="H900" s="11"/>
    </row>
    <row r="901" spans="2:8">
      <c r="B901" s="11"/>
      <c r="C901" s="11"/>
      <c r="D901" s="11"/>
      <c r="E901" s="11"/>
      <c r="F901" s="11"/>
      <c r="G901" s="11"/>
      <c r="H901" s="11"/>
    </row>
    <row r="902" spans="2:8">
      <c r="B902" s="11"/>
      <c r="C902" s="11"/>
      <c r="D902" s="11"/>
      <c r="E902" s="11"/>
      <c r="F902" s="11"/>
      <c r="G902" s="11"/>
      <c r="H902" s="11"/>
    </row>
    <row r="903" spans="2:8">
      <c r="B903" s="11"/>
      <c r="C903" s="11"/>
      <c r="D903" s="11"/>
      <c r="E903" s="11"/>
      <c r="F903" s="11"/>
      <c r="G903" s="11"/>
      <c r="H903" s="11"/>
    </row>
    <row r="904" spans="2:8">
      <c r="B904" s="11"/>
      <c r="C904" s="11"/>
      <c r="D904" s="11"/>
      <c r="E904" s="11"/>
      <c r="F904" s="11"/>
      <c r="G904" s="11"/>
      <c r="H904" s="11"/>
    </row>
    <row r="905" spans="2:8">
      <c r="B905" s="11"/>
      <c r="C905" s="11"/>
      <c r="D905" s="11"/>
      <c r="E905" s="11"/>
      <c r="F905" s="11"/>
      <c r="G905" s="11"/>
      <c r="H905" s="11"/>
    </row>
    <row r="906" spans="2:8">
      <c r="B906" s="11"/>
      <c r="C906" s="11"/>
      <c r="D906" s="11"/>
      <c r="E906" s="11"/>
      <c r="F906" s="11"/>
      <c r="G906" s="11"/>
      <c r="H906" s="11"/>
    </row>
    <row r="907" spans="2:8">
      <c r="B907" s="11"/>
      <c r="C907" s="11"/>
      <c r="D907" s="11"/>
      <c r="E907" s="11"/>
      <c r="F907" s="11"/>
      <c r="G907" s="11"/>
      <c r="H907" s="11"/>
    </row>
    <row r="908" spans="2:8">
      <c r="B908" s="11"/>
      <c r="C908" s="11"/>
      <c r="D908" s="11"/>
      <c r="E908" s="11"/>
      <c r="F908" s="11"/>
      <c r="G908" s="11"/>
      <c r="H908" s="11"/>
    </row>
    <row r="909" spans="2:8">
      <c r="B909" s="11"/>
      <c r="C909" s="11"/>
      <c r="D909" s="11"/>
      <c r="E909" s="11"/>
      <c r="F909" s="11"/>
      <c r="G909" s="11"/>
      <c r="H909" s="11"/>
    </row>
    <row r="910" spans="2:8">
      <c r="B910" s="11"/>
      <c r="C910" s="11"/>
      <c r="D910" s="11"/>
      <c r="E910" s="11"/>
      <c r="F910" s="11"/>
      <c r="G910" s="11"/>
      <c r="H910" s="11"/>
    </row>
    <row r="911" spans="2:8">
      <c r="B911" s="11"/>
      <c r="C911" s="11"/>
      <c r="D911" s="11"/>
      <c r="E911" s="11"/>
      <c r="F911" s="11"/>
      <c r="G911" s="11"/>
      <c r="H911" s="11"/>
    </row>
    <row r="912" spans="2:8">
      <c r="B912" s="11"/>
      <c r="C912" s="11"/>
      <c r="D912" s="11"/>
      <c r="E912" s="11"/>
      <c r="F912" s="11"/>
      <c r="G912" s="11"/>
      <c r="H912" s="11"/>
    </row>
    <row r="913" spans="2:8">
      <c r="B913" s="11"/>
      <c r="C913" s="11"/>
      <c r="D913" s="11"/>
      <c r="E913" s="11"/>
      <c r="F913" s="11"/>
      <c r="G913" s="11"/>
      <c r="H913" s="11"/>
    </row>
    <row r="914" spans="2:8">
      <c r="B914" s="11"/>
      <c r="C914" s="11"/>
      <c r="D914" s="11"/>
      <c r="E914" s="11"/>
      <c r="F914" s="11"/>
      <c r="G914" s="11"/>
      <c r="H914" s="11"/>
    </row>
    <row r="915" spans="2:8">
      <c r="B915" s="11"/>
      <c r="C915" s="11"/>
      <c r="D915" s="11"/>
      <c r="E915" s="11"/>
      <c r="F915" s="11"/>
      <c r="G915" s="11"/>
      <c r="H915" s="11"/>
    </row>
    <row r="916" spans="2:8">
      <c r="B916" s="11"/>
      <c r="C916" s="11"/>
      <c r="D916" s="11"/>
      <c r="E916" s="11"/>
      <c r="F916" s="11"/>
      <c r="G916" s="11"/>
      <c r="H916" s="11"/>
    </row>
    <row r="917" spans="2:8">
      <c r="B917" s="11"/>
      <c r="C917" s="11"/>
      <c r="D917" s="11"/>
      <c r="E917" s="11"/>
      <c r="F917" s="11"/>
      <c r="G917" s="11"/>
      <c r="H917" s="11"/>
    </row>
    <row r="918" spans="2:8">
      <c r="B918" s="11"/>
      <c r="C918" s="11"/>
      <c r="D918" s="11"/>
      <c r="E918" s="11"/>
      <c r="F918" s="11"/>
      <c r="G918" s="11"/>
      <c r="H918" s="11"/>
    </row>
    <row r="919" spans="2:8">
      <c r="B919" s="11"/>
      <c r="C919" s="11"/>
      <c r="D919" s="11"/>
      <c r="E919" s="11"/>
      <c r="F919" s="11"/>
      <c r="G919" s="11"/>
      <c r="H919" s="11"/>
    </row>
    <row r="920" spans="2:8">
      <c r="B920" s="11"/>
      <c r="C920" s="11"/>
      <c r="D920" s="11"/>
      <c r="E920" s="11"/>
      <c r="F920" s="11"/>
      <c r="G920" s="11"/>
      <c r="H920" s="11"/>
    </row>
    <row r="921" spans="2:8">
      <c r="B921" s="11"/>
      <c r="C921" s="11"/>
      <c r="D921" s="11"/>
      <c r="E921" s="11"/>
      <c r="F921" s="11"/>
      <c r="G921" s="11"/>
      <c r="H921" s="11"/>
    </row>
    <row r="922" spans="2:8">
      <c r="B922" s="11"/>
      <c r="C922" s="11"/>
      <c r="D922" s="11"/>
      <c r="E922" s="11"/>
      <c r="F922" s="11"/>
      <c r="G922" s="11"/>
      <c r="H922" s="11"/>
    </row>
    <row r="923" spans="2:8">
      <c r="B923" s="11"/>
      <c r="C923" s="11"/>
      <c r="D923" s="11"/>
      <c r="E923" s="11"/>
      <c r="F923" s="11"/>
      <c r="G923" s="11"/>
      <c r="H923" s="11"/>
    </row>
    <row r="924" spans="2:8">
      <c r="B924" s="11"/>
      <c r="C924" s="11"/>
      <c r="D924" s="11"/>
      <c r="E924" s="11"/>
      <c r="F924" s="11"/>
      <c r="G924" s="11"/>
      <c r="H924" s="11"/>
    </row>
    <row r="925" spans="2:8">
      <c r="B925" s="11"/>
      <c r="C925" s="11"/>
      <c r="D925" s="11"/>
      <c r="E925" s="11"/>
      <c r="F925" s="11"/>
      <c r="G925" s="11"/>
      <c r="H925" s="11"/>
    </row>
    <row r="926" spans="2:8">
      <c r="B926" s="11"/>
      <c r="C926" s="11"/>
      <c r="D926" s="11"/>
      <c r="E926" s="11"/>
      <c r="F926" s="11"/>
      <c r="G926" s="11"/>
      <c r="H926" s="11"/>
    </row>
    <row r="927" spans="2:8">
      <c r="B927" s="11"/>
      <c r="C927" s="11"/>
      <c r="D927" s="11"/>
      <c r="E927" s="11"/>
      <c r="F927" s="11"/>
      <c r="G927" s="11"/>
      <c r="H927" s="11"/>
    </row>
    <row r="928" spans="2:8">
      <c r="B928" s="11"/>
      <c r="C928" s="11"/>
      <c r="D928" s="11"/>
      <c r="E928" s="11"/>
      <c r="F928" s="11"/>
      <c r="G928" s="11"/>
      <c r="H928" s="11"/>
    </row>
    <row r="929" spans="2:8">
      <c r="B929" s="11"/>
      <c r="C929" s="11"/>
      <c r="D929" s="11"/>
      <c r="E929" s="11"/>
      <c r="F929" s="11"/>
      <c r="G929" s="11"/>
      <c r="H929" s="11"/>
    </row>
    <row r="930" spans="2:8">
      <c r="B930" s="11"/>
      <c r="C930" s="11"/>
      <c r="D930" s="11"/>
      <c r="E930" s="11"/>
      <c r="F930" s="11"/>
      <c r="G930" s="11"/>
      <c r="H930" s="11"/>
    </row>
    <row r="931" spans="2:8">
      <c r="B931" s="11"/>
      <c r="C931" s="11"/>
      <c r="D931" s="11"/>
      <c r="E931" s="11"/>
      <c r="F931" s="11"/>
      <c r="G931" s="11"/>
      <c r="H931" s="11"/>
    </row>
    <row r="932" spans="2:8">
      <c r="B932" s="11"/>
      <c r="C932" s="11"/>
      <c r="D932" s="11"/>
      <c r="E932" s="11"/>
      <c r="F932" s="11"/>
      <c r="G932" s="11"/>
      <c r="H932" s="11"/>
    </row>
    <row r="933" spans="2:8">
      <c r="B933" s="11"/>
      <c r="C933" s="11"/>
      <c r="D933" s="11"/>
      <c r="E933" s="11"/>
      <c r="F933" s="11"/>
      <c r="G933" s="11"/>
      <c r="H933" s="11"/>
    </row>
    <row r="934" spans="2:8">
      <c r="B934" s="11"/>
      <c r="C934" s="11"/>
      <c r="D934" s="11"/>
      <c r="E934" s="11"/>
      <c r="F934" s="11"/>
      <c r="G934" s="11"/>
      <c r="H934" s="11"/>
    </row>
    <row r="935" spans="2:8">
      <c r="B935" s="11"/>
      <c r="C935" s="11"/>
      <c r="D935" s="11"/>
      <c r="E935" s="11"/>
      <c r="F935" s="11"/>
      <c r="G935" s="11"/>
      <c r="H935" s="11"/>
    </row>
    <row r="936" spans="2:8">
      <c r="B936" s="11"/>
      <c r="C936" s="11"/>
      <c r="D936" s="11"/>
      <c r="E936" s="11"/>
      <c r="F936" s="11"/>
      <c r="G936" s="11"/>
      <c r="H936" s="11"/>
    </row>
    <row r="937" spans="2:8">
      <c r="B937" s="11"/>
      <c r="C937" s="11"/>
      <c r="D937" s="11"/>
      <c r="E937" s="11"/>
      <c r="F937" s="11"/>
      <c r="G937" s="11"/>
      <c r="H937" s="11"/>
    </row>
    <row r="938" spans="2:8">
      <c r="B938" s="11"/>
      <c r="C938" s="11"/>
      <c r="D938" s="11"/>
      <c r="E938" s="11"/>
      <c r="F938" s="11"/>
      <c r="G938" s="11"/>
      <c r="H938" s="11"/>
    </row>
    <row r="939" spans="2:8">
      <c r="B939" s="11"/>
      <c r="C939" s="11"/>
      <c r="D939" s="11"/>
      <c r="E939" s="11"/>
      <c r="F939" s="11"/>
      <c r="G939" s="11"/>
      <c r="H939" s="11"/>
    </row>
    <row r="940" spans="2:8">
      <c r="B940" s="11"/>
      <c r="C940" s="11"/>
      <c r="D940" s="11"/>
      <c r="E940" s="11"/>
      <c r="F940" s="11"/>
      <c r="G940" s="11"/>
      <c r="H940" s="11"/>
    </row>
    <row r="941" spans="2:8">
      <c r="B941" s="11"/>
      <c r="C941" s="11"/>
      <c r="D941" s="11"/>
      <c r="E941" s="11"/>
      <c r="F941" s="11"/>
      <c r="G941" s="11"/>
      <c r="H941" s="11"/>
    </row>
    <row r="942" spans="2:8">
      <c r="B942" s="11"/>
      <c r="C942" s="11"/>
      <c r="D942" s="11"/>
      <c r="E942" s="11"/>
      <c r="F942" s="11"/>
      <c r="G942" s="11"/>
      <c r="H942" s="11"/>
    </row>
    <row r="943" spans="2:8">
      <c r="B943" s="11"/>
      <c r="C943" s="11"/>
      <c r="D943" s="11"/>
      <c r="E943" s="11"/>
      <c r="F943" s="11"/>
      <c r="G943" s="11"/>
      <c r="H943" s="11"/>
    </row>
    <row r="944" spans="2:8">
      <c r="B944" s="11"/>
      <c r="C944" s="11"/>
      <c r="D944" s="11"/>
      <c r="E944" s="11"/>
      <c r="F944" s="11"/>
      <c r="G944" s="11"/>
      <c r="H944" s="11"/>
    </row>
    <row r="945" spans="2:8">
      <c r="B945" s="11"/>
      <c r="C945" s="11"/>
      <c r="D945" s="11"/>
      <c r="E945" s="11"/>
      <c r="F945" s="11"/>
      <c r="G945" s="11"/>
      <c r="H945" s="11"/>
    </row>
    <row r="946" spans="2:8">
      <c r="B946" s="11"/>
      <c r="C946" s="11"/>
      <c r="D946" s="11"/>
      <c r="E946" s="11"/>
      <c r="F946" s="11"/>
      <c r="G946" s="11"/>
      <c r="H946" s="11"/>
    </row>
    <row r="947" spans="2:8">
      <c r="B947" s="11"/>
      <c r="C947" s="11"/>
      <c r="D947" s="11"/>
      <c r="E947" s="11"/>
      <c r="F947" s="11"/>
      <c r="G947" s="11"/>
      <c r="H947" s="11"/>
    </row>
    <row r="948" spans="2:8">
      <c r="B948" s="11"/>
      <c r="C948" s="11"/>
      <c r="D948" s="11"/>
      <c r="E948" s="11"/>
      <c r="F948" s="11"/>
      <c r="G948" s="11"/>
      <c r="H948" s="11"/>
    </row>
    <row r="949" spans="2:8">
      <c r="B949" s="11"/>
      <c r="C949" s="11"/>
      <c r="D949" s="11"/>
      <c r="E949" s="11"/>
      <c r="F949" s="11"/>
      <c r="G949" s="11"/>
      <c r="H949" s="11"/>
    </row>
    <row r="950" spans="2:8">
      <c r="B950" s="11"/>
      <c r="C950" s="11"/>
      <c r="D950" s="11"/>
      <c r="E950" s="11"/>
      <c r="F950" s="11"/>
      <c r="G950" s="11"/>
      <c r="H950" s="11"/>
    </row>
    <row r="951" spans="2:8">
      <c r="B951" s="11"/>
      <c r="C951" s="11"/>
      <c r="D951" s="11"/>
      <c r="E951" s="11"/>
      <c r="F951" s="11"/>
      <c r="G951" s="11"/>
      <c r="H951" s="11"/>
    </row>
    <row r="952" spans="2:8">
      <c r="B952" s="11"/>
      <c r="C952" s="11"/>
      <c r="D952" s="11"/>
      <c r="E952" s="11"/>
      <c r="F952" s="11"/>
      <c r="G952" s="11"/>
      <c r="H952" s="11"/>
    </row>
    <row r="953" spans="2:8">
      <c r="B953" s="11"/>
      <c r="C953" s="11"/>
      <c r="D953" s="11"/>
      <c r="E953" s="11"/>
      <c r="F953" s="11"/>
      <c r="G953" s="11"/>
      <c r="H953" s="11"/>
    </row>
    <row r="954" spans="2:8">
      <c r="B954" s="11"/>
      <c r="C954" s="11"/>
      <c r="D954" s="11"/>
      <c r="E954" s="11"/>
      <c r="F954" s="11"/>
      <c r="G954" s="11"/>
      <c r="H954" s="11"/>
    </row>
    <row r="955" spans="2:8">
      <c r="B955" s="11"/>
      <c r="C955" s="11"/>
      <c r="D955" s="11"/>
      <c r="E955" s="11"/>
      <c r="F955" s="11"/>
      <c r="G955" s="11"/>
      <c r="H955" s="11"/>
    </row>
    <row r="956" spans="2:8">
      <c r="B956" s="11"/>
      <c r="C956" s="11"/>
      <c r="D956" s="11"/>
      <c r="E956" s="11"/>
      <c r="F956" s="11"/>
      <c r="G956" s="11"/>
      <c r="H956" s="11"/>
    </row>
    <row r="957" spans="2:8">
      <c r="B957" s="11"/>
      <c r="C957" s="11"/>
      <c r="D957" s="11"/>
      <c r="E957" s="11"/>
      <c r="F957" s="11"/>
      <c r="G957" s="11"/>
      <c r="H957" s="11"/>
    </row>
    <row r="958" spans="2:8">
      <c r="B958" s="11"/>
      <c r="C958" s="11"/>
      <c r="D958" s="11"/>
      <c r="E958" s="11"/>
      <c r="F958" s="11"/>
      <c r="G958" s="11"/>
      <c r="H958" s="11"/>
    </row>
    <row r="959" spans="2:8">
      <c r="B959" s="11"/>
      <c r="C959" s="11"/>
      <c r="D959" s="11"/>
      <c r="E959" s="11"/>
      <c r="F959" s="11"/>
      <c r="G959" s="11"/>
      <c r="H959" s="11"/>
    </row>
    <row r="960" spans="2:8">
      <c r="B960" s="11"/>
      <c r="C960" s="11"/>
      <c r="D960" s="11"/>
      <c r="E960" s="11"/>
      <c r="F960" s="11"/>
      <c r="G960" s="11"/>
      <c r="H960" s="11"/>
    </row>
    <row r="961" spans="2:8">
      <c r="B961" s="11"/>
      <c r="C961" s="11"/>
      <c r="D961" s="11"/>
      <c r="E961" s="11"/>
      <c r="F961" s="11"/>
      <c r="G961" s="11"/>
      <c r="H961" s="11"/>
    </row>
    <row r="962" spans="2:8">
      <c r="B962" s="11"/>
      <c r="C962" s="11"/>
      <c r="D962" s="11"/>
      <c r="E962" s="11"/>
      <c r="F962" s="11"/>
      <c r="G962" s="11"/>
      <c r="H962" s="11"/>
    </row>
    <row r="963" spans="2:8">
      <c r="B963" s="11"/>
      <c r="C963" s="11"/>
      <c r="D963" s="11"/>
      <c r="E963" s="11"/>
      <c r="F963" s="11"/>
      <c r="G963" s="11"/>
      <c r="H963" s="11"/>
    </row>
    <row r="964" spans="2:8">
      <c r="B964" s="11"/>
      <c r="C964" s="11"/>
      <c r="D964" s="11"/>
      <c r="E964" s="11"/>
      <c r="F964" s="11"/>
      <c r="G964" s="11"/>
      <c r="H964" s="11"/>
    </row>
    <row r="965" spans="2:8">
      <c r="B965" s="11"/>
      <c r="C965" s="11"/>
      <c r="D965" s="11"/>
      <c r="E965" s="11"/>
      <c r="F965" s="11"/>
      <c r="G965" s="11"/>
      <c r="H965" s="11"/>
    </row>
    <row r="966" spans="2:8">
      <c r="B966" s="11"/>
      <c r="C966" s="11"/>
      <c r="D966" s="11"/>
      <c r="E966" s="11"/>
      <c r="F966" s="11"/>
      <c r="G966" s="11"/>
      <c r="H966" s="11"/>
    </row>
    <row r="967" spans="2:8">
      <c r="B967" s="11"/>
      <c r="C967" s="11"/>
      <c r="D967" s="11"/>
      <c r="E967" s="11"/>
      <c r="F967" s="11"/>
      <c r="G967" s="11"/>
      <c r="H967" s="11"/>
    </row>
    <row r="968" spans="2:8">
      <c r="B968" s="11"/>
      <c r="C968" s="11"/>
      <c r="D968" s="11"/>
      <c r="E968" s="11"/>
      <c r="F968" s="11"/>
      <c r="G968" s="11"/>
      <c r="H968" s="11"/>
    </row>
    <row r="969" spans="2:8">
      <c r="B969" s="11"/>
      <c r="C969" s="11"/>
      <c r="D969" s="11"/>
      <c r="E969" s="11"/>
      <c r="F969" s="11"/>
      <c r="G969" s="11"/>
      <c r="H969" s="11"/>
    </row>
    <row r="970" spans="2:8">
      <c r="B970" s="11"/>
      <c r="C970" s="11"/>
      <c r="D970" s="11"/>
      <c r="E970" s="11"/>
      <c r="F970" s="11"/>
      <c r="G970" s="11"/>
      <c r="H970" s="11"/>
    </row>
    <row r="971" spans="2:8">
      <c r="B971" s="11"/>
      <c r="C971" s="11"/>
      <c r="D971" s="11"/>
      <c r="E971" s="11"/>
      <c r="F971" s="11"/>
      <c r="G971" s="11"/>
      <c r="H971" s="11"/>
    </row>
    <row r="972" spans="2:8">
      <c r="B972" s="11"/>
      <c r="C972" s="11"/>
      <c r="D972" s="11"/>
      <c r="E972" s="11"/>
      <c r="F972" s="11"/>
      <c r="G972" s="11"/>
      <c r="H972" s="11"/>
    </row>
    <row r="973" spans="2:8">
      <c r="B973" s="11"/>
      <c r="C973" s="11"/>
      <c r="D973" s="11"/>
      <c r="E973" s="11"/>
      <c r="F973" s="11"/>
      <c r="G973" s="11"/>
      <c r="H973" s="11"/>
    </row>
    <row r="974" spans="2:8">
      <c r="B974" s="11"/>
      <c r="C974" s="11"/>
      <c r="D974" s="11"/>
      <c r="E974" s="11"/>
      <c r="F974" s="11"/>
      <c r="G974" s="11"/>
      <c r="H974" s="11"/>
    </row>
    <row r="975" spans="2:8">
      <c r="B975" s="11"/>
      <c r="C975" s="11"/>
      <c r="D975" s="11"/>
      <c r="E975" s="11"/>
      <c r="F975" s="11"/>
      <c r="G975" s="11"/>
      <c r="H975" s="11"/>
    </row>
    <row r="976" spans="2:8">
      <c r="B976" s="11"/>
      <c r="C976" s="11"/>
      <c r="D976" s="11"/>
      <c r="E976" s="11"/>
      <c r="F976" s="11"/>
      <c r="G976" s="11"/>
      <c r="H976" s="11"/>
    </row>
    <row r="977" spans="2:8">
      <c r="B977" s="11"/>
      <c r="C977" s="11"/>
      <c r="D977" s="11"/>
      <c r="E977" s="11"/>
      <c r="F977" s="11"/>
      <c r="G977" s="11"/>
      <c r="H977" s="11"/>
    </row>
    <row r="978" spans="2:8">
      <c r="B978" s="11"/>
      <c r="C978" s="11"/>
      <c r="D978" s="11"/>
      <c r="E978" s="11"/>
      <c r="F978" s="11"/>
      <c r="G978" s="11"/>
      <c r="H978" s="11"/>
    </row>
    <row r="979" spans="2:8">
      <c r="B979" s="11"/>
      <c r="C979" s="11"/>
      <c r="D979" s="11"/>
      <c r="E979" s="11"/>
      <c r="F979" s="11"/>
      <c r="G979" s="11"/>
      <c r="H979" s="11"/>
    </row>
    <row r="980" spans="2:8">
      <c r="B980" s="11"/>
      <c r="C980" s="11"/>
      <c r="D980" s="11"/>
      <c r="E980" s="11"/>
      <c r="F980" s="11"/>
      <c r="G980" s="11"/>
      <c r="H980" s="11"/>
    </row>
    <row r="981" spans="2:8">
      <c r="B981" s="11"/>
      <c r="C981" s="11"/>
      <c r="D981" s="11"/>
      <c r="E981" s="11"/>
      <c r="F981" s="11"/>
      <c r="G981" s="11"/>
      <c r="H981" s="11"/>
    </row>
    <row r="982" spans="2:8">
      <c r="B982" s="11"/>
      <c r="C982" s="11"/>
      <c r="D982" s="11"/>
      <c r="E982" s="11"/>
      <c r="F982" s="11"/>
      <c r="G982" s="11"/>
      <c r="H982" s="11"/>
    </row>
    <row r="983" spans="2:8">
      <c r="B983" s="11"/>
      <c r="C983" s="11"/>
      <c r="D983" s="11"/>
      <c r="E983" s="11"/>
      <c r="F983" s="11"/>
      <c r="G983" s="11"/>
      <c r="H983" s="11"/>
    </row>
    <row r="984" spans="2:8">
      <c r="B984" s="11"/>
      <c r="C984" s="11"/>
      <c r="D984" s="11"/>
      <c r="E984" s="11"/>
      <c r="F984" s="11"/>
      <c r="G984" s="11"/>
      <c r="H984" s="11"/>
    </row>
    <row r="985" spans="2:8">
      <c r="B985" s="11"/>
      <c r="C985" s="11"/>
      <c r="D985" s="11"/>
      <c r="E985" s="11"/>
      <c r="F985" s="11"/>
      <c r="G985" s="11"/>
      <c r="H985" s="11"/>
    </row>
    <row r="986" spans="2:8">
      <c r="B986" s="11"/>
      <c r="C986" s="11"/>
      <c r="D986" s="11"/>
      <c r="E986" s="11"/>
      <c r="F986" s="11"/>
      <c r="G986" s="11"/>
      <c r="H986" s="11"/>
    </row>
    <row r="987" spans="2:8">
      <c r="B987" s="11"/>
      <c r="C987" s="11"/>
      <c r="D987" s="11"/>
      <c r="E987" s="11"/>
      <c r="F987" s="11"/>
      <c r="G987" s="11"/>
      <c r="H987" s="11"/>
    </row>
    <row r="988" spans="2:8">
      <c r="B988" s="11"/>
      <c r="C988" s="11"/>
      <c r="D988" s="11"/>
      <c r="E988" s="11"/>
      <c r="F988" s="11"/>
      <c r="G988" s="11"/>
      <c r="H988" s="11"/>
    </row>
    <row r="989" spans="2:8">
      <c r="B989" s="11"/>
      <c r="C989" s="11"/>
      <c r="D989" s="11"/>
      <c r="E989" s="11"/>
      <c r="F989" s="11"/>
      <c r="G989" s="11"/>
      <c r="H989" s="11"/>
    </row>
    <row r="990" spans="2:8">
      <c r="B990" s="11"/>
      <c r="C990" s="11"/>
      <c r="D990" s="11"/>
      <c r="E990" s="11"/>
      <c r="F990" s="11"/>
      <c r="G990" s="11"/>
      <c r="H990" s="11"/>
    </row>
    <row r="991" spans="2:8">
      <c r="B991" s="11"/>
      <c r="C991" s="11"/>
      <c r="D991" s="11"/>
      <c r="E991" s="11"/>
      <c r="F991" s="11"/>
      <c r="G991" s="11"/>
      <c r="H991" s="11"/>
    </row>
    <row r="992" spans="2:8">
      <c r="B992" s="11"/>
      <c r="C992" s="11"/>
      <c r="D992" s="11"/>
      <c r="E992" s="11"/>
      <c r="F992" s="11"/>
      <c r="G992" s="11"/>
      <c r="H992" s="11"/>
    </row>
    <row r="993" spans="2:8">
      <c r="B993" s="11"/>
      <c r="C993" s="11"/>
      <c r="D993" s="11"/>
      <c r="E993" s="11"/>
      <c r="F993" s="11"/>
      <c r="G993" s="11"/>
      <c r="H993" s="11"/>
    </row>
    <row r="994" spans="2:8">
      <c r="B994" s="11"/>
      <c r="C994" s="11"/>
      <c r="D994" s="11"/>
      <c r="E994" s="11"/>
      <c r="F994" s="11"/>
      <c r="G994" s="11"/>
      <c r="H994" s="11"/>
    </row>
    <row r="995" spans="2:8">
      <c r="B995" s="11"/>
      <c r="C995" s="11"/>
      <c r="D995" s="11"/>
      <c r="E995" s="11"/>
      <c r="F995" s="11"/>
      <c r="G995" s="11"/>
      <c r="H995" s="11"/>
    </row>
    <row r="996" spans="2:8">
      <c r="B996" s="11"/>
      <c r="C996" s="11"/>
      <c r="D996" s="11"/>
      <c r="E996" s="11"/>
      <c r="F996" s="11"/>
      <c r="G996" s="11"/>
      <c r="H996" s="11"/>
    </row>
    <row r="997" spans="2:8">
      <c r="B997" s="11"/>
      <c r="C997" s="11"/>
      <c r="D997" s="11"/>
      <c r="E997" s="11"/>
      <c r="F997" s="11"/>
      <c r="G997" s="11"/>
      <c r="H997" s="11"/>
    </row>
    <row r="998" spans="2:8">
      <c r="B998" s="11"/>
      <c r="C998" s="11"/>
      <c r="D998" s="11"/>
      <c r="E998" s="11"/>
      <c r="F998" s="11"/>
      <c r="G998" s="11"/>
      <c r="H998" s="11"/>
    </row>
    <row r="999" spans="2:8">
      <c r="B999" s="11"/>
      <c r="C999" s="11"/>
      <c r="D999" s="11"/>
      <c r="E999" s="11"/>
      <c r="F999" s="11"/>
      <c r="G999" s="11"/>
      <c r="H999" s="11"/>
    </row>
    <row r="1000" spans="2:8">
      <c r="B1000" s="11"/>
      <c r="C1000" s="11"/>
      <c r="D1000" s="11"/>
      <c r="E1000" s="11"/>
      <c r="F1000" s="11"/>
      <c r="G1000" s="11"/>
      <c r="H1000" s="11"/>
    </row>
    <row r="1001" spans="2:8">
      <c r="B1001" s="11"/>
      <c r="C1001" s="11"/>
      <c r="D1001" s="11"/>
      <c r="E1001" s="11"/>
      <c r="F1001" s="11"/>
      <c r="G1001" s="11"/>
      <c r="H1001" s="11"/>
    </row>
    <row r="1002" spans="2:8">
      <c r="B1002" s="11"/>
      <c r="C1002" s="11"/>
      <c r="D1002" s="11"/>
      <c r="E1002" s="11"/>
      <c r="F1002" s="11"/>
      <c r="G1002" s="11"/>
      <c r="H1002" s="11"/>
    </row>
    <row r="1003" spans="2:8">
      <c r="B1003" s="11"/>
      <c r="C1003" s="11"/>
      <c r="D1003" s="11"/>
      <c r="E1003" s="11"/>
      <c r="F1003" s="11"/>
      <c r="G1003" s="11"/>
      <c r="H1003" s="11"/>
    </row>
    <row r="1004" spans="2:8">
      <c r="B1004" s="11"/>
      <c r="C1004" s="11"/>
      <c r="D1004" s="11"/>
      <c r="E1004" s="11"/>
      <c r="F1004" s="11"/>
      <c r="G1004" s="11"/>
      <c r="H1004" s="11"/>
    </row>
    <row r="1005" spans="2:8">
      <c r="B1005" s="11"/>
      <c r="C1005" s="11"/>
      <c r="D1005" s="11"/>
      <c r="E1005" s="11"/>
      <c r="F1005" s="11"/>
      <c r="G1005" s="11"/>
      <c r="H1005" s="11"/>
    </row>
    <row r="1006" spans="2:8">
      <c r="B1006" s="11"/>
      <c r="C1006" s="11"/>
      <c r="D1006" s="11"/>
      <c r="E1006" s="11"/>
      <c r="F1006" s="11"/>
      <c r="G1006" s="11"/>
      <c r="H1006" s="11"/>
    </row>
    <row r="1007" spans="2:8">
      <c r="B1007" s="11"/>
      <c r="C1007" s="11"/>
      <c r="D1007" s="11"/>
      <c r="E1007" s="11"/>
      <c r="F1007" s="11"/>
      <c r="G1007" s="11"/>
      <c r="H1007" s="11"/>
    </row>
    <row r="1008" spans="2:8">
      <c r="B1008" s="11"/>
      <c r="C1008" s="11"/>
      <c r="D1008" s="11"/>
      <c r="E1008" s="11"/>
      <c r="F1008" s="11"/>
      <c r="G1008" s="11"/>
      <c r="H1008" s="11"/>
    </row>
    <row r="1009" spans="2:8">
      <c r="B1009" s="11"/>
      <c r="C1009" s="11"/>
      <c r="D1009" s="11"/>
      <c r="E1009" s="11"/>
      <c r="F1009" s="11"/>
      <c r="G1009" s="11"/>
      <c r="H1009" s="11"/>
    </row>
    <row r="1010" spans="2:8">
      <c r="B1010" s="11"/>
      <c r="C1010" s="11"/>
      <c r="D1010" s="11"/>
      <c r="E1010" s="11"/>
      <c r="F1010" s="11"/>
      <c r="G1010" s="11"/>
      <c r="H1010" s="11"/>
    </row>
    <row r="1011" spans="2:8">
      <c r="B1011" s="11"/>
      <c r="C1011" s="11"/>
      <c r="D1011" s="11"/>
      <c r="E1011" s="11"/>
      <c r="F1011" s="11"/>
      <c r="G1011" s="11"/>
      <c r="H1011" s="11"/>
    </row>
    <row r="1012" spans="2:8">
      <c r="B1012" s="11"/>
      <c r="C1012" s="11"/>
      <c r="D1012" s="11"/>
      <c r="E1012" s="11"/>
      <c r="F1012" s="11"/>
      <c r="G1012" s="11"/>
      <c r="H1012" s="11"/>
    </row>
    <row r="1013" spans="2:8">
      <c r="B1013" s="11"/>
      <c r="C1013" s="11"/>
      <c r="D1013" s="11"/>
      <c r="E1013" s="11"/>
      <c r="F1013" s="11"/>
      <c r="G1013" s="11"/>
      <c r="H1013" s="11"/>
    </row>
    <row r="1014" spans="2:8">
      <c r="B1014" s="11"/>
      <c r="C1014" s="11"/>
      <c r="D1014" s="11"/>
      <c r="E1014" s="11"/>
      <c r="F1014" s="11"/>
      <c r="G1014" s="11"/>
      <c r="H1014" s="11"/>
    </row>
    <row r="1015" spans="2:8">
      <c r="B1015" s="11"/>
      <c r="C1015" s="11"/>
      <c r="D1015" s="11"/>
      <c r="E1015" s="11"/>
      <c r="F1015" s="11"/>
      <c r="G1015" s="11"/>
      <c r="H1015" s="11"/>
    </row>
    <row r="1016" spans="2:8">
      <c r="B1016" s="11"/>
      <c r="C1016" s="11"/>
      <c r="D1016" s="11"/>
      <c r="E1016" s="11"/>
      <c r="F1016" s="11"/>
      <c r="G1016" s="11"/>
      <c r="H1016" s="11"/>
    </row>
    <row r="1017" spans="2:8">
      <c r="B1017" s="11"/>
      <c r="C1017" s="11"/>
      <c r="D1017" s="11"/>
      <c r="E1017" s="11"/>
      <c r="F1017" s="11"/>
      <c r="G1017" s="11"/>
      <c r="H1017" s="11"/>
    </row>
    <row r="1018" spans="2:8">
      <c r="B1018" s="11"/>
      <c r="C1018" s="11"/>
      <c r="D1018" s="11"/>
      <c r="E1018" s="11"/>
      <c r="F1018" s="11"/>
      <c r="G1018" s="11"/>
      <c r="H1018" s="11"/>
    </row>
    <row r="1019" spans="2:8">
      <c r="B1019" s="11"/>
      <c r="C1019" s="11"/>
      <c r="D1019" s="11"/>
      <c r="E1019" s="11"/>
      <c r="F1019" s="11"/>
      <c r="G1019" s="11"/>
      <c r="H1019" s="11"/>
    </row>
    <row r="1020" spans="2:8">
      <c r="B1020" s="11"/>
      <c r="C1020" s="11"/>
      <c r="D1020" s="11"/>
      <c r="E1020" s="11"/>
      <c r="F1020" s="11"/>
      <c r="G1020" s="11"/>
      <c r="H1020" s="11"/>
    </row>
    <row r="1021" spans="2:8">
      <c r="B1021" s="11"/>
      <c r="C1021" s="11"/>
      <c r="D1021" s="11"/>
      <c r="E1021" s="11"/>
      <c r="F1021" s="11"/>
      <c r="G1021" s="11"/>
      <c r="H1021" s="11"/>
    </row>
    <row r="1022" spans="2:8">
      <c r="B1022" s="11"/>
      <c r="C1022" s="11"/>
      <c r="D1022" s="11"/>
      <c r="E1022" s="11"/>
      <c r="F1022" s="11"/>
      <c r="G1022" s="11"/>
      <c r="H1022" s="11"/>
    </row>
    <row r="1023" spans="2:8">
      <c r="B1023" s="11"/>
      <c r="C1023" s="11"/>
      <c r="D1023" s="11"/>
      <c r="E1023" s="11"/>
      <c r="F1023" s="11"/>
      <c r="G1023" s="11"/>
      <c r="H1023" s="11"/>
    </row>
    <row r="1024" spans="2:8">
      <c r="B1024" s="11"/>
      <c r="C1024" s="11"/>
      <c r="D1024" s="11"/>
      <c r="E1024" s="11"/>
      <c r="F1024" s="11"/>
      <c r="G1024" s="11"/>
      <c r="H1024" s="11"/>
    </row>
    <row r="1025" spans="2:8">
      <c r="B1025" s="11"/>
      <c r="C1025" s="11"/>
      <c r="D1025" s="11"/>
      <c r="E1025" s="11"/>
      <c r="F1025" s="11"/>
      <c r="G1025" s="11"/>
      <c r="H1025" s="11"/>
    </row>
    <row r="1026" spans="2:8">
      <c r="B1026" s="11"/>
      <c r="C1026" s="11"/>
      <c r="D1026" s="11"/>
      <c r="E1026" s="11"/>
      <c r="F1026" s="11"/>
      <c r="G1026" s="11"/>
      <c r="H1026" s="11"/>
    </row>
    <row r="1027" spans="2:8">
      <c r="B1027" s="11"/>
      <c r="C1027" s="11"/>
      <c r="D1027" s="11"/>
      <c r="E1027" s="11"/>
      <c r="F1027" s="11"/>
      <c r="G1027" s="11"/>
      <c r="H1027" s="11"/>
    </row>
    <row r="1028" spans="2:8">
      <c r="B1028" s="11"/>
      <c r="C1028" s="11"/>
      <c r="D1028" s="11"/>
      <c r="E1028" s="11"/>
      <c r="F1028" s="11"/>
      <c r="G1028" s="11"/>
      <c r="H1028" s="11"/>
    </row>
    <row r="1029" spans="2:8">
      <c r="B1029" s="11"/>
      <c r="C1029" s="11"/>
      <c r="D1029" s="11"/>
      <c r="E1029" s="11"/>
      <c r="F1029" s="11"/>
      <c r="G1029" s="11"/>
      <c r="H1029" s="11"/>
    </row>
    <row r="1030" spans="2:8">
      <c r="B1030" s="11"/>
      <c r="C1030" s="11"/>
      <c r="D1030" s="11"/>
      <c r="E1030" s="11"/>
      <c r="F1030" s="11"/>
      <c r="G1030" s="11"/>
      <c r="H1030" s="11"/>
    </row>
    <row r="1031" spans="2:8">
      <c r="B1031" s="11"/>
      <c r="C1031" s="11"/>
      <c r="D1031" s="11"/>
      <c r="E1031" s="11"/>
      <c r="F1031" s="11"/>
      <c r="G1031" s="11"/>
      <c r="H1031" s="11"/>
    </row>
    <row r="1032" spans="2:8">
      <c r="B1032" s="11"/>
      <c r="C1032" s="11"/>
      <c r="D1032" s="11"/>
      <c r="E1032" s="11"/>
      <c r="F1032" s="11"/>
      <c r="G1032" s="11"/>
      <c r="H1032" s="11"/>
    </row>
    <row r="1033" spans="2:8">
      <c r="B1033" s="11"/>
      <c r="C1033" s="11"/>
      <c r="D1033" s="11"/>
      <c r="E1033" s="11"/>
      <c r="F1033" s="11"/>
      <c r="G1033" s="11"/>
      <c r="H1033" s="11"/>
    </row>
    <row r="1034" spans="2:8">
      <c r="B1034" s="11"/>
      <c r="C1034" s="11"/>
      <c r="D1034" s="11"/>
      <c r="E1034" s="11"/>
      <c r="F1034" s="11"/>
      <c r="G1034" s="11"/>
      <c r="H1034" s="11"/>
    </row>
    <row r="1035" spans="2:8">
      <c r="B1035" s="11"/>
      <c r="C1035" s="11"/>
      <c r="D1035" s="11"/>
      <c r="E1035" s="11"/>
      <c r="F1035" s="11"/>
      <c r="G1035" s="11"/>
      <c r="H1035" s="11"/>
    </row>
    <row r="1036" spans="2:8">
      <c r="B1036" s="11"/>
      <c r="C1036" s="11"/>
      <c r="D1036" s="11"/>
      <c r="E1036" s="11"/>
      <c r="F1036" s="11"/>
      <c r="G1036" s="11"/>
      <c r="H1036" s="11"/>
    </row>
    <row r="1037" spans="2:8">
      <c r="B1037" s="11"/>
      <c r="C1037" s="11"/>
      <c r="D1037" s="11"/>
      <c r="E1037" s="11"/>
      <c r="F1037" s="11"/>
      <c r="G1037" s="11"/>
      <c r="H1037" s="11"/>
    </row>
    <row r="1038" spans="2:8">
      <c r="B1038" s="11"/>
      <c r="C1038" s="11"/>
      <c r="D1038" s="11"/>
      <c r="E1038" s="11"/>
      <c r="F1038" s="11"/>
      <c r="G1038" s="11"/>
      <c r="H1038" s="11"/>
    </row>
    <row r="1039" spans="2:8">
      <c r="B1039" s="11"/>
      <c r="C1039" s="11"/>
      <c r="D1039" s="11"/>
      <c r="E1039" s="11"/>
      <c r="F1039" s="11"/>
      <c r="G1039" s="11"/>
      <c r="H1039" s="11"/>
    </row>
    <row r="1040" spans="2:8">
      <c r="B1040" s="11"/>
      <c r="C1040" s="11"/>
      <c r="D1040" s="11"/>
      <c r="E1040" s="11"/>
      <c r="F1040" s="11"/>
      <c r="G1040" s="11"/>
      <c r="H1040" s="11"/>
    </row>
    <row r="1041" spans="2:8">
      <c r="B1041" s="11"/>
      <c r="C1041" s="11"/>
      <c r="D1041" s="11"/>
      <c r="E1041" s="11"/>
      <c r="F1041" s="11"/>
      <c r="G1041" s="11"/>
      <c r="H1041" s="11"/>
    </row>
    <row r="1042" spans="2:8">
      <c r="B1042" s="11"/>
      <c r="C1042" s="11"/>
      <c r="D1042" s="11"/>
      <c r="E1042" s="11"/>
      <c r="F1042" s="11"/>
      <c r="G1042" s="11"/>
      <c r="H1042" s="11"/>
    </row>
    <row r="1043" spans="2:8">
      <c r="B1043" s="11"/>
      <c r="C1043" s="11"/>
      <c r="D1043" s="11"/>
      <c r="E1043" s="11"/>
      <c r="F1043" s="11"/>
      <c r="G1043" s="11"/>
      <c r="H1043" s="11"/>
    </row>
    <row r="1044" spans="2:8">
      <c r="B1044" s="11"/>
      <c r="C1044" s="11"/>
      <c r="D1044" s="11"/>
      <c r="E1044" s="11"/>
      <c r="F1044" s="11"/>
      <c r="G1044" s="11"/>
      <c r="H1044" s="11"/>
    </row>
    <row r="1045" spans="2:8">
      <c r="B1045" s="11"/>
      <c r="C1045" s="11"/>
      <c r="D1045" s="11"/>
      <c r="E1045" s="11"/>
      <c r="F1045" s="11"/>
      <c r="G1045" s="11"/>
      <c r="H1045" s="11"/>
    </row>
    <row r="1046" spans="2:8">
      <c r="B1046" s="11"/>
      <c r="C1046" s="11"/>
      <c r="D1046" s="11"/>
      <c r="E1046" s="11"/>
      <c r="F1046" s="11"/>
      <c r="G1046" s="11"/>
      <c r="H1046" s="11"/>
    </row>
    <row r="1047" spans="2:8">
      <c r="B1047" s="11"/>
      <c r="C1047" s="11"/>
      <c r="D1047" s="11"/>
      <c r="E1047" s="11"/>
      <c r="F1047" s="11"/>
      <c r="G1047" s="11"/>
      <c r="H1047" s="11"/>
    </row>
    <row r="1048" spans="2:8">
      <c r="B1048" s="11"/>
      <c r="C1048" s="11"/>
      <c r="D1048" s="11"/>
      <c r="E1048" s="11"/>
      <c r="F1048" s="11"/>
      <c r="G1048" s="11"/>
      <c r="H1048" s="11"/>
    </row>
    <row r="1049" spans="2:8">
      <c r="B1049" s="11"/>
      <c r="C1049" s="11"/>
      <c r="D1049" s="11"/>
      <c r="E1049" s="11"/>
      <c r="F1049" s="11"/>
      <c r="G1049" s="11"/>
      <c r="H1049" s="11"/>
    </row>
    <row r="1050" spans="2:8">
      <c r="B1050" s="11"/>
      <c r="C1050" s="11"/>
      <c r="D1050" s="11"/>
      <c r="E1050" s="11"/>
      <c r="F1050" s="11"/>
      <c r="G1050" s="11"/>
      <c r="H1050" s="11"/>
    </row>
    <row r="1051" spans="2:8">
      <c r="B1051" s="11"/>
      <c r="C1051" s="11"/>
      <c r="D1051" s="11"/>
      <c r="E1051" s="11"/>
      <c r="F1051" s="11"/>
      <c r="G1051" s="11"/>
      <c r="H1051" s="11"/>
    </row>
    <row r="1052" spans="2:8">
      <c r="B1052" s="11"/>
      <c r="C1052" s="11"/>
      <c r="D1052" s="11"/>
      <c r="E1052" s="11"/>
      <c r="F1052" s="11"/>
      <c r="G1052" s="11"/>
      <c r="H1052" s="11"/>
    </row>
    <row r="1053" spans="2:8">
      <c r="B1053" s="11"/>
      <c r="C1053" s="11"/>
      <c r="D1053" s="11"/>
      <c r="E1053" s="11"/>
      <c r="F1053" s="11"/>
      <c r="G1053" s="11"/>
      <c r="H1053" s="11"/>
    </row>
    <row r="1054" spans="2:8">
      <c r="B1054" s="11"/>
      <c r="C1054" s="11"/>
      <c r="D1054" s="11"/>
      <c r="E1054" s="11"/>
      <c r="F1054" s="11"/>
      <c r="G1054" s="11"/>
      <c r="H1054" s="11"/>
    </row>
    <row r="1055" spans="2:8">
      <c r="B1055" s="11"/>
      <c r="C1055" s="11"/>
      <c r="D1055" s="11"/>
      <c r="E1055" s="11"/>
      <c r="F1055" s="11"/>
      <c r="G1055" s="11"/>
      <c r="H1055" s="11"/>
    </row>
    <row r="1056" spans="2:8">
      <c r="B1056" s="11"/>
      <c r="C1056" s="11"/>
      <c r="D1056" s="11"/>
      <c r="E1056" s="11"/>
      <c r="F1056" s="11"/>
      <c r="G1056" s="11"/>
      <c r="H1056" s="11"/>
    </row>
    <row r="1057" spans="2:8">
      <c r="B1057" s="11"/>
      <c r="C1057" s="11"/>
      <c r="D1057" s="11"/>
      <c r="E1057" s="11"/>
      <c r="F1057" s="11"/>
      <c r="G1057" s="11"/>
      <c r="H1057" s="11"/>
    </row>
    <row r="1058" spans="2:8">
      <c r="B1058" s="11"/>
      <c r="C1058" s="11"/>
      <c r="D1058" s="11"/>
      <c r="E1058" s="11"/>
      <c r="F1058" s="11"/>
      <c r="G1058" s="11"/>
      <c r="H1058" s="11"/>
    </row>
    <row r="1059" spans="2:8">
      <c r="B1059" s="11"/>
      <c r="C1059" s="11"/>
      <c r="D1059" s="11"/>
      <c r="E1059" s="11"/>
      <c r="F1059" s="11"/>
      <c r="G1059" s="11"/>
      <c r="H1059" s="11"/>
    </row>
    <row r="1060" spans="2:8">
      <c r="B1060" s="11"/>
      <c r="C1060" s="11"/>
      <c r="D1060" s="11"/>
      <c r="E1060" s="11"/>
      <c r="F1060" s="11"/>
      <c r="G1060" s="11"/>
      <c r="H1060" s="11"/>
    </row>
    <row r="1061" spans="2:8">
      <c r="B1061" s="11"/>
      <c r="C1061" s="11"/>
      <c r="D1061" s="11"/>
      <c r="E1061" s="11"/>
      <c r="F1061" s="11"/>
      <c r="G1061" s="11"/>
      <c r="H1061" s="11"/>
    </row>
    <row r="1062" spans="2:8">
      <c r="B1062" s="11"/>
      <c r="C1062" s="11"/>
      <c r="D1062" s="11"/>
      <c r="E1062" s="11"/>
      <c r="F1062" s="11"/>
      <c r="G1062" s="11"/>
      <c r="H1062" s="11"/>
    </row>
    <row r="1063" spans="2:8">
      <c r="B1063" s="11"/>
      <c r="C1063" s="11"/>
      <c r="D1063" s="11"/>
      <c r="E1063" s="11"/>
      <c r="F1063" s="11"/>
      <c r="G1063" s="11"/>
      <c r="H1063" s="11"/>
    </row>
    <row r="1064" spans="2:8">
      <c r="B1064" s="11"/>
      <c r="C1064" s="11"/>
      <c r="D1064" s="11"/>
      <c r="E1064" s="11"/>
      <c r="F1064" s="11"/>
      <c r="G1064" s="11"/>
      <c r="H1064" s="11"/>
    </row>
    <row r="1065" spans="2:8">
      <c r="B1065" s="11"/>
      <c r="C1065" s="11"/>
      <c r="D1065" s="11"/>
      <c r="E1065" s="11"/>
      <c r="F1065" s="11"/>
      <c r="G1065" s="11"/>
      <c r="H1065" s="11"/>
    </row>
    <row r="1066" spans="2:8">
      <c r="B1066" s="11"/>
      <c r="C1066" s="11"/>
      <c r="D1066" s="11"/>
      <c r="E1066" s="11"/>
      <c r="F1066" s="11"/>
      <c r="G1066" s="11"/>
      <c r="H1066" s="11"/>
    </row>
    <row r="1067" spans="2:8">
      <c r="B1067" s="11"/>
      <c r="C1067" s="11"/>
      <c r="D1067" s="11"/>
      <c r="E1067" s="11"/>
      <c r="F1067" s="11"/>
      <c r="G1067" s="11"/>
      <c r="H1067" s="11"/>
    </row>
    <row r="1068" spans="2:8">
      <c r="B1068" s="11"/>
      <c r="C1068" s="11"/>
      <c r="D1068" s="11"/>
      <c r="E1068" s="11"/>
      <c r="F1068" s="11"/>
      <c r="G1068" s="11"/>
      <c r="H1068" s="11"/>
    </row>
    <row r="1069" spans="2:8">
      <c r="B1069" s="11"/>
      <c r="C1069" s="11"/>
      <c r="D1069" s="11"/>
      <c r="E1069" s="11"/>
      <c r="F1069" s="11"/>
      <c r="G1069" s="11"/>
      <c r="H1069" s="11"/>
    </row>
    <row r="1070" spans="2:8">
      <c r="B1070" s="11"/>
      <c r="C1070" s="11"/>
      <c r="D1070" s="11"/>
      <c r="E1070" s="11"/>
      <c r="F1070" s="11"/>
      <c r="G1070" s="11"/>
      <c r="H1070" s="11"/>
    </row>
    <row r="1071" spans="2:8">
      <c r="B1071" s="11"/>
      <c r="C1071" s="11"/>
      <c r="D1071" s="11"/>
      <c r="E1071" s="11"/>
      <c r="F1071" s="11"/>
      <c r="G1071" s="11"/>
      <c r="H1071" s="11"/>
    </row>
    <row r="1072" spans="2:8">
      <c r="B1072" s="11"/>
      <c r="C1072" s="11"/>
      <c r="D1072" s="11"/>
      <c r="E1072" s="11"/>
      <c r="F1072" s="11"/>
      <c r="G1072" s="11"/>
      <c r="H1072" s="11"/>
    </row>
    <row r="1073" spans="2:8">
      <c r="B1073" s="11"/>
      <c r="C1073" s="11"/>
      <c r="D1073" s="11"/>
      <c r="E1073" s="11"/>
      <c r="F1073" s="11"/>
      <c r="G1073" s="11"/>
      <c r="H1073" s="11"/>
    </row>
    <row r="1074" spans="2:8">
      <c r="B1074" s="11"/>
      <c r="C1074" s="11"/>
      <c r="D1074" s="11"/>
      <c r="E1074" s="11"/>
      <c r="F1074" s="11"/>
      <c r="G1074" s="11"/>
      <c r="H1074" s="11"/>
    </row>
    <row r="1075" spans="2:8">
      <c r="B1075" s="11"/>
      <c r="C1075" s="11"/>
      <c r="D1075" s="11"/>
      <c r="E1075" s="11"/>
      <c r="F1075" s="11"/>
      <c r="G1075" s="11"/>
      <c r="H1075" s="11"/>
    </row>
    <row r="1076" spans="2:8">
      <c r="B1076" s="11"/>
      <c r="C1076" s="11"/>
      <c r="D1076" s="11"/>
      <c r="E1076" s="11"/>
      <c r="F1076" s="11"/>
      <c r="G1076" s="11"/>
      <c r="H1076" s="11"/>
    </row>
    <row r="1077" spans="2:8">
      <c r="B1077" s="11"/>
      <c r="C1077" s="11"/>
      <c r="D1077" s="11"/>
      <c r="E1077" s="11"/>
      <c r="F1077" s="11"/>
      <c r="G1077" s="11"/>
      <c r="H1077" s="11"/>
    </row>
    <row r="1078" spans="2:8">
      <c r="B1078" s="11"/>
      <c r="C1078" s="11"/>
      <c r="D1078" s="11"/>
      <c r="E1078" s="11"/>
      <c r="F1078" s="11"/>
      <c r="G1078" s="11"/>
      <c r="H1078" s="11"/>
    </row>
    <row r="1079" spans="2:8">
      <c r="B1079" s="11"/>
      <c r="C1079" s="11"/>
      <c r="D1079" s="11"/>
      <c r="E1079" s="11"/>
      <c r="F1079" s="11"/>
      <c r="G1079" s="11"/>
      <c r="H1079" s="11"/>
    </row>
    <row r="1080" spans="2:8">
      <c r="B1080" s="11"/>
      <c r="C1080" s="11"/>
      <c r="D1080" s="11"/>
      <c r="E1080" s="11"/>
      <c r="F1080" s="11"/>
      <c r="G1080" s="11"/>
      <c r="H1080" s="11"/>
    </row>
    <row r="1081" spans="2:8">
      <c r="B1081" s="11"/>
      <c r="C1081" s="11"/>
      <c r="D1081" s="11"/>
      <c r="E1081" s="11"/>
      <c r="F1081" s="11"/>
      <c r="G1081" s="11"/>
      <c r="H1081" s="11"/>
    </row>
    <row r="1082" spans="2:8">
      <c r="B1082" s="11"/>
      <c r="C1082" s="11"/>
      <c r="D1082" s="11"/>
      <c r="E1082" s="11"/>
      <c r="F1082" s="11"/>
      <c r="G1082" s="11"/>
      <c r="H1082" s="11"/>
    </row>
    <row r="1083" spans="2:8">
      <c r="B1083" s="11"/>
      <c r="C1083" s="11"/>
      <c r="D1083" s="11"/>
      <c r="E1083" s="11"/>
      <c r="F1083" s="11"/>
      <c r="G1083" s="11"/>
      <c r="H1083" s="11"/>
    </row>
    <row r="1084" spans="2:8">
      <c r="B1084" s="11"/>
      <c r="C1084" s="11"/>
      <c r="D1084" s="11"/>
      <c r="E1084" s="11"/>
      <c r="F1084" s="11"/>
      <c r="G1084" s="11"/>
      <c r="H1084" s="11"/>
    </row>
    <row r="1085" spans="2:8">
      <c r="B1085" s="11"/>
      <c r="C1085" s="11"/>
      <c r="D1085" s="11"/>
      <c r="E1085" s="11"/>
      <c r="F1085" s="11"/>
      <c r="G1085" s="11"/>
      <c r="H1085" s="11"/>
    </row>
    <row r="1086" spans="2:8">
      <c r="B1086" s="11"/>
      <c r="C1086" s="11"/>
      <c r="D1086" s="11"/>
      <c r="E1086" s="11"/>
      <c r="F1086" s="11"/>
      <c r="G1086" s="11"/>
      <c r="H1086" s="11"/>
    </row>
    <row r="1087" spans="2:8">
      <c r="B1087" s="11"/>
      <c r="C1087" s="11"/>
      <c r="D1087" s="11"/>
      <c r="E1087" s="11"/>
      <c r="F1087" s="11"/>
      <c r="G1087" s="11"/>
      <c r="H1087" s="11"/>
    </row>
    <row r="1088" spans="2:8">
      <c r="B1088" s="11"/>
      <c r="C1088" s="11"/>
      <c r="D1088" s="11"/>
      <c r="E1088" s="11"/>
      <c r="F1088" s="11"/>
      <c r="G1088" s="11"/>
      <c r="H1088" s="11"/>
    </row>
    <row r="1089" spans="2:8">
      <c r="B1089" s="11"/>
      <c r="C1089" s="11"/>
      <c r="D1089" s="11"/>
      <c r="E1089" s="11"/>
      <c r="F1089" s="11"/>
      <c r="G1089" s="11"/>
      <c r="H1089" s="11"/>
    </row>
    <row r="1090" spans="2:8">
      <c r="B1090" s="11"/>
      <c r="C1090" s="11"/>
      <c r="D1090" s="11"/>
      <c r="E1090" s="11"/>
      <c r="F1090" s="11"/>
      <c r="G1090" s="11"/>
      <c r="H1090" s="11"/>
    </row>
    <row r="1091" spans="2:8">
      <c r="B1091" s="11"/>
      <c r="C1091" s="11"/>
      <c r="D1091" s="11"/>
      <c r="E1091" s="11"/>
      <c r="F1091" s="11"/>
      <c r="G1091" s="11"/>
      <c r="H1091" s="11"/>
    </row>
    <row r="1092" spans="2:8">
      <c r="B1092" s="11"/>
      <c r="C1092" s="11"/>
      <c r="D1092" s="11"/>
      <c r="E1092" s="11"/>
      <c r="F1092" s="11"/>
      <c r="G1092" s="11"/>
      <c r="H1092" s="11"/>
    </row>
    <row r="1093" spans="2:8">
      <c r="B1093" s="11"/>
      <c r="C1093" s="11"/>
      <c r="D1093" s="11"/>
      <c r="E1093" s="11"/>
      <c r="F1093" s="11"/>
      <c r="G1093" s="11"/>
      <c r="H1093" s="11"/>
    </row>
    <row r="1094" spans="2:8">
      <c r="B1094" s="11"/>
      <c r="C1094" s="11"/>
      <c r="D1094" s="11"/>
      <c r="E1094" s="11"/>
      <c r="F1094" s="11"/>
      <c r="G1094" s="11"/>
      <c r="H1094" s="11"/>
    </row>
    <row r="1095" spans="2:8">
      <c r="B1095" s="11"/>
      <c r="C1095" s="11"/>
      <c r="D1095" s="11"/>
      <c r="E1095" s="11"/>
      <c r="F1095" s="11"/>
      <c r="G1095" s="11"/>
      <c r="H1095" s="11"/>
    </row>
    <row r="1096" spans="2:8">
      <c r="B1096" s="11"/>
      <c r="C1096" s="11"/>
      <c r="D1096" s="11"/>
      <c r="E1096" s="11"/>
      <c r="F1096" s="11"/>
      <c r="G1096" s="11"/>
      <c r="H1096" s="11"/>
    </row>
    <row r="1097" spans="2:8">
      <c r="B1097" s="11"/>
      <c r="C1097" s="11"/>
      <c r="D1097" s="11"/>
      <c r="E1097" s="11"/>
      <c r="F1097" s="11"/>
      <c r="G1097" s="11"/>
      <c r="H1097" s="11"/>
    </row>
    <row r="1098" spans="2:8">
      <c r="B1098" s="11"/>
      <c r="C1098" s="11"/>
      <c r="D1098" s="11"/>
      <c r="E1098" s="11"/>
      <c r="F1098" s="11"/>
      <c r="G1098" s="11"/>
      <c r="H1098" s="11"/>
    </row>
    <row r="1099" spans="2:8">
      <c r="B1099" s="11"/>
      <c r="C1099" s="11"/>
      <c r="D1099" s="11"/>
      <c r="E1099" s="11"/>
      <c r="F1099" s="11"/>
      <c r="G1099" s="11"/>
      <c r="H1099" s="11"/>
    </row>
    <row r="1100" spans="2:8">
      <c r="B1100" s="11"/>
      <c r="C1100" s="11"/>
      <c r="D1100" s="11"/>
      <c r="E1100" s="11"/>
      <c r="F1100" s="11"/>
      <c r="G1100" s="11"/>
      <c r="H1100" s="11"/>
    </row>
    <row r="1101" spans="2:8">
      <c r="B1101" s="11"/>
      <c r="C1101" s="11"/>
      <c r="D1101" s="11"/>
      <c r="E1101" s="11"/>
      <c r="F1101" s="11"/>
      <c r="G1101" s="11"/>
      <c r="H1101" s="11"/>
    </row>
    <row r="1102" spans="2:8">
      <c r="B1102" s="11"/>
      <c r="C1102" s="11"/>
      <c r="D1102" s="11"/>
      <c r="E1102" s="11"/>
      <c r="F1102" s="11"/>
      <c r="G1102" s="11"/>
      <c r="H1102" s="11"/>
    </row>
    <row r="1103" spans="2:8">
      <c r="B1103" s="11"/>
      <c r="C1103" s="11"/>
      <c r="D1103" s="11"/>
      <c r="E1103" s="11"/>
      <c r="F1103" s="11"/>
      <c r="G1103" s="11"/>
      <c r="H1103" s="11"/>
    </row>
    <row r="1104" spans="2:8">
      <c r="B1104" s="11"/>
      <c r="C1104" s="11"/>
      <c r="D1104" s="11"/>
      <c r="E1104" s="11"/>
      <c r="F1104" s="11"/>
      <c r="G1104" s="11"/>
      <c r="H1104" s="11"/>
    </row>
    <row r="1105" spans="2:8">
      <c r="B1105" s="11"/>
      <c r="C1105" s="11"/>
      <c r="D1105" s="11"/>
      <c r="E1105" s="11"/>
      <c r="F1105" s="11"/>
      <c r="G1105" s="11"/>
      <c r="H1105" s="11"/>
    </row>
    <row r="1106" spans="2:8">
      <c r="B1106" s="11"/>
      <c r="C1106" s="11"/>
      <c r="D1106" s="11"/>
      <c r="E1106" s="11"/>
      <c r="F1106" s="11"/>
      <c r="G1106" s="11"/>
      <c r="H1106" s="11"/>
    </row>
    <row r="1107" spans="2:8">
      <c r="B1107" s="11"/>
      <c r="C1107" s="11"/>
      <c r="D1107" s="11"/>
      <c r="E1107" s="11"/>
      <c r="F1107" s="11"/>
      <c r="G1107" s="11"/>
      <c r="H1107" s="11"/>
    </row>
    <row r="1108" spans="2:8">
      <c r="B1108" s="11"/>
      <c r="C1108" s="11"/>
      <c r="D1108" s="11"/>
      <c r="E1108" s="11"/>
      <c r="F1108" s="11"/>
      <c r="G1108" s="11"/>
      <c r="H1108" s="11"/>
    </row>
    <row r="1109" spans="2:8">
      <c r="B1109" s="11"/>
      <c r="C1109" s="11"/>
      <c r="D1109" s="11"/>
      <c r="E1109" s="11"/>
      <c r="F1109" s="11"/>
      <c r="G1109" s="11"/>
      <c r="H1109" s="11"/>
    </row>
    <row r="1110" spans="2:8">
      <c r="B1110" s="11"/>
      <c r="C1110" s="11"/>
      <c r="D1110" s="11"/>
      <c r="E1110" s="11"/>
      <c r="F1110" s="11"/>
      <c r="G1110" s="11"/>
      <c r="H1110" s="11"/>
    </row>
    <row r="1111" spans="2:8">
      <c r="B1111" s="11"/>
      <c r="C1111" s="11"/>
      <c r="D1111" s="11"/>
      <c r="E1111" s="11"/>
      <c r="F1111" s="11"/>
      <c r="G1111" s="11"/>
      <c r="H1111" s="11"/>
    </row>
    <row r="1112" spans="2:8">
      <c r="B1112" s="11"/>
      <c r="C1112" s="11"/>
      <c r="D1112" s="11"/>
      <c r="E1112" s="11"/>
      <c r="F1112" s="11"/>
      <c r="G1112" s="11"/>
      <c r="H1112" s="11"/>
    </row>
    <row r="1113" spans="2:8">
      <c r="B1113" s="11"/>
      <c r="C1113" s="11"/>
      <c r="D1113" s="11"/>
      <c r="E1113" s="11"/>
      <c r="F1113" s="11"/>
      <c r="G1113" s="11"/>
      <c r="H1113" s="11"/>
    </row>
    <row r="1114" spans="2:8">
      <c r="B1114" s="11"/>
      <c r="C1114" s="11"/>
      <c r="D1114" s="11"/>
      <c r="E1114" s="11"/>
      <c r="F1114" s="11"/>
      <c r="G1114" s="11"/>
      <c r="H1114" s="11"/>
    </row>
    <row r="1115" spans="2:8">
      <c r="B1115" s="11"/>
      <c r="C1115" s="11"/>
      <c r="D1115" s="11"/>
      <c r="E1115" s="11"/>
      <c r="F1115" s="11"/>
      <c r="G1115" s="11"/>
      <c r="H1115" s="11"/>
    </row>
    <row r="1116" spans="2:8">
      <c r="B1116" s="11"/>
      <c r="C1116" s="11"/>
      <c r="D1116" s="11"/>
      <c r="E1116" s="11"/>
      <c r="F1116" s="11"/>
      <c r="G1116" s="11"/>
      <c r="H1116" s="11"/>
    </row>
    <row r="1117" spans="2:8">
      <c r="B1117" s="11"/>
      <c r="C1117" s="11"/>
      <c r="D1117" s="11"/>
      <c r="E1117" s="11"/>
      <c r="F1117" s="11"/>
      <c r="G1117" s="11"/>
      <c r="H1117" s="11"/>
    </row>
    <row r="1118" spans="2:8">
      <c r="B1118" s="11"/>
      <c r="C1118" s="11"/>
      <c r="D1118" s="11"/>
      <c r="E1118" s="11"/>
      <c r="F1118" s="11"/>
      <c r="G1118" s="11"/>
      <c r="H1118" s="11"/>
    </row>
    <row r="1119" spans="2:8">
      <c r="B1119" s="11"/>
      <c r="C1119" s="11"/>
      <c r="D1119" s="11"/>
      <c r="E1119" s="11"/>
      <c r="F1119" s="11"/>
      <c r="G1119" s="11"/>
      <c r="H1119" s="11"/>
    </row>
    <row r="1120" spans="2:8">
      <c r="B1120" s="11"/>
      <c r="C1120" s="11"/>
      <c r="D1120" s="11"/>
      <c r="E1120" s="11"/>
      <c r="F1120" s="11"/>
      <c r="G1120" s="11"/>
      <c r="H1120" s="11"/>
    </row>
    <row r="1121" spans="2:8">
      <c r="B1121" s="11"/>
      <c r="C1121" s="11"/>
      <c r="D1121" s="11"/>
      <c r="E1121" s="11"/>
      <c r="F1121" s="11"/>
      <c r="G1121" s="11"/>
      <c r="H1121" s="11"/>
    </row>
    <row r="1122" spans="2:8">
      <c r="B1122" s="11"/>
      <c r="C1122" s="11"/>
      <c r="D1122" s="11"/>
      <c r="E1122" s="11"/>
      <c r="F1122" s="11"/>
      <c r="G1122" s="11"/>
      <c r="H1122" s="11"/>
    </row>
    <row r="1123" spans="2:8">
      <c r="B1123" s="11"/>
      <c r="C1123" s="11"/>
      <c r="D1123" s="11"/>
      <c r="E1123" s="11"/>
      <c r="F1123" s="11"/>
      <c r="G1123" s="11"/>
      <c r="H1123" s="11"/>
    </row>
    <row r="1124" spans="2:8">
      <c r="B1124" s="11"/>
      <c r="C1124" s="11"/>
      <c r="D1124" s="11"/>
      <c r="E1124" s="11"/>
      <c r="F1124" s="11"/>
      <c r="G1124" s="11"/>
      <c r="H1124" s="11"/>
    </row>
    <row r="1125" spans="2:8">
      <c r="B1125" s="11"/>
      <c r="C1125" s="11"/>
      <c r="D1125" s="11"/>
      <c r="E1125" s="11"/>
      <c r="F1125" s="11"/>
      <c r="G1125" s="11"/>
      <c r="H1125" s="11"/>
    </row>
    <row r="1126" spans="2:8">
      <c r="B1126" s="11"/>
      <c r="C1126" s="11"/>
      <c r="D1126" s="11"/>
      <c r="E1126" s="11"/>
      <c r="F1126" s="11"/>
      <c r="G1126" s="11"/>
      <c r="H1126" s="11"/>
    </row>
    <row r="1127" spans="2:8">
      <c r="B1127" s="11"/>
      <c r="C1127" s="11"/>
      <c r="D1127" s="11"/>
      <c r="E1127" s="11"/>
      <c r="F1127" s="11"/>
      <c r="G1127" s="11"/>
      <c r="H1127" s="11"/>
    </row>
    <row r="1128" spans="2:8">
      <c r="B1128" s="11"/>
      <c r="C1128" s="11"/>
      <c r="D1128" s="11"/>
      <c r="E1128" s="11"/>
      <c r="F1128" s="11"/>
      <c r="G1128" s="11"/>
      <c r="H1128" s="11"/>
    </row>
    <row r="1129" spans="2:8">
      <c r="B1129" s="11"/>
      <c r="C1129" s="11"/>
      <c r="D1129" s="11"/>
      <c r="E1129" s="11"/>
      <c r="F1129" s="11"/>
      <c r="G1129" s="11"/>
      <c r="H1129" s="11"/>
    </row>
    <row r="1130" spans="2:8">
      <c r="B1130" s="11"/>
      <c r="C1130" s="11"/>
      <c r="D1130" s="11"/>
      <c r="E1130" s="11"/>
      <c r="F1130" s="11"/>
      <c r="G1130" s="11"/>
      <c r="H1130" s="11"/>
    </row>
    <row r="1131" spans="2:8">
      <c r="B1131" s="11"/>
      <c r="C1131" s="11"/>
      <c r="D1131" s="11"/>
      <c r="E1131" s="11"/>
      <c r="F1131" s="11"/>
      <c r="G1131" s="11"/>
      <c r="H1131" s="11"/>
    </row>
    <row r="1132" spans="2:8">
      <c r="B1132" s="11"/>
      <c r="C1132" s="11"/>
      <c r="D1132" s="11"/>
      <c r="E1132" s="11"/>
      <c r="F1132" s="11"/>
      <c r="G1132" s="11"/>
      <c r="H1132" s="11"/>
    </row>
    <row r="1133" spans="2:8">
      <c r="B1133" s="11"/>
      <c r="C1133" s="11"/>
      <c r="D1133" s="11"/>
      <c r="E1133" s="11"/>
      <c r="F1133" s="11"/>
      <c r="G1133" s="11"/>
      <c r="H1133" s="11"/>
    </row>
    <row r="1134" spans="2:8">
      <c r="B1134" s="11"/>
      <c r="C1134" s="11"/>
      <c r="D1134" s="11"/>
      <c r="E1134" s="11"/>
      <c r="F1134" s="11"/>
      <c r="G1134" s="11"/>
      <c r="H1134" s="11"/>
    </row>
    <row r="1135" spans="2:8">
      <c r="B1135" s="11"/>
      <c r="C1135" s="11"/>
      <c r="D1135" s="11"/>
      <c r="E1135" s="11"/>
      <c r="F1135" s="11"/>
      <c r="G1135" s="11"/>
      <c r="H1135" s="11"/>
    </row>
    <row r="1136" spans="2:8">
      <c r="B1136" s="11"/>
      <c r="C1136" s="11"/>
      <c r="D1136" s="11"/>
      <c r="E1136" s="11"/>
      <c r="F1136" s="11"/>
      <c r="G1136" s="11"/>
      <c r="H1136" s="11"/>
    </row>
    <row r="1137" spans="2:8">
      <c r="B1137" s="11"/>
      <c r="C1137" s="11"/>
      <c r="D1137" s="11"/>
      <c r="E1137" s="11"/>
      <c r="F1137" s="11"/>
      <c r="G1137" s="11"/>
      <c r="H1137" s="11"/>
    </row>
    <row r="1138" spans="2:8">
      <c r="B1138" s="11"/>
      <c r="C1138" s="11"/>
      <c r="D1138" s="11"/>
      <c r="E1138" s="11"/>
      <c r="F1138" s="11"/>
      <c r="G1138" s="11"/>
      <c r="H1138" s="11"/>
    </row>
    <row r="1139" spans="2:8">
      <c r="B1139" s="11"/>
      <c r="C1139" s="11"/>
      <c r="D1139" s="11"/>
      <c r="E1139" s="11"/>
      <c r="F1139" s="11"/>
      <c r="G1139" s="11"/>
      <c r="H1139" s="11"/>
    </row>
    <row r="1140" spans="2:8">
      <c r="B1140" s="11"/>
      <c r="C1140" s="11"/>
      <c r="D1140" s="11"/>
      <c r="E1140" s="11"/>
      <c r="F1140" s="11"/>
      <c r="G1140" s="11"/>
      <c r="H1140" s="11"/>
    </row>
    <row r="1141" spans="2:8">
      <c r="B1141" s="11"/>
      <c r="C1141" s="11"/>
      <c r="D1141" s="11"/>
      <c r="E1141" s="11"/>
      <c r="F1141" s="11"/>
      <c r="G1141" s="11"/>
      <c r="H1141" s="11"/>
    </row>
    <row r="1142" spans="2:8">
      <c r="B1142" s="11"/>
      <c r="C1142" s="11"/>
      <c r="D1142" s="11"/>
      <c r="E1142" s="11"/>
      <c r="F1142" s="11"/>
      <c r="G1142" s="11"/>
      <c r="H1142" s="11"/>
    </row>
    <row r="1143" spans="2:8">
      <c r="B1143" s="11"/>
      <c r="C1143" s="11"/>
      <c r="D1143" s="11"/>
      <c r="E1143" s="11"/>
      <c r="F1143" s="11"/>
      <c r="G1143" s="11"/>
      <c r="H1143" s="11"/>
    </row>
    <row r="1144" spans="2:8">
      <c r="B1144" s="11"/>
      <c r="C1144" s="11"/>
      <c r="D1144" s="11"/>
      <c r="E1144" s="11"/>
      <c r="F1144" s="11"/>
      <c r="G1144" s="11"/>
      <c r="H1144" s="11"/>
    </row>
    <row r="1145" spans="2:8">
      <c r="B1145" s="11"/>
      <c r="C1145" s="11"/>
      <c r="D1145" s="11"/>
      <c r="E1145" s="11"/>
      <c r="F1145" s="11"/>
      <c r="G1145" s="11"/>
      <c r="H1145" s="11"/>
    </row>
    <row r="1146" spans="2:8">
      <c r="B1146" s="11"/>
      <c r="C1146" s="11"/>
      <c r="D1146" s="11"/>
      <c r="E1146" s="11"/>
      <c r="F1146" s="11"/>
      <c r="G1146" s="11"/>
      <c r="H1146" s="11"/>
    </row>
    <row r="1147" spans="2:8">
      <c r="B1147" s="11"/>
      <c r="C1147" s="11"/>
      <c r="D1147" s="11"/>
      <c r="E1147" s="11"/>
      <c r="F1147" s="11"/>
      <c r="G1147" s="11"/>
      <c r="H1147" s="11"/>
    </row>
    <row r="1148" spans="2:8">
      <c r="B1148" s="11"/>
      <c r="C1148" s="11"/>
      <c r="D1148" s="11"/>
      <c r="E1148" s="11"/>
      <c r="F1148" s="11"/>
      <c r="G1148" s="11"/>
      <c r="H1148" s="11"/>
    </row>
    <row r="1149" spans="2:8">
      <c r="B1149" s="11"/>
      <c r="C1149" s="11"/>
      <c r="D1149" s="11"/>
      <c r="E1149" s="11"/>
      <c r="F1149" s="11"/>
      <c r="G1149" s="11"/>
      <c r="H1149" s="11"/>
    </row>
    <row r="1150" spans="2:8">
      <c r="B1150" s="11"/>
      <c r="C1150" s="11"/>
      <c r="D1150" s="11"/>
      <c r="E1150" s="11"/>
      <c r="F1150" s="11"/>
      <c r="G1150" s="11"/>
      <c r="H1150" s="11"/>
    </row>
    <row r="1151" spans="2:8">
      <c r="B1151" s="11"/>
      <c r="C1151" s="11"/>
      <c r="D1151" s="11"/>
      <c r="E1151" s="11"/>
      <c r="F1151" s="11"/>
      <c r="G1151" s="11"/>
      <c r="H1151" s="11"/>
    </row>
    <row r="1152" spans="2:8">
      <c r="B1152" s="11"/>
      <c r="C1152" s="11"/>
      <c r="D1152" s="11"/>
      <c r="E1152" s="11"/>
      <c r="F1152" s="11"/>
      <c r="G1152" s="11"/>
      <c r="H1152" s="11"/>
    </row>
    <row r="1153" spans="2:8">
      <c r="B1153" s="11"/>
      <c r="C1153" s="11"/>
      <c r="D1153" s="11"/>
      <c r="E1153" s="11"/>
      <c r="F1153" s="11"/>
      <c r="G1153" s="11"/>
      <c r="H1153" s="11"/>
    </row>
    <row r="1154" spans="2:8">
      <c r="B1154" s="11"/>
      <c r="C1154" s="11"/>
      <c r="D1154" s="11"/>
      <c r="E1154" s="11"/>
      <c r="F1154" s="11"/>
      <c r="G1154" s="11"/>
      <c r="H1154" s="11"/>
    </row>
    <row r="1155" spans="2:8">
      <c r="B1155" s="11"/>
      <c r="C1155" s="11"/>
      <c r="D1155" s="11"/>
      <c r="E1155" s="11"/>
      <c r="F1155" s="11"/>
      <c r="G1155" s="11"/>
      <c r="H1155" s="11"/>
    </row>
    <row r="1156" spans="2:8">
      <c r="B1156" s="11"/>
      <c r="C1156" s="11"/>
      <c r="D1156" s="11"/>
      <c r="E1156" s="11"/>
      <c r="F1156" s="11"/>
      <c r="G1156" s="11"/>
      <c r="H1156" s="11"/>
    </row>
    <row r="1157" spans="2:8">
      <c r="B1157" s="11"/>
      <c r="C1157" s="11"/>
      <c r="D1157" s="11"/>
      <c r="E1157" s="11"/>
      <c r="F1157" s="11"/>
      <c r="G1157" s="11"/>
      <c r="H1157" s="11"/>
    </row>
    <row r="1158" spans="2:8">
      <c r="B1158" s="11"/>
      <c r="C1158" s="11"/>
      <c r="D1158" s="11"/>
      <c r="E1158" s="11"/>
      <c r="F1158" s="11"/>
      <c r="G1158" s="11"/>
      <c r="H1158" s="11"/>
    </row>
    <row r="1159" spans="2:8">
      <c r="B1159" s="11"/>
      <c r="C1159" s="11"/>
      <c r="D1159" s="11"/>
      <c r="E1159" s="11"/>
      <c r="F1159" s="11"/>
      <c r="G1159" s="11"/>
      <c r="H1159" s="11"/>
    </row>
    <row r="1160" spans="2:8">
      <c r="B1160" s="11"/>
      <c r="C1160" s="11"/>
      <c r="D1160" s="11"/>
      <c r="E1160" s="11"/>
      <c r="F1160" s="11"/>
      <c r="G1160" s="11"/>
      <c r="H1160" s="11"/>
    </row>
    <row r="1161" spans="2:8">
      <c r="B1161" s="11"/>
      <c r="C1161" s="11"/>
      <c r="D1161" s="11"/>
      <c r="E1161" s="11"/>
      <c r="F1161" s="11"/>
      <c r="G1161" s="11"/>
      <c r="H1161" s="11"/>
    </row>
    <row r="1162" spans="2:8">
      <c r="B1162" s="11"/>
      <c r="C1162" s="11"/>
      <c r="D1162" s="11"/>
      <c r="E1162" s="11"/>
      <c r="F1162" s="11"/>
      <c r="G1162" s="11"/>
      <c r="H1162" s="11"/>
    </row>
    <row r="1163" spans="2:8">
      <c r="B1163" s="11"/>
      <c r="C1163" s="11"/>
      <c r="D1163" s="11"/>
      <c r="E1163" s="11"/>
      <c r="F1163" s="11"/>
      <c r="G1163" s="11"/>
      <c r="H1163" s="11"/>
    </row>
    <row r="1164" spans="2:8">
      <c r="B1164" s="11"/>
      <c r="C1164" s="11"/>
      <c r="D1164" s="11"/>
      <c r="E1164" s="11"/>
      <c r="F1164" s="11"/>
      <c r="G1164" s="11"/>
      <c r="H1164" s="11"/>
    </row>
    <row r="1165" spans="2:8">
      <c r="B1165" s="11"/>
      <c r="C1165" s="11"/>
      <c r="D1165" s="11"/>
      <c r="E1165" s="11"/>
      <c r="F1165" s="11"/>
      <c r="G1165" s="11"/>
      <c r="H1165" s="11"/>
    </row>
    <row r="1166" spans="2:8">
      <c r="B1166" s="11"/>
      <c r="C1166" s="11"/>
      <c r="D1166" s="11"/>
      <c r="E1166" s="11"/>
      <c r="F1166" s="11"/>
      <c r="G1166" s="11"/>
      <c r="H1166" s="11"/>
    </row>
    <row r="1167" spans="2:8">
      <c r="B1167" s="11"/>
      <c r="C1167" s="11"/>
      <c r="D1167" s="11"/>
      <c r="E1167" s="11"/>
      <c r="F1167" s="11"/>
      <c r="G1167" s="11"/>
      <c r="H1167" s="11"/>
    </row>
    <row r="1168" spans="2:8">
      <c r="B1168" s="11"/>
      <c r="C1168" s="11"/>
      <c r="D1168" s="11"/>
      <c r="E1168" s="11"/>
      <c r="F1168" s="11"/>
      <c r="G1168" s="11"/>
      <c r="H1168" s="11"/>
    </row>
    <row r="1169" spans="2:8">
      <c r="B1169" s="11"/>
      <c r="C1169" s="11"/>
      <c r="D1169" s="11"/>
      <c r="E1169" s="11"/>
      <c r="F1169" s="11"/>
      <c r="G1169" s="11"/>
      <c r="H1169" s="11"/>
    </row>
    <row r="1170" spans="2:8">
      <c r="B1170" s="11"/>
      <c r="C1170" s="11"/>
      <c r="D1170" s="11"/>
      <c r="E1170" s="11"/>
      <c r="F1170" s="11"/>
      <c r="G1170" s="11"/>
      <c r="H1170" s="11"/>
    </row>
    <row r="1171" spans="2:8">
      <c r="B1171" s="11"/>
      <c r="C1171" s="11"/>
      <c r="D1171" s="11"/>
      <c r="E1171" s="11"/>
      <c r="F1171" s="11"/>
      <c r="G1171" s="11"/>
      <c r="H1171" s="11"/>
    </row>
    <row r="1172" spans="2:8">
      <c r="B1172" s="11"/>
      <c r="C1172" s="11"/>
      <c r="D1172" s="11"/>
      <c r="E1172" s="11"/>
      <c r="F1172" s="11"/>
      <c r="G1172" s="11"/>
      <c r="H1172" s="11"/>
    </row>
    <row r="1173" spans="2:8">
      <c r="B1173" s="11"/>
      <c r="C1173" s="11"/>
      <c r="D1173" s="11"/>
      <c r="E1173" s="11"/>
      <c r="F1173" s="11"/>
      <c r="G1173" s="11"/>
      <c r="H1173" s="11"/>
    </row>
    <row r="1174" spans="2:8">
      <c r="B1174" s="11"/>
      <c r="C1174" s="11"/>
      <c r="D1174" s="11"/>
      <c r="E1174" s="11"/>
      <c r="F1174" s="11"/>
      <c r="G1174" s="11"/>
      <c r="H1174" s="11"/>
    </row>
    <row r="1175" spans="2:8">
      <c r="B1175" s="11"/>
      <c r="C1175" s="11"/>
      <c r="D1175" s="11"/>
      <c r="E1175" s="11"/>
      <c r="F1175" s="11"/>
      <c r="G1175" s="11"/>
      <c r="H1175" s="11"/>
    </row>
    <row r="1176" spans="2:8">
      <c r="B1176" s="11"/>
      <c r="C1176" s="11"/>
      <c r="D1176" s="11"/>
      <c r="E1176" s="11"/>
      <c r="F1176" s="11"/>
      <c r="G1176" s="11"/>
      <c r="H1176" s="11"/>
    </row>
    <row r="1177" spans="2:8">
      <c r="B1177" s="11"/>
      <c r="C1177" s="11"/>
      <c r="D1177" s="11"/>
      <c r="E1177" s="11"/>
      <c r="F1177" s="11"/>
      <c r="G1177" s="11"/>
      <c r="H1177" s="11"/>
    </row>
    <row r="1178" spans="2:8">
      <c r="B1178" s="11"/>
      <c r="C1178" s="11"/>
      <c r="D1178" s="11"/>
      <c r="E1178" s="11"/>
      <c r="F1178" s="11"/>
      <c r="G1178" s="11"/>
      <c r="H1178" s="11"/>
    </row>
    <row r="1179" spans="2:8">
      <c r="B1179" s="11"/>
      <c r="C1179" s="11"/>
      <c r="D1179" s="11"/>
      <c r="E1179" s="11"/>
      <c r="F1179" s="11"/>
      <c r="G1179" s="11"/>
      <c r="H1179" s="11"/>
    </row>
    <row r="1180" spans="2:8">
      <c r="B1180" s="11"/>
      <c r="C1180" s="11"/>
      <c r="D1180" s="11"/>
      <c r="E1180" s="11"/>
      <c r="F1180" s="11"/>
      <c r="G1180" s="11"/>
      <c r="H1180" s="11"/>
    </row>
    <row r="1181" spans="2:8">
      <c r="B1181" s="11"/>
      <c r="C1181" s="11"/>
      <c r="D1181" s="11"/>
      <c r="E1181" s="11"/>
      <c r="F1181" s="11"/>
      <c r="G1181" s="11"/>
      <c r="H1181" s="11"/>
    </row>
    <row r="1182" spans="2:8">
      <c r="B1182" s="11"/>
      <c r="C1182" s="11"/>
      <c r="D1182" s="11"/>
      <c r="E1182" s="11"/>
      <c r="F1182" s="11"/>
      <c r="G1182" s="11"/>
      <c r="H1182" s="11"/>
    </row>
    <row r="1183" spans="2:8">
      <c r="B1183" s="11"/>
      <c r="C1183" s="11"/>
      <c r="D1183" s="11"/>
      <c r="E1183" s="11"/>
      <c r="F1183" s="11"/>
      <c r="G1183" s="11"/>
      <c r="H1183" s="11"/>
    </row>
    <row r="1184" spans="2:8">
      <c r="B1184" s="11"/>
      <c r="C1184" s="11"/>
      <c r="D1184" s="11"/>
      <c r="E1184" s="11"/>
      <c r="F1184" s="11"/>
      <c r="G1184" s="11"/>
      <c r="H1184" s="11"/>
    </row>
    <row r="1185" spans="2:8">
      <c r="B1185" s="11"/>
      <c r="C1185" s="11"/>
      <c r="D1185" s="11"/>
      <c r="E1185" s="11"/>
      <c r="F1185" s="11"/>
      <c r="G1185" s="11"/>
      <c r="H1185" s="11"/>
    </row>
    <row r="1186" spans="2:8">
      <c r="B1186" s="11"/>
      <c r="C1186" s="11"/>
      <c r="D1186" s="11"/>
      <c r="E1186" s="11"/>
      <c r="F1186" s="11"/>
      <c r="G1186" s="11"/>
      <c r="H1186" s="11"/>
    </row>
    <row r="1187" spans="2:8">
      <c r="B1187" s="11"/>
      <c r="C1187" s="11"/>
      <c r="D1187" s="11"/>
      <c r="E1187" s="11"/>
      <c r="F1187" s="11"/>
      <c r="G1187" s="11"/>
      <c r="H1187" s="11"/>
    </row>
    <row r="1188" spans="2:8">
      <c r="B1188" s="11"/>
      <c r="C1188" s="11"/>
      <c r="D1188" s="11"/>
      <c r="E1188" s="11"/>
      <c r="F1188" s="11"/>
      <c r="G1188" s="11"/>
      <c r="H1188" s="11"/>
    </row>
    <row r="1189" spans="2:8">
      <c r="B1189" s="11"/>
      <c r="C1189" s="11"/>
      <c r="D1189" s="11"/>
      <c r="E1189" s="11"/>
      <c r="F1189" s="11"/>
      <c r="G1189" s="11"/>
      <c r="H1189" s="11"/>
    </row>
    <row r="1190" spans="2:8">
      <c r="B1190" s="11"/>
      <c r="C1190" s="11"/>
      <c r="D1190" s="11"/>
      <c r="E1190" s="11"/>
      <c r="F1190" s="11"/>
      <c r="G1190" s="11"/>
      <c r="H1190" s="11"/>
    </row>
    <row r="1191" spans="2:8">
      <c r="B1191" s="11"/>
      <c r="C1191" s="11"/>
      <c r="D1191" s="11"/>
      <c r="E1191" s="11"/>
      <c r="F1191" s="11"/>
      <c r="G1191" s="11"/>
      <c r="H1191" s="11"/>
    </row>
    <row r="1192" spans="2:8">
      <c r="B1192" s="11"/>
      <c r="C1192" s="11"/>
      <c r="D1192" s="11"/>
      <c r="E1192" s="11"/>
      <c r="F1192" s="11"/>
      <c r="G1192" s="11"/>
      <c r="H1192" s="11"/>
    </row>
    <row r="1193" spans="2:8">
      <c r="B1193" s="11"/>
      <c r="C1193" s="11"/>
      <c r="D1193" s="11"/>
      <c r="E1193" s="11"/>
      <c r="F1193" s="11"/>
      <c r="G1193" s="11"/>
      <c r="H1193" s="11"/>
    </row>
    <row r="1194" spans="2:8">
      <c r="B1194" s="11"/>
      <c r="C1194" s="11"/>
      <c r="D1194" s="11"/>
      <c r="E1194" s="11"/>
      <c r="F1194" s="11"/>
      <c r="G1194" s="11"/>
      <c r="H1194" s="11"/>
    </row>
    <row r="1195" spans="2:8">
      <c r="B1195" s="11"/>
      <c r="C1195" s="11"/>
      <c r="D1195" s="11"/>
      <c r="E1195" s="11"/>
      <c r="F1195" s="11"/>
      <c r="G1195" s="11"/>
      <c r="H1195" s="11"/>
    </row>
    <row r="1196" spans="2:8">
      <c r="B1196" s="11"/>
      <c r="C1196" s="11"/>
      <c r="D1196" s="11"/>
      <c r="E1196" s="11"/>
      <c r="F1196" s="11"/>
      <c r="G1196" s="11"/>
      <c r="H1196" s="11"/>
    </row>
    <row r="1197" spans="2:8">
      <c r="B1197" s="11"/>
      <c r="C1197" s="11"/>
      <c r="D1197" s="11"/>
      <c r="E1197" s="11"/>
      <c r="F1197" s="11"/>
      <c r="G1197" s="11"/>
      <c r="H1197" s="11"/>
    </row>
    <row r="1198" spans="2:8">
      <c r="B1198" s="11"/>
      <c r="C1198" s="11"/>
      <c r="D1198" s="11"/>
      <c r="E1198" s="11"/>
      <c r="F1198" s="11"/>
      <c r="G1198" s="11"/>
      <c r="H1198" s="11"/>
    </row>
    <row r="1199" spans="2:8">
      <c r="B1199" s="11"/>
      <c r="C1199" s="11"/>
      <c r="D1199" s="11"/>
      <c r="E1199" s="11"/>
      <c r="F1199" s="11"/>
      <c r="G1199" s="11"/>
      <c r="H1199" s="11"/>
    </row>
    <row r="1200" spans="2:8">
      <c r="B1200" s="11"/>
      <c r="C1200" s="11"/>
      <c r="D1200" s="11"/>
      <c r="E1200" s="11"/>
      <c r="F1200" s="11"/>
      <c r="G1200" s="11"/>
      <c r="H1200" s="11"/>
    </row>
    <row r="1201" spans="2:8">
      <c r="B1201" s="11"/>
      <c r="C1201" s="11"/>
      <c r="D1201" s="11"/>
      <c r="E1201" s="11"/>
      <c r="F1201" s="11"/>
      <c r="G1201" s="11"/>
      <c r="H1201" s="11"/>
    </row>
    <row r="1202" spans="2:8">
      <c r="B1202" s="11"/>
      <c r="C1202" s="11"/>
      <c r="D1202" s="11"/>
      <c r="E1202" s="11"/>
      <c r="F1202" s="11"/>
      <c r="G1202" s="11"/>
      <c r="H1202" s="11"/>
    </row>
    <row r="1203" spans="2:8">
      <c r="B1203" s="11"/>
      <c r="C1203" s="11"/>
      <c r="D1203" s="11"/>
      <c r="E1203" s="11"/>
      <c r="F1203" s="11"/>
      <c r="G1203" s="11"/>
      <c r="H1203" s="11"/>
    </row>
    <row r="1204" spans="2:8">
      <c r="B1204" s="11"/>
      <c r="C1204" s="11"/>
      <c r="D1204" s="11"/>
      <c r="E1204" s="11"/>
      <c r="F1204" s="11"/>
      <c r="G1204" s="11"/>
      <c r="H1204" s="11"/>
    </row>
    <row r="1205" spans="2:8">
      <c r="B1205" s="11"/>
      <c r="C1205" s="11"/>
      <c r="D1205" s="11"/>
      <c r="E1205" s="11"/>
      <c r="F1205" s="11"/>
      <c r="G1205" s="11"/>
      <c r="H1205" s="11"/>
    </row>
    <row r="1206" spans="2:8">
      <c r="B1206" s="11"/>
      <c r="C1206" s="11"/>
      <c r="D1206" s="11"/>
      <c r="E1206" s="11"/>
      <c r="F1206" s="11"/>
      <c r="G1206" s="11"/>
      <c r="H1206" s="11"/>
    </row>
    <row r="1207" spans="2:8">
      <c r="B1207" s="11"/>
      <c r="C1207" s="11"/>
      <c r="D1207" s="11"/>
      <c r="E1207" s="11"/>
      <c r="F1207" s="11"/>
      <c r="G1207" s="11"/>
      <c r="H1207" s="11"/>
    </row>
    <row r="1208" spans="2:8">
      <c r="B1208" s="11"/>
      <c r="C1208" s="11"/>
      <c r="D1208" s="11"/>
      <c r="E1208" s="11"/>
      <c r="F1208" s="11"/>
      <c r="G1208" s="11"/>
      <c r="H1208" s="11"/>
    </row>
    <row r="1209" spans="2:8">
      <c r="B1209" s="11"/>
      <c r="C1209" s="11"/>
      <c r="D1209" s="11"/>
      <c r="E1209" s="11"/>
      <c r="F1209" s="11"/>
      <c r="G1209" s="11"/>
      <c r="H1209" s="11"/>
    </row>
    <row r="1210" spans="2:8">
      <c r="B1210" s="11"/>
      <c r="C1210" s="11"/>
      <c r="D1210" s="11"/>
      <c r="E1210" s="11"/>
      <c r="F1210" s="11"/>
      <c r="G1210" s="11"/>
      <c r="H1210" s="11"/>
    </row>
    <row r="1211" spans="2:8">
      <c r="B1211" s="11"/>
      <c r="C1211" s="11"/>
      <c r="D1211" s="11"/>
      <c r="E1211" s="11"/>
      <c r="F1211" s="11"/>
      <c r="G1211" s="11"/>
      <c r="H1211" s="11"/>
    </row>
    <row r="1212" spans="2:8">
      <c r="B1212" s="11"/>
      <c r="C1212" s="11"/>
      <c r="D1212" s="11"/>
      <c r="E1212" s="11"/>
      <c r="F1212" s="11"/>
      <c r="G1212" s="11"/>
      <c r="H1212" s="11"/>
    </row>
    <row r="1213" spans="2:8">
      <c r="B1213" s="11"/>
      <c r="C1213" s="11"/>
      <c r="D1213" s="11"/>
      <c r="E1213" s="11"/>
      <c r="F1213" s="11"/>
      <c r="G1213" s="11"/>
      <c r="H1213" s="11"/>
    </row>
    <row r="1214" spans="2:8">
      <c r="B1214" s="11"/>
      <c r="C1214" s="11"/>
      <c r="D1214" s="11"/>
      <c r="E1214" s="11"/>
      <c r="F1214" s="11"/>
      <c r="G1214" s="11"/>
      <c r="H1214" s="11"/>
    </row>
    <row r="1215" spans="2:8">
      <c r="B1215" s="11"/>
      <c r="C1215" s="11"/>
      <c r="D1215" s="11"/>
      <c r="E1215" s="11"/>
      <c r="F1215" s="11"/>
      <c r="G1215" s="11"/>
      <c r="H1215" s="11"/>
    </row>
    <row r="1216" spans="2:8">
      <c r="B1216" s="11"/>
      <c r="C1216" s="11"/>
      <c r="D1216" s="11"/>
      <c r="E1216" s="11"/>
      <c r="F1216" s="11"/>
      <c r="G1216" s="11"/>
      <c r="H1216" s="11"/>
    </row>
    <row r="1217" spans="2:8">
      <c r="B1217" s="11"/>
      <c r="C1217" s="11"/>
      <c r="D1217" s="11"/>
      <c r="E1217" s="11"/>
      <c r="F1217" s="11"/>
      <c r="G1217" s="11"/>
      <c r="H1217" s="11"/>
    </row>
    <row r="1218" spans="2:8">
      <c r="B1218" s="11"/>
      <c r="C1218" s="11"/>
      <c r="D1218" s="11"/>
      <c r="E1218" s="11"/>
      <c r="F1218" s="11"/>
      <c r="G1218" s="11"/>
      <c r="H1218" s="11"/>
    </row>
    <row r="1219" spans="2:8">
      <c r="B1219" s="11"/>
      <c r="C1219" s="11"/>
      <c r="D1219" s="11"/>
      <c r="E1219" s="11"/>
      <c r="F1219" s="11"/>
      <c r="G1219" s="11"/>
      <c r="H1219" s="11"/>
    </row>
    <row r="1220" spans="2:8">
      <c r="B1220" s="11"/>
      <c r="C1220" s="11"/>
      <c r="D1220" s="11"/>
      <c r="E1220" s="11"/>
      <c r="F1220" s="11"/>
      <c r="G1220" s="11"/>
      <c r="H1220" s="11"/>
    </row>
    <row r="1221" spans="2:8">
      <c r="B1221" s="11"/>
      <c r="C1221" s="11"/>
      <c r="D1221" s="11"/>
      <c r="E1221" s="11"/>
      <c r="F1221" s="11"/>
      <c r="G1221" s="11"/>
      <c r="H1221" s="11"/>
    </row>
    <row r="1222" spans="2:8">
      <c r="B1222" s="11"/>
      <c r="C1222" s="11"/>
      <c r="D1222" s="11"/>
      <c r="E1222" s="11"/>
      <c r="F1222" s="11"/>
      <c r="G1222" s="11"/>
      <c r="H1222" s="11"/>
    </row>
    <row r="1223" spans="2:8">
      <c r="B1223" s="11"/>
      <c r="C1223" s="11"/>
      <c r="D1223" s="11"/>
      <c r="E1223" s="11"/>
      <c r="F1223" s="11"/>
      <c r="G1223" s="11"/>
      <c r="H1223" s="11"/>
    </row>
    <row r="1224" spans="2:8">
      <c r="B1224" s="11"/>
      <c r="C1224" s="11"/>
      <c r="D1224" s="11"/>
      <c r="E1224" s="11"/>
      <c r="F1224" s="11"/>
      <c r="G1224" s="11"/>
      <c r="H1224" s="11"/>
    </row>
    <row r="1225" spans="2:8">
      <c r="B1225" s="11"/>
      <c r="C1225" s="11"/>
      <c r="D1225" s="11"/>
      <c r="E1225" s="11"/>
      <c r="F1225" s="11"/>
      <c r="G1225" s="11"/>
      <c r="H1225" s="11"/>
    </row>
    <row r="1226" spans="2:8">
      <c r="B1226" s="11"/>
      <c r="C1226" s="11"/>
      <c r="D1226" s="11"/>
      <c r="E1226" s="11"/>
      <c r="F1226" s="11"/>
      <c r="G1226" s="11"/>
      <c r="H1226" s="11"/>
    </row>
    <row r="1227" spans="2:8">
      <c r="B1227" s="11"/>
      <c r="C1227" s="11"/>
      <c r="D1227" s="11"/>
      <c r="E1227" s="11"/>
      <c r="F1227" s="11"/>
      <c r="G1227" s="11"/>
      <c r="H1227" s="11"/>
    </row>
    <row r="1228" spans="2:8">
      <c r="B1228" s="11"/>
      <c r="C1228" s="11"/>
      <c r="D1228" s="11"/>
      <c r="E1228" s="11"/>
      <c r="F1228" s="11"/>
      <c r="G1228" s="11"/>
      <c r="H1228" s="11"/>
    </row>
    <row r="1229" spans="2:8">
      <c r="B1229" s="11"/>
      <c r="C1229" s="11"/>
      <c r="D1229" s="11"/>
      <c r="E1229" s="11"/>
      <c r="F1229" s="11"/>
      <c r="G1229" s="11"/>
      <c r="H1229" s="11"/>
    </row>
    <row r="1230" spans="2:8">
      <c r="B1230" s="11"/>
      <c r="C1230" s="11"/>
      <c r="D1230" s="11"/>
      <c r="E1230" s="11"/>
      <c r="F1230" s="11"/>
      <c r="G1230" s="11"/>
      <c r="H1230" s="11"/>
    </row>
    <row r="1231" spans="2:8">
      <c r="B1231" s="11"/>
      <c r="C1231" s="11"/>
      <c r="D1231" s="11"/>
      <c r="E1231" s="11"/>
      <c r="F1231" s="11"/>
      <c r="G1231" s="11"/>
      <c r="H1231" s="11"/>
    </row>
    <row r="1232" spans="2:8">
      <c r="B1232" s="11"/>
      <c r="C1232" s="11"/>
      <c r="D1232" s="11"/>
      <c r="E1232" s="11"/>
      <c r="F1232" s="11"/>
      <c r="G1232" s="11"/>
      <c r="H1232" s="11"/>
    </row>
    <row r="1233" spans="2:8">
      <c r="B1233" s="11"/>
      <c r="C1233" s="11"/>
      <c r="D1233" s="11"/>
      <c r="E1233" s="11"/>
      <c r="F1233" s="11"/>
      <c r="G1233" s="11"/>
      <c r="H1233" s="11"/>
    </row>
    <row r="1234" spans="2:8">
      <c r="B1234" s="11"/>
      <c r="C1234" s="11"/>
      <c r="D1234" s="11"/>
      <c r="E1234" s="11"/>
      <c r="F1234" s="11"/>
      <c r="G1234" s="11"/>
      <c r="H1234" s="11"/>
    </row>
    <row r="1235" spans="2:8">
      <c r="B1235" s="11"/>
      <c r="C1235" s="11"/>
      <c r="D1235" s="11"/>
      <c r="E1235" s="11"/>
      <c r="F1235" s="11"/>
      <c r="G1235" s="11"/>
      <c r="H1235" s="11"/>
    </row>
    <row r="1236" spans="2:8">
      <c r="B1236" s="11"/>
      <c r="C1236" s="11"/>
      <c r="D1236" s="11"/>
      <c r="E1236" s="11"/>
      <c r="F1236" s="11"/>
      <c r="G1236" s="11"/>
      <c r="H1236" s="11"/>
    </row>
    <row r="1237" spans="2:8">
      <c r="B1237" s="11"/>
      <c r="C1237" s="11"/>
      <c r="D1237" s="11"/>
      <c r="E1237" s="11"/>
      <c r="F1237" s="11"/>
      <c r="G1237" s="11"/>
      <c r="H1237" s="11"/>
    </row>
    <row r="1238" spans="2:8">
      <c r="B1238" s="11"/>
      <c r="C1238" s="11"/>
      <c r="D1238" s="11"/>
      <c r="E1238" s="11"/>
      <c r="F1238" s="11"/>
      <c r="G1238" s="11"/>
      <c r="H1238" s="11"/>
    </row>
    <row r="1239" spans="2:8">
      <c r="B1239" s="11"/>
      <c r="C1239" s="11"/>
      <c r="D1239" s="11"/>
      <c r="E1239" s="11"/>
      <c r="F1239" s="11"/>
      <c r="G1239" s="11"/>
      <c r="H1239" s="11"/>
    </row>
    <row r="1240" spans="2:8">
      <c r="B1240" s="11"/>
      <c r="C1240" s="11"/>
      <c r="D1240" s="11"/>
      <c r="E1240" s="11"/>
      <c r="F1240" s="11"/>
      <c r="G1240" s="11"/>
      <c r="H1240" s="11"/>
    </row>
    <row r="1241" spans="2:8">
      <c r="B1241" s="11"/>
      <c r="C1241" s="11"/>
      <c r="D1241" s="11"/>
      <c r="E1241" s="11"/>
      <c r="F1241" s="11"/>
      <c r="G1241" s="11"/>
      <c r="H1241" s="11"/>
    </row>
    <row r="1242" spans="2:8">
      <c r="B1242" s="11"/>
      <c r="C1242" s="11"/>
      <c r="D1242" s="11"/>
      <c r="E1242" s="11"/>
      <c r="F1242" s="11"/>
      <c r="G1242" s="11"/>
      <c r="H1242" s="11"/>
    </row>
    <row r="1243" spans="2:8">
      <c r="B1243" s="11"/>
      <c r="C1243" s="11"/>
      <c r="D1243" s="11"/>
      <c r="E1243" s="11"/>
      <c r="F1243" s="11"/>
      <c r="G1243" s="11"/>
      <c r="H1243" s="11"/>
    </row>
    <row r="1244" spans="2:8">
      <c r="B1244" s="11"/>
      <c r="C1244" s="11"/>
      <c r="D1244" s="11"/>
      <c r="E1244" s="11"/>
      <c r="F1244" s="11"/>
      <c r="G1244" s="11"/>
      <c r="H1244" s="11"/>
    </row>
    <row r="1245" spans="2:8">
      <c r="B1245" s="11"/>
      <c r="C1245" s="11"/>
      <c r="D1245" s="11"/>
      <c r="E1245" s="11"/>
      <c r="F1245" s="11"/>
      <c r="G1245" s="11"/>
      <c r="H1245" s="11"/>
    </row>
    <row r="1246" spans="2:8">
      <c r="B1246" s="11"/>
      <c r="C1246" s="11"/>
      <c r="D1246" s="11"/>
      <c r="E1246" s="11"/>
      <c r="F1246" s="11"/>
      <c r="G1246" s="11"/>
      <c r="H1246" s="11"/>
    </row>
    <row r="1247" spans="2:8">
      <c r="B1247" s="11"/>
      <c r="C1247" s="11"/>
      <c r="D1247" s="11"/>
      <c r="E1247" s="11"/>
      <c r="F1247" s="11"/>
      <c r="G1247" s="11"/>
      <c r="H1247" s="11"/>
    </row>
    <row r="1248" spans="2:8">
      <c r="B1248" s="11"/>
      <c r="C1248" s="11"/>
      <c r="D1248" s="11"/>
      <c r="E1248" s="11"/>
      <c r="F1248" s="11"/>
      <c r="G1248" s="11"/>
      <c r="H1248" s="11"/>
    </row>
    <row r="1249" spans="2:8">
      <c r="B1249" s="11"/>
      <c r="C1249" s="11"/>
      <c r="D1249" s="11"/>
      <c r="E1249" s="11"/>
      <c r="F1249" s="11"/>
      <c r="G1249" s="11"/>
      <c r="H1249" s="11"/>
    </row>
    <row r="1250" spans="2:8">
      <c r="B1250" s="11"/>
      <c r="C1250" s="11"/>
      <c r="D1250" s="11"/>
      <c r="E1250" s="11"/>
      <c r="F1250" s="11"/>
      <c r="G1250" s="11"/>
      <c r="H1250" s="11"/>
    </row>
    <row r="1251" spans="2:8">
      <c r="B1251" s="11"/>
      <c r="C1251" s="11"/>
      <c r="D1251" s="11"/>
      <c r="E1251" s="11"/>
      <c r="F1251" s="11"/>
      <c r="G1251" s="11"/>
      <c r="H1251" s="11"/>
    </row>
    <row r="1252" spans="2:8">
      <c r="B1252" s="11"/>
      <c r="C1252" s="11"/>
      <c r="D1252" s="11"/>
      <c r="E1252" s="11"/>
      <c r="F1252" s="11"/>
      <c r="G1252" s="11"/>
      <c r="H1252" s="11"/>
    </row>
    <row r="1253" spans="2:8">
      <c r="B1253" s="11"/>
      <c r="C1253" s="11"/>
      <c r="D1253" s="11"/>
      <c r="E1253" s="11"/>
      <c r="F1253" s="11"/>
      <c r="G1253" s="11"/>
      <c r="H1253" s="11"/>
    </row>
    <row r="1254" spans="2:8">
      <c r="B1254" s="11"/>
      <c r="C1254" s="11"/>
      <c r="D1254" s="11"/>
      <c r="E1254" s="11"/>
      <c r="F1254" s="11"/>
      <c r="G1254" s="11"/>
      <c r="H1254" s="11"/>
    </row>
    <row r="1255" spans="2:8">
      <c r="B1255" s="11"/>
      <c r="C1255" s="11"/>
      <c r="D1255" s="11"/>
      <c r="E1255" s="11"/>
      <c r="F1255" s="11"/>
      <c r="G1255" s="11"/>
      <c r="H1255" s="11"/>
    </row>
    <row r="1256" spans="2:8">
      <c r="B1256" s="11"/>
      <c r="C1256" s="11"/>
      <c r="D1256" s="11"/>
      <c r="E1256" s="11"/>
      <c r="F1256" s="11"/>
      <c r="G1256" s="11"/>
      <c r="H1256" s="11"/>
    </row>
    <row r="1257" spans="2:8">
      <c r="B1257" s="11"/>
      <c r="C1257" s="11"/>
      <c r="D1257" s="11"/>
      <c r="E1257" s="11"/>
      <c r="F1257" s="11"/>
      <c r="G1257" s="11"/>
      <c r="H1257" s="11"/>
    </row>
    <row r="1258" spans="2:8">
      <c r="B1258" s="11"/>
      <c r="C1258" s="11"/>
      <c r="D1258" s="11"/>
      <c r="E1258" s="11"/>
      <c r="F1258" s="11"/>
      <c r="G1258" s="11"/>
      <c r="H1258" s="11"/>
    </row>
    <row r="1259" spans="2:8">
      <c r="B1259" s="11"/>
      <c r="C1259" s="11"/>
      <c r="D1259" s="11"/>
      <c r="E1259" s="11"/>
      <c r="F1259" s="11"/>
      <c r="G1259" s="11"/>
      <c r="H1259" s="11"/>
    </row>
    <row r="1260" spans="2:8">
      <c r="B1260" s="11"/>
      <c r="C1260" s="11"/>
      <c r="D1260" s="11"/>
      <c r="E1260" s="11"/>
      <c r="F1260" s="11"/>
      <c r="G1260" s="11"/>
      <c r="H1260" s="11"/>
    </row>
    <row r="1261" spans="2:8">
      <c r="B1261" s="11"/>
      <c r="C1261" s="11"/>
      <c r="D1261" s="11"/>
      <c r="E1261" s="11"/>
      <c r="F1261" s="11"/>
      <c r="G1261" s="11"/>
      <c r="H1261" s="11"/>
    </row>
    <row r="1262" spans="2:8">
      <c r="B1262" s="11"/>
      <c r="C1262" s="11"/>
      <c r="D1262" s="11"/>
      <c r="E1262" s="11"/>
      <c r="F1262" s="11"/>
      <c r="G1262" s="11"/>
      <c r="H1262" s="11"/>
    </row>
    <row r="1263" spans="2:8">
      <c r="B1263" s="11"/>
      <c r="C1263" s="11"/>
      <c r="D1263" s="11"/>
      <c r="E1263" s="11"/>
      <c r="F1263" s="11"/>
      <c r="G1263" s="11"/>
      <c r="H1263" s="11"/>
    </row>
    <row r="1264" spans="2:8">
      <c r="B1264" s="11"/>
      <c r="C1264" s="11"/>
      <c r="D1264" s="11"/>
      <c r="E1264" s="11"/>
      <c r="F1264" s="11"/>
      <c r="G1264" s="11"/>
      <c r="H1264" s="11"/>
    </row>
    <row r="1265" spans="2:8">
      <c r="B1265" s="11"/>
      <c r="C1265" s="11"/>
      <c r="D1265" s="11"/>
      <c r="E1265" s="11"/>
      <c r="F1265" s="11"/>
      <c r="G1265" s="11"/>
      <c r="H1265" s="11"/>
    </row>
    <row r="1266" spans="2:8">
      <c r="B1266" s="11"/>
      <c r="C1266" s="11"/>
      <c r="D1266" s="11"/>
      <c r="E1266" s="11"/>
      <c r="F1266" s="11"/>
      <c r="G1266" s="11"/>
      <c r="H1266" s="11"/>
    </row>
    <row r="1267" spans="2:8">
      <c r="B1267" s="11"/>
      <c r="C1267" s="11"/>
      <c r="D1267" s="11"/>
      <c r="E1267" s="11"/>
      <c r="F1267" s="11"/>
      <c r="G1267" s="11"/>
      <c r="H1267" s="11"/>
    </row>
    <row r="1268" spans="2:8">
      <c r="B1268" s="11"/>
      <c r="C1268" s="11"/>
      <c r="D1268" s="11"/>
      <c r="E1268" s="11"/>
      <c r="F1268" s="11"/>
      <c r="G1268" s="11"/>
      <c r="H1268" s="11"/>
    </row>
    <row r="1269" spans="2:8">
      <c r="B1269" s="11"/>
      <c r="C1269" s="11"/>
      <c r="D1269" s="11"/>
      <c r="E1269" s="11"/>
      <c r="F1269" s="11"/>
      <c r="G1269" s="11"/>
      <c r="H1269" s="11"/>
    </row>
    <row r="1270" spans="2:8">
      <c r="B1270" s="11"/>
      <c r="C1270" s="11"/>
      <c r="D1270" s="11"/>
      <c r="E1270" s="11"/>
      <c r="F1270" s="11"/>
      <c r="G1270" s="11"/>
      <c r="H1270" s="11"/>
    </row>
    <row r="1271" spans="2:8">
      <c r="B1271" s="11"/>
      <c r="C1271" s="11"/>
      <c r="D1271" s="11"/>
      <c r="E1271" s="11"/>
      <c r="F1271" s="11"/>
      <c r="G1271" s="11"/>
      <c r="H1271" s="11"/>
    </row>
    <row r="1272" spans="2:8">
      <c r="B1272" s="11"/>
      <c r="C1272" s="11"/>
      <c r="D1272" s="11"/>
      <c r="E1272" s="11"/>
      <c r="F1272" s="11"/>
      <c r="G1272" s="11"/>
      <c r="H1272" s="11"/>
    </row>
    <row r="1273" spans="2:8">
      <c r="B1273" s="11"/>
      <c r="C1273" s="11"/>
      <c r="D1273" s="11"/>
      <c r="E1273" s="11"/>
      <c r="F1273" s="11"/>
      <c r="G1273" s="11"/>
      <c r="H1273" s="11"/>
    </row>
    <row r="1274" spans="2:8">
      <c r="B1274" s="11"/>
      <c r="C1274" s="11"/>
      <c r="D1274" s="11"/>
      <c r="E1274" s="11"/>
      <c r="F1274" s="11"/>
      <c r="G1274" s="11"/>
      <c r="H1274" s="11"/>
    </row>
    <row r="1275" spans="2:8">
      <c r="B1275" s="11"/>
      <c r="C1275" s="11"/>
      <c r="D1275" s="11"/>
      <c r="E1275" s="11"/>
      <c r="F1275" s="11"/>
      <c r="G1275" s="11"/>
      <c r="H1275" s="11"/>
    </row>
    <row r="1276" spans="2:8">
      <c r="B1276" s="11"/>
      <c r="C1276" s="11"/>
      <c r="D1276" s="11"/>
      <c r="E1276" s="11"/>
      <c r="F1276" s="11"/>
      <c r="G1276" s="11"/>
      <c r="H1276" s="11"/>
    </row>
    <row r="1277" spans="2:8">
      <c r="B1277" s="11"/>
      <c r="C1277" s="11"/>
      <c r="D1277" s="11"/>
      <c r="E1277" s="11"/>
      <c r="F1277" s="11"/>
      <c r="G1277" s="11"/>
      <c r="H1277" s="11"/>
    </row>
    <row r="1278" spans="2:8">
      <c r="B1278" s="11"/>
      <c r="C1278" s="11"/>
      <c r="D1278" s="11"/>
      <c r="E1278" s="11"/>
      <c r="F1278" s="11"/>
      <c r="G1278" s="11"/>
      <c r="H1278" s="11"/>
    </row>
    <row r="1279" spans="2:8">
      <c r="B1279" s="11"/>
      <c r="C1279" s="11"/>
      <c r="D1279" s="11"/>
      <c r="E1279" s="11"/>
      <c r="F1279" s="11"/>
      <c r="G1279" s="11"/>
      <c r="H1279" s="11"/>
    </row>
    <row r="1280" spans="2:8">
      <c r="B1280" s="11"/>
      <c r="C1280" s="11"/>
      <c r="D1280" s="11"/>
      <c r="E1280" s="11"/>
      <c r="F1280" s="11"/>
      <c r="G1280" s="11"/>
      <c r="H1280" s="11"/>
    </row>
    <row r="1281" spans="2:8">
      <c r="B1281" s="11"/>
      <c r="C1281" s="11"/>
      <c r="D1281" s="11"/>
      <c r="E1281" s="11"/>
      <c r="F1281" s="11"/>
      <c r="G1281" s="11"/>
      <c r="H1281" s="11"/>
    </row>
    <row r="1282" spans="2:8">
      <c r="B1282" s="11"/>
      <c r="C1282" s="11"/>
      <c r="D1282" s="11"/>
      <c r="E1282" s="11"/>
      <c r="F1282" s="11"/>
      <c r="G1282" s="11"/>
      <c r="H1282" s="11"/>
    </row>
    <row r="1283" spans="2:8">
      <c r="B1283" s="11"/>
      <c r="C1283" s="11"/>
      <c r="D1283" s="11"/>
      <c r="E1283" s="11"/>
      <c r="F1283" s="11"/>
      <c r="G1283" s="11"/>
      <c r="H1283" s="11"/>
    </row>
    <row r="1284" spans="2:8">
      <c r="B1284" s="11"/>
      <c r="C1284" s="11"/>
      <c r="D1284" s="11"/>
      <c r="E1284" s="11"/>
      <c r="F1284" s="11"/>
      <c r="G1284" s="11"/>
      <c r="H1284" s="11"/>
    </row>
    <row r="1285" spans="2:8">
      <c r="B1285" s="11"/>
      <c r="C1285" s="11"/>
      <c r="D1285" s="11"/>
      <c r="E1285" s="11"/>
      <c r="F1285" s="11"/>
      <c r="G1285" s="11"/>
      <c r="H1285" s="11"/>
    </row>
    <row r="1286" spans="2:8">
      <c r="B1286" s="11"/>
      <c r="C1286" s="11"/>
      <c r="D1286" s="11"/>
      <c r="E1286" s="11"/>
      <c r="F1286" s="11"/>
      <c r="G1286" s="11"/>
      <c r="H1286" s="11"/>
    </row>
    <row r="1287" spans="2:8">
      <c r="B1287" s="11"/>
      <c r="C1287" s="11"/>
      <c r="D1287" s="11"/>
      <c r="E1287" s="11"/>
      <c r="F1287" s="11"/>
      <c r="G1287" s="11"/>
      <c r="H1287" s="11"/>
    </row>
    <row r="1288" spans="2:8">
      <c r="B1288" s="11"/>
      <c r="C1288" s="11"/>
      <c r="D1288" s="11"/>
      <c r="E1288" s="11"/>
      <c r="F1288" s="11"/>
      <c r="G1288" s="11"/>
      <c r="H1288" s="11"/>
    </row>
    <row r="1289" spans="2:8">
      <c r="B1289" s="11"/>
      <c r="C1289" s="11"/>
      <c r="D1289" s="11"/>
      <c r="E1289" s="11"/>
      <c r="F1289" s="11"/>
      <c r="G1289" s="11"/>
      <c r="H1289" s="11"/>
    </row>
    <row r="1290" spans="2:8">
      <c r="B1290" s="11"/>
      <c r="C1290" s="11"/>
      <c r="D1290" s="11"/>
      <c r="E1290" s="11"/>
      <c r="F1290" s="11"/>
      <c r="G1290" s="11"/>
      <c r="H1290" s="11"/>
    </row>
    <row r="1291" spans="2:8">
      <c r="B1291" s="11"/>
      <c r="C1291" s="11"/>
      <c r="D1291" s="11"/>
      <c r="E1291" s="11"/>
      <c r="F1291" s="11"/>
      <c r="G1291" s="11"/>
      <c r="H1291" s="11"/>
    </row>
    <row r="1292" spans="2:8">
      <c r="B1292" s="11"/>
      <c r="C1292" s="11"/>
      <c r="D1292" s="11"/>
      <c r="E1292" s="11"/>
      <c r="F1292" s="11"/>
      <c r="G1292" s="11"/>
      <c r="H1292" s="11"/>
    </row>
    <row r="1293" spans="2:8">
      <c r="B1293" s="11"/>
      <c r="C1293" s="11"/>
      <c r="D1293" s="11"/>
      <c r="E1293" s="11"/>
      <c r="F1293" s="11"/>
      <c r="G1293" s="11"/>
      <c r="H1293" s="11"/>
    </row>
    <row r="1294" spans="2:8">
      <c r="B1294" s="11"/>
      <c r="C1294" s="11"/>
      <c r="D1294" s="11"/>
      <c r="E1294" s="11"/>
      <c r="F1294" s="11"/>
      <c r="G1294" s="11"/>
      <c r="H1294" s="11"/>
    </row>
    <row r="1295" spans="2:8">
      <c r="B1295" s="11"/>
      <c r="C1295" s="11"/>
      <c r="D1295" s="11"/>
      <c r="E1295" s="11"/>
      <c r="F1295" s="11"/>
      <c r="G1295" s="11"/>
      <c r="H1295" s="11"/>
    </row>
    <row r="1296" spans="2:8">
      <c r="B1296" s="11"/>
      <c r="C1296" s="11"/>
      <c r="D1296" s="11"/>
      <c r="E1296" s="11"/>
      <c r="F1296" s="11"/>
      <c r="G1296" s="11"/>
      <c r="H1296" s="11"/>
    </row>
    <row r="1297" spans="2:8">
      <c r="B1297" s="11"/>
      <c r="C1297" s="11"/>
      <c r="D1297" s="11"/>
      <c r="E1297" s="11"/>
      <c r="F1297" s="11"/>
      <c r="G1297" s="11"/>
      <c r="H1297" s="11"/>
    </row>
    <row r="1298" spans="2:8">
      <c r="B1298" s="11"/>
      <c r="C1298" s="11"/>
      <c r="D1298" s="11"/>
      <c r="E1298" s="11"/>
      <c r="F1298" s="11"/>
      <c r="G1298" s="11"/>
      <c r="H1298" s="11"/>
    </row>
    <row r="1299" spans="2:8">
      <c r="B1299" s="11"/>
      <c r="C1299" s="11"/>
      <c r="D1299" s="11"/>
      <c r="E1299" s="11"/>
      <c r="F1299" s="11"/>
      <c r="G1299" s="11"/>
      <c r="H1299" s="11"/>
    </row>
    <row r="1300" spans="2:8">
      <c r="B1300" s="11"/>
      <c r="C1300" s="11"/>
      <c r="D1300" s="11"/>
      <c r="E1300" s="11"/>
      <c r="F1300" s="11"/>
      <c r="G1300" s="11"/>
      <c r="H1300" s="11"/>
    </row>
    <row r="1301" spans="2:8">
      <c r="B1301" s="11"/>
      <c r="C1301" s="11"/>
      <c r="D1301" s="11"/>
      <c r="E1301" s="11"/>
      <c r="F1301" s="11"/>
      <c r="G1301" s="11"/>
      <c r="H1301" s="11"/>
    </row>
    <row r="1302" spans="2:8">
      <c r="B1302" s="11"/>
      <c r="C1302" s="11"/>
      <c r="D1302" s="11"/>
      <c r="E1302" s="11"/>
      <c r="F1302" s="11"/>
      <c r="G1302" s="11"/>
      <c r="H1302" s="11"/>
    </row>
    <row r="1303" spans="2:8">
      <c r="B1303" s="11"/>
      <c r="C1303" s="11"/>
      <c r="D1303" s="11"/>
      <c r="E1303" s="11"/>
      <c r="F1303" s="11"/>
      <c r="G1303" s="11"/>
      <c r="H1303" s="11"/>
    </row>
    <row r="1304" spans="2:8">
      <c r="B1304" s="11"/>
      <c r="C1304" s="11"/>
      <c r="D1304" s="11"/>
      <c r="E1304" s="11"/>
      <c r="F1304" s="11"/>
      <c r="G1304" s="11"/>
      <c r="H1304" s="11"/>
    </row>
    <row r="1305" spans="2:8">
      <c r="B1305" s="11"/>
      <c r="C1305" s="11"/>
      <c r="D1305" s="11"/>
      <c r="E1305" s="11"/>
      <c r="F1305" s="11"/>
      <c r="G1305" s="11"/>
      <c r="H1305" s="11"/>
    </row>
    <row r="1306" spans="2:8">
      <c r="B1306" s="11"/>
      <c r="C1306" s="11"/>
      <c r="D1306" s="11"/>
      <c r="E1306" s="11"/>
      <c r="F1306" s="11"/>
      <c r="G1306" s="11"/>
      <c r="H1306" s="11"/>
    </row>
    <row r="1307" spans="2:8">
      <c r="B1307" s="11"/>
      <c r="C1307" s="11"/>
      <c r="D1307" s="11"/>
      <c r="E1307" s="11"/>
      <c r="F1307" s="11"/>
      <c r="G1307" s="11"/>
      <c r="H1307" s="11"/>
    </row>
    <row r="1308" spans="2:8">
      <c r="B1308" s="11"/>
      <c r="C1308" s="11"/>
      <c r="D1308" s="11"/>
      <c r="E1308" s="11"/>
      <c r="F1308" s="11"/>
      <c r="G1308" s="11"/>
      <c r="H1308" s="11"/>
    </row>
    <row r="1309" spans="2:8">
      <c r="B1309" s="11"/>
      <c r="C1309" s="11"/>
      <c r="D1309" s="11"/>
      <c r="E1309" s="11"/>
      <c r="F1309" s="11"/>
      <c r="G1309" s="11"/>
      <c r="H1309" s="11"/>
    </row>
    <row r="1310" spans="2:8">
      <c r="B1310" s="11"/>
      <c r="C1310" s="11"/>
      <c r="D1310" s="11"/>
      <c r="E1310" s="11"/>
      <c r="F1310" s="11"/>
      <c r="G1310" s="11"/>
      <c r="H1310" s="11"/>
    </row>
    <row r="1311" spans="2:8">
      <c r="B1311" s="11"/>
      <c r="C1311" s="11"/>
      <c r="D1311" s="11"/>
      <c r="E1311" s="11"/>
      <c r="F1311" s="11"/>
      <c r="G1311" s="11"/>
      <c r="H1311" s="11"/>
    </row>
    <row r="1312" spans="2:8">
      <c r="B1312" s="11"/>
      <c r="C1312" s="11"/>
      <c r="D1312" s="11"/>
      <c r="E1312" s="11"/>
      <c r="F1312" s="11"/>
      <c r="G1312" s="11"/>
      <c r="H1312" s="11"/>
    </row>
    <row r="1313" spans="2:8">
      <c r="B1313" s="11"/>
      <c r="C1313" s="11"/>
      <c r="D1313" s="11"/>
      <c r="E1313" s="11"/>
      <c r="F1313" s="11"/>
      <c r="G1313" s="11"/>
      <c r="H1313" s="11"/>
    </row>
    <row r="1314" spans="2:8">
      <c r="B1314" s="11"/>
      <c r="C1314" s="11"/>
      <c r="D1314" s="11"/>
      <c r="E1314" s="11"/>
      <c r="F1314" s="11"/>
      <c r="G1314" s="11"/>
      <c r="H1314" s="11"/>
    </row>
    <row r="1315" spans="2:8">
      <c r="B1315" s="11"/>
      <c r="C1315" s="11"/>
      <c r="D1315" s="11"/>
      <c r="E1315" s="11"/>
      <c r="F1315" s="11"/>
      <c r="G1315" s="11"/>
      <c r="H1315" s="11"/>
    </row>
    <row r="1316" spans="2:8">
      <c r="B1316" s="11"/>
      <c r="C1316" s="11"/>
      <c r="D1316" s="11"/>
      <c r="E1316" s="11"/>
      <c r="F1316" s="11"/>
      <c r="G1316" s="11"/>
      <c r="H1316" s="11"/>
    </row>
    <row r="1317" spans="2:8">
      <c r="B1317" s="11"/>
      <c r="C1317" s="11"/>
      <c r="D1317" s="11"/>
      <c r="E1317" s="11"/>
      <c r="F1317" s="11"/>
      <c r="G1317" s="11"/>
      <c r="H1317" s="11"/>
    </row>
    <row r="1318" spans="2:8">
      <c r="B1318" s="11"/>
      <c r="C1318" s="11"/>
      <c r="D1318" s="11"/>
      <c r="E1318" s="11"/>
      <c r="F1318" s="11"/>
      <c r="G1318" s="11"/>
      <c r="H1318" s="11"/>
    </row>
    <row r="1319" spans="2:8">
      <c r="B1319" s="11"/>
      <c r="C1319" s="11"/>
      <c r="D1319" s="11"/>
      <c r="E1319" s="11"/>
      <c r="F1319" s="11"/>
      <c r="G1319" s="11"/>
      <c r="H1319" s="11"/>
    </row>
    <row r="1320" spans="2:8">
      <c r="B1320" s="11"/>
      <c r="C1320" s="11"/>
      <c r="D1320" s="11"/>
      <c r="E1320" s="11"/>
      <c r="F1320" s="11"/>
      <c r="G1320" s="11"/>
      <c r="H1320" s="11"/>
    </row>
    <row r="1321" spans="2:8">
      <c r="B1321" s="11"/>
      <c r="C1321" s="11"/>
      <c r="D1321" s="11"/>
      <c r="E1321" s="11"/>
      <c r="F1321" s="11"/>
      <c r="G1321" s="11"/>
      <c r="H1321" s="11"/>
    </row>
    <row r="1322" spans="2:8">
      <c r="B1322" s="11"/>
      <c r="C1322" s="11"/>
      <c r="D1322" s="11"/>
      <c r="E1322" s="11"/>
      <c r="F1322" s="11"/>
      <c r="G1322" s="11"/>
      <c r="H1322" s="11"/>
    </row>
    <row r="1323" spans="2:8">
      <c r="B1323" s="11"/>
      <c r="C1323" s="11"/>
      <c r="D1323" s="11"/>
      <c r="E1323" s="11"/>
      <c r="F1323" s="11"/>
      <c r="G1323" s="11"/>
      <c r="H1323" s="11"/>
    </row>
    <row r="1324" spans="2:8">
      <c r="B1324" s="11"/>
      <c r="C1324" s="11"/>
      <c r="D1324" s="11"/>
      <c r="E1324" s="11"/>
      <c r="F1324" s="11"/>
      <c r="G1324" s="11"/>
      <c r="H1324" s="11"/>
    </row>
    <row r="1325" spans="2:8">
      <c r="B1325" s="11"/>
      <c r="C1325" s="11"/>
      <c r="D1325" s="11"/>
      <c r="E1325" s="11"/>
      <c r="F1325" s="11"/>
      <c r="G1325" s="11"/>
      <c r="H1325" s="11"/>
    </row>
    <row r="1326" spans="2:8">
      <c r="B1326" s="11"/>
      <c r="C1326" s="11"/>
      <c r="D1326" s="11"/>
      <c r="E1326" s="11"/>
      <c r="F1326" s="11"/>
      <c r="G1326" s="11"/>
      <c r="H1326" s="11"/>
    </row>
    <row r="1327" spans="2:8">
      <c r="B1327" s="11"/>
      <c r="C1327" s="11"/>
      <c r="D1327" s="11"/>
      <c r="E1327" s="11"/>
      <c r="F1327" s="11"/>
      <c r="G1327" s="11"/>
      <c r="H1327" s="11"/>
    </row>
    <row r="1328" spans="2:8">
      <c r="B1328" s="11"/>
      <c r="C1328" s="11"/>
      <c r="D1328" s="11"/>
      <c r="E1328" s="11"/>
      <c r="F1328" s="11"/>
      <c r="G1328" s="11"/>
      <c r="H1328" s="11"/>
    </row>
    <row r="1329" spans="2:8">
      <c r="B1329" s="11"/>
      <c r="C1329" s="11"/>
      <c r="D1329" s="11"/>
      <c r="E1329" s="11"/>
      <c r="F1329" s="11"/>
      <c r="G1329" s="11"/>
      <c r="H1329" s="11"/>
    </row>
    <row r="1330" spans="2:8">
      <c r="B1330" s="11"/>
      <c r="C1330" s="11"/>
      <c r="D1330" s="11"/>
      <c r="E1330" s="11"/>
      <c r="F1330" s="11"/>
      <c r="G1330" s="11"/>
      <c r="H1330" s="11"/>
    </row>
    <row r="1331" spans="2:8">
      <c r="B1331" s="11"/>
      <c r="C1331" s="11"/>
      <c r="D1331" s="11"/>
      <c r="E1331" s="11"/>
      <c r="F1331" s="11"/>
      <c r="G1331" s="11"/>
      <c r="H1331" s="11"/>
    </row>
    <row r="1332" spans="2:8">
      <c r="B1332" s="11"/>
      <c r="C1332" s="11"/>
      <c r="D1332" s="11"/>
      <c r="E1332" s="11"/>
      <c r="F1332" s="11"/>
      <c r="G1332" s="11"/>
      <c r="H1332" s="11"/>
    </row>
    <row r="1333" spans="2:8">
      <c r="B1333" s="11"/>
      <c r="C1333" s="11"/>
      <c r="D1333" s="11"/>
      <c r="E1333" s="11"/>
      <c r="F1333" s="11"/>
      <c r="G1333" s="11"/>
      <c r="H1333" s="11"/>
    </row>
    <row r="1334" spans="2:8">
      <c r="B1334" s="11"/>
      <c r="C1334" s="11"/>
      <c r="D1334" s="11"/>
      <c r="E1334" s="11"/>
      <c r="F1334" s="11"/>
      <c r="G1334" s="11"/>
      <c r="H1334" s="11"/>
    </row>
    <row r="1335" spans="2:8">
      <c r="B1335" s="11"/>
      <c r="C1335" s="11"/>
      <c r="D1335" s="11"/>
      <c r="E1335" s="11"/>
      <c r="F1335" s="11"/>
      <c r="G1335" s="11"/>
      <c r="H1335" s="11"/>
    </row>
    <row r="1336" spans="2:8">
      <c r="B1336" s="11"/>
      <c r="C1336" s="11"/>
      <c r="D1336" s="11"/>
      <c r="E1336" s="11"/>
      <c r="F1336" s="11"/>
      <c r="G1336" s="11"/>
      <c r="H1336" s="11"/>
    </row>
    <row r="1337" spans="2:8">
      <c r="B1337" s="11"/>
      <c r="C1337" s="11"/>
      <c r="D1337" s="11"/>
      <c r="E1337" s="11"/>
      <c r="F1337" s="11"/>
      <c r="G1337" s="11"/>
      <c r="H1337" s="11"/>
    </row>
    <row r="1338" spans="2:8">
      <c r="B1338" s="11"/>
      <c r="C1338" s="11"/>
      <c r="D1338" s="11"/>
      <c r="E1338" s="11"/>
      <c r="F1338" s="11"/>
      <c r="G1338" s="11"/>
      <c r="H1338" s="11"/>
    </row>
    <row r="1339" spans="2:8">
      <c r="B1339" s="11"/>
      <c r="C1339" s="11"/>
      <c r="D1339" s="11"/>
      <c r="E1339" s="11"/>
      <c r="F1339" s="11"/>
      <c r="G1339" s="11"/>
      <c r="H1339" s="11"/>
    </row>
    <row r="1340" spans="2:8">
      <c r="B1340" s="11"/>
      <c r="C1340" s="11"/>
      <c r="D1340" s="11"/>
      <c r="E1340" s="11"/>
      <c r="F1340" s="11"/>
      <c r="G1340" s="11"/>
      <c r="H1340" s="11"/>
    </row>
    <row r="1341" spans="2:8">
      <c r="B1341" s="11"/>
      <c r="C1341" s="11"/>
      <c r="D1341" s="11"/>
      <c r="E1341" s="11"/>
      <c r="F1341" s="11"/>
      <c r="G1341" s="11"/>
      <c r="H1341" s="11"/>
    </row>
    <row r="1342" spans="2:8">
      <c r="B1342" s="11"/>
      <c r="C1342" s="11"/>
      <c r="D1342" s="11"/>
      <c r="E1342" s="11"/>
      <c r="F1342" s="11"/>
      <c r="G1342" s="11"/>
      <c r="H1342" s="11"/>
    </row>
    <row r="1343" spans="2:8">
      <c r="B1343" s="11"/>
      <c r="C1343" s="11"/>
      <c r="D1343" s="11"/>
      <c r="E1343" s="11"/>
      <c r="F1343" s="11"/>
      <c r="G1343" s="11"/>
      <c r="H1343" s="11"/>
    </row>
    <row r="1344" spans="2:8">
      <c r="B1344" s="11"/>
      <c r="C1344" s="11"/>
      <c r="D1344" s="11"/>
      <c r="E1344" s="11"/>
      <c r="F1344" s="11"/>
      <c r="G1344" s="11"/>
      <c r="H1344" s="11"/>
    </row>
    <row r="1345" spans="2:8">
      <c r="B1345" s="11"/>
      <c r="C1345" s="11"/>
      <c r="D1345" s="11"/>
      <c r="E1345" s="11"/>
      <c r="F1345" s="11"/>
      <c r="G1345" s="11"/>
      <c r="H1345" s="11"/>
    </row>
    <row r="1346" spans="2:8">
      <c r="B1346" s="11"/>
      <c r="C1346" s="11"/>
      <c r="D1346" s="11"/>
      <c r="E1346" s="11"/>
      <c r="F1346" s="11"/>
      <c r="G1346" s="11"/>
      <c r="H1346" s="11"/>
    </row>
    <row r="1347" spans="2:8">
      <c r="B1347" s="11"/>
      <c r="C1347" s="11"/>
      <c r="D1347" s="11"/>
      <c r="E1347" s="11"/>
      <c r="F1347" s="11"/>
      <c r="G1347" s="11"/>
      <c r="H1347" s="11"/>
    </row>
    <row r="1348" spans="2:8">
      <c r="B1348" s="11"/>
      <c r="C1348" s="11"/>
      <c r="D1348" s="11"/>
      <c r="E1348" s="11"/>
      <c r="F1348" s="11"/>
      <c r="G1348" s="11"/>
      <c r="H1348" s="11"/>
    </row>
    <row r="1349" spans="2:8">
      <c r="B1349" s="11"/>
      <c r="C1349" s="11"/>
      <c r="D1349" s="11"/>
      <c r="E1349" s="11"/>
      <c r="F1349" s="11"/>
      <c r="G1349" s="11"/>
      <c r="H1349" s="11"/>
    </row>
    <row r="1350" spans="2:8">
      <c r="B1350" s="11"/>
      <c r="C1350" s="11"/>
      <c r="D1350" s="11"/>
      <c r="E1350" s="11"/>
      <c r="F1350" s="11"/>
      <c r="G1350" s="11"/>
      <c r="H1350" s="11"/>
    </row>
    <row r="1351" spans="2:8">
      <c r="B1351" s="11"/>
      <c r="C1351" s="11"/>
      <c r="D1351" s="11"/>
      <c r="E1351" s="11"/>
      <c r="F1351" s="11"/>
      <c r="G1351" s="11"/>
      <c r="H1351" s="11"/>
    </row>
    <row r="1352" spans="2:8">
      <c r="B1352" s="11"/>
      <c r="C1352" s="11"/>
      <c r="D1352" s="11"/>
      <c r="E1352" s="11"/>
      <c r="F1352" s="11"/>
      <c r="G1352" s="11"/>
      <c r="H1352" s="11"/>
    </row>
    <row r="1353" spans="2:8">
      <c r="B1353" s="11"/>
      <c r="C1353" s="11"/>
      <c r="D1353" s="11"/>
      <c r="E1353" s="11"/>
      <c r="F1353" s="11"/>
      <c r="G1353" s="11"/>
      <c r="H1353" s="11"/>
    </row>
    <row r="1354" spans="2:8">
      <c r="B1354" s="11"/>
      <c r="C1354" s="11"/>
      <c r="D1354" s="11"/>
      <c r="E1354" s="11"/>
      <c r="F1354" s="11"/>
      <c r="G1354" s="11"/>
      <c r="H1354" s="11"/>
    </row>
    <row r="1355" spans="2:8">
      <c r="B1355" s="11"/>
      <c r="C1355" s="11"/>
      <c r="D1355" s="11"/>
      <c r="E1355" s="11"/>
      <c r="F1355" s="11"/>
      <c r="G1355" s="11"/>
      <c r="H1355" s="11"/>
    </row>
    <row r="1356" spans="2:8">
      <c r="B1356" s="11"/>
      <c r="C1356" s="11"/>
      <c r="D1356" s="11"/>
      <c r="E1356" s="11"/>
      <c r="F1356" s="11"/>
      <c r="G1356" s="11"/>
      <c r="H1356" s="11"/>
    </row>
    <row r="1357" spans="2:8">
      <c r="B1357" s="11"/>
      <c r="C1357" s="11"/>
      <c r="D1357" s="11"/>
      <c r="E1357" s="11"/>
      <c r="F1357" s="11"/>
      <c r="G1357" s="11"/>
      <c r="H1357" s="11"/>
    </row>
    <row r="1358" spans="2:8">
      <c r="B1358" s="11"/>
      <c r="C1358" s="11"/>
      <c r="D1358" s="11"/>
      <c r="E1358" s="11"/>
      <c r="F1358" s="11"/>
      <c r="G1358" s="11"/>
      <c r="H1358" s="11"/>
    </row>
    <row r="1359" spans="2:8">
      <c r="B1359" s="11"/>
      <c r="C1359" s="11"/>
      <c r="D1359" s="11"/>
      <c r="E1359" s="11"/>
      <c r="F1359" s="11"/>
      <c r="G1359" s="11"/>
      <c r="H1359" s="11"/>
    </row>
    <row r="1360" spans="2:8">
      <c r="B1360" s="11"/>
      <c r="C1360" s="11"/>
      <c r="D1360" s="11"/>
      <c r="E1360" s="11"/>
      <c r="F1360" s="11"/>
      <c r="G1360" s="11"/>
      <c r="H1360" s="11"/>
    </row>
    <row r="1361" spans="2:8">
      <c r="B1361" s="11"/>
      <c r="C1361" s="11"/>
      <c r="D1361" s="11"/>
      <c r="E1361" s="11"/>
      <c r="F1361" s="11"/>
      <c r="G1361" s="11"/>
      <c r="H1361" s="11"/>
    </row>
    <row r="1362" spans="2:8">
      <c r="B1362" s="11"/>
      <c r="C1362" s="11"/>
      <c r="D1362" s="11"/>
      <c r="E1362" s="11"/>
      <c r="F1362" s="11"/>
      <c r="G1362" s="11"/>
      <c r="H1362" s="11"/>
    </row>
    <row r="1363" spans="2:8">
      <c r="B1363" s="11"/>
      <c r="C1363" s="11"/>
      <c r="D1363" s="11"/>
      <c r="E1363" s="11"/>
      <c r="F1363" s="11"/>
      <c r="G1363" s="11"/>
      <c r="H1363" s="11"/>
    </row>
    <row r="1364" spans="2:8">
      <c r="B1364" s="11"/>
      <c r="C1364" s="11"/>
      <c r="D1364" s="11"/>
      <c r="E1364" s="11"/>
      <c r="F1364" s="11"/>
      <c r="G1364" s="11"/>
      <c r="H1364" s="11"/>
    </row>
    <row r="1365" spans="2:8">
      <c r="B1365" s="11"/>
      <c r="C1365" s="11"/>
      <c r="D1365" s="11"/>
      <c r="E1365" s="11"/>
      <c r="F1365" s="11"/>
      <c r="G1365" s="11"/>
      <c r="H1365" s="11"/>
    </row>
    <row r="1366" spans="2:8">
      <c r="B1366" s="11"/>
      <c r="C1366" s="11"/>
      <c r="D1366" s="11"/>
      <c r="E1366" s="11"/>
      <c r="F1366" s="11"/>
      <c r="G1366" s="11"/>
      <c r="H1366" s="11"/>
    </row>
    <row r="1367" spans="2:8">
      <c r="B1367" s="11"/>
      <c r="C1367" s="11"/>
      <c r="D1367" s="11"/>
      <c r="E1367" s="11"/>
      <c r="F1367" s="11"/>
      <c r="G1367" s="11"/>
      <c r="H1367" s="11"/>
    </row>
    <row r="1368" spans="2:8">
      <c r="B1368" s="11"/>
      <c r="C1368" s="11"/>
      <c r="D1368" s="11"/>
      <c r="E1368" s="11"/>
      <c r="F1368" s="11"/>
      <c r="G1368" s="11"/>
      <c r="H1368" s="11"/>
    </row>
    <row r="1369" spans="2:8">
      <c r="B1369" s="11"/>
      <c r="C1369" s="11"/>
      <c r="D1369" s="11"/>
      <c r="E1369" s="11"/>
      <c r="F1369" s="11"/>
      <c r="G1369" s="11"/>
      <c r="H1369" s="11"/>
    </row>
    <row r="1370" spans="2:8">
      <c r="B1370" s="11"/>
      <c r="C1370" s="11"/>
      <c r="D1370" s="11"/>
      <c r="E1370" s="11"/>
      <c r="F1370" s="11"/>
      <c r="G1370" s="11"/>
      <c r="H1370" s="11"/>
    </row>
    <row r="1371" spans="2:8">
      <c r="B1371" s="11"/>
      <c r="C1371" s="11"/>
      <c r="D1371" s="11"/>
      <c r="E1371" s="11"/>
      <c r="F1371" s="11"/>
      <c r="G1371" s="11"/>
      <c r="H1371" s="11"/>
    </row>
    <row r="1372" spans="2:8">
      <c r="B1372" s="11"/>
      <c r="C1372" s="11"/>
      <c r="D1372" s="11"/>
      <c r="E1372" s="11"/>
      <c r="F1372" s="11"/>
      <c r="G1372" s="11"/>
      <c r="H1372" s="11"/>
    </row>
    <row r="1373" spans="2:8">
      <c r="B1373" s="11"/>
      <c r="C1373" s="11"/>
      <c r="D1373" s="11"/>
      <c r="E1373" s="11"/>
      <c r="F1373" s="11"/>
      <c r="G1373" s="11"/>
      <c r="H1373" s="11"/>
    </row>
    <row r="1374" spans="2:8">
      <c r="B1374" s="11"/>
      <c r="C1374" s="11"/>
      <c r="D1374" s="11"/>
      <c r="E1374" s="11"/>
      <c r="F1374" s="11"/>
      <c r="G1374" s="11"/>
      <c r="H1374" s="11"/>
    </row>
    <row r="1375" spans="2:8">
      <c r="B1375" s="11"/>
      <c r="C1375" s="11"/>
      <c r="D1375" s="11"/>
      <c r="E1375" s="11"/>
      <c r="F1375" s="11"/>
      <c r="G1375" s="11"/>
      <c r="H1375" s="11"/>
    </row>
    <row r="1376" spans="2:8">
      <c r="B1376" s="11"/>
      <c r="C1376" s="11"/>
      <c r="D1376" s="11"/>
      <c r="E1376" s="11"/>
      <c r="F1376" s="11"/>
      <c r="G1376" s="11"/>
      <c r="H1376" s="11"/>
    </row>
    <row r="1377" spans="2:8">
      <c r="B1377" s="11"/>
      <c r="C1377" s="11"/>
      <c r="D1377" s="11"/>
      <c r="E1377" s="11"/>
      <c r="F1377" s="11"/>
      <c r="G1377" s="11"/>
      <c r="H1377" s="11"/>
    </row>
    <row r="1378" spans="2:8">
      <c r="B1378" s="11"/>
      <c r="C1378" s="11"/>
      <c r="D1378" s="11"/>
      <c r="E1378" s="11"/>
      <c r="F1378" s="11"/>
      <c r="G1378" s="11"/>
      <c r="H1378" s="11"/>
    </row>
    <row r="1379" spans="2:8">
      <c r="B1379" s="11"/>
      <c r="C1379" s="11"/>
      <c r="D1379" s="11"/>
      <c r="E1379" s="11"/>
      <c r="F1379" s="11"/>
      <c r="G1379" s="11"/>
      <c r="H1379" s="11"/>
    </row>
    <row r="1380" spans="2:8">
      <c r="B1380" s="11"/>
      <c r="C1380" s="11"/>
      <c r="D1380" s="11"/>
      <c r="E1380" s="11"/>
      <c r="F1380" s="11"/>
      <c r="G1380" s="11"/>
      <c r="H1380" s="11"/>
    </row>
    <row r="1381" spans="2:8">
      <c r="B1381" s="11"/>
      <c r="C1381" s="11"/>
      <c r="D1381" s="11"/>
      <c r="E1381" s="11"/>
      <c r="F1381" s="11"/>
      <c r="G1381" s="11"/>
      <c r="H1381" s="11"/>
    </row>
    <row r="1382" spans="2:8">
      <c r="B1382" s="11"/>
      <c r="C1382" s="11"/>
      <c r="D1382" s="11"/>
      <c r="E1382" s="11"/>
      <c r="F1382" s="11"/>
      <c r="G1382" s="11"/>
      <c r="H1382" s="11"/>
    </row>
    <row r="1383" spans="2:8">
      <c r="B1383" s="11"/>
      <c r="C1383" s="11"/>
      <c r="D1383" s="11"/>
      <c r="E1383" s="11"/>
      <c r="F1383" s="11"/>
      <c r="G1383" s="11"/>
      <c r="H1383" s="11"/>
    </row>
    <row r="1384" spans="2:8">
      <c r="B1384" s="11"/>
      <c r="C1384" s="11"/>
      <c r="D1384" s="11"/>
      <c r="E1384" s="11"/>
      <c r="F1384" s="11"/>
      <c r="G1384" s="11"/>
      <c r="H1384" s="11"/>
    </row>
    <row r="1385" spans="2:8">
      <c r="B1385" s="11"/>
      <c r="C1385" s="11"/>
      <c r="D1385" s="11"/>
      <c r="E1385" s="11"/>
      <c r="F1385" s="11"/>
      <c r="G1385" s="11"/>
      <c r="H1385" s="11"/>
    </row>
    <row r="1386" spans="2:8">
      <c r="B1386" s="11"/>
      <c r="C1386" s="11"/>
      <c r="D1386" s="11"/>
      <c r="E1386" s="11"/>
      <c r="F1386" s="11"/>
      <c r="G1386" s="11"/>
      <c r="H1386" s="11"/>
    </row>
    <row r="1387" spans="2:8">
      <c r="B1387" s="11"/>
      <c r="C1387" s="11"/>
      <c r="D1387" s="11"/>
      <c r="E1387" s="11"/>
      <c r="F1387" s="11"/>
      <c r="G1387" s="11"/>
      <c r="H1387" s="11"/>
    </row>
    <row r="1388" spans="2:8">
      <c r="B1388" s="11"/>
      <c r="C1388" s="11"/>
      <c r="D1388" s="11"/>
      <c r="E1388" s="11"/>
      <c r="F1388" s="11"/>
      <c r="G1388" s="11"/>
      <c r="H1388" s="11"/>
    </row>
    <row r="1389" spans="2:8">
      <c r="B1389" s="11"/>
      <c r="C1389" s="11"/>
      <c r="D1389" s="11"/>
      <c r="E1389" s="11"/>
      <c r="F1389" s="11"/>
      <c r="G1389" s="11"/>
      <c r="H1389" s="11"/>
    </row>
    <row r="1390" spans="2:8">
      <c r="B1390" s="11"/>
      <c r="C1390" s="11"/>
      <c r="D1390" s="11"/>
      <c r="E1390" s="11"/>
      <c r="F1390" s="11"/>
      <c r="G1390" s="11"/>
      <c r="H1390" s="11"/>
    </row>
    <row r="1391" spans="2:8">
      <c r="B1391" s="11"/>
      <c r="C1391" s="11"/>
      <c r="D1391" s="11"/>
      <c r="E1391" s="11"/>
      <c r="F1391" s="11"/>
      <c r="G1391" s="11"/>
      <c r="H1391" s="11"/>
    </row>
    <row r="1392" spans="2:8">
      <c r="B1392" s="11"/>
      <c r="C1392" s="11"/>
      <c r="D1392" s="11"/>
      <c r="E1392" s="11"/>
      <c r="F1392" s="11"/>
      <c r="G1392" s="11"/>
      <c r="H1392" s="11"/>
    </row>
    <row r="1393" spans="2:8">
      <c r="B1393" s="11"/>
      <c r="C1393" s="11"/>
      <c r="D1393" s="11"/>
      <c r="E1393" s="11"/>
      <c r="F1393" s="11"/>
      <c r="G1393" s="11"/>
      <c r="H1393" s="11"/>
    </row>
    <row r="1394" spans="2:8">
      <c r="B1394" s="11"/>
      <c r="C1394" s="11"/>
      <c r="D1394" s="11"/>
      <c r="E1394" s="11"/>
      <c r="F1394" s="11"/>
      <c r="G1394" s="11"/>
      <c r="H1394" s="11"/>
    </row>
    <row r="1395" spans="2:8">
      <c r="B1395" s="11"/>
      <c r="C1395" s="11"/>
      <c r="D1395" s="11"/>
      <c r="E1395" s="11"/>
      <c r="F1395" s="11"/>
      <c r="G1395" s="11"/>
      <c r="H1395" s="11"/>
    </row>
    <row r="1396" spans="2:8">
      <c r="B1396" s="11"/>
      <c r="C1396" s="11"/>
      <c r="D1396" s="11"/>
      <c r="E1396" s="11"/>
      <c r="F1396" s="11"/>
      <c r="G1396" s="11"/>
      <c r="H1396" s="11"/>
    </row>
    <row r="1397" spans="2:8">
      <c r="B1397" s="11"/>
      <c r="C1397" s="11"/>
      <c r="D1397" s="11"/>
      <c r="E1397" s="11"/>
      <c r="F1397" s="11"/>
      <c r="G1397" s="11"/>
      <c r="H1397" s="11"/>
    </row>
    <row r="1398" spans="2:8">
      <c r="B1398" s="11"/>
      <c r="C1398" s="11"/>
      <c r="D1398" s="11"/>
      <c r="E1398" s="11"/>
      <c r="F1398" s="11"/>
      <c r="G1398" s="11"/>
      <c r="H1398" s="11"/>
    </row>
    <row r="1399" spans="2:8">
      <c r="B1399" s="11"/>
      <c r="C1399" s="11"/>
      <c r="D1399" s="11"/>
      <c r="E1399" s="11"/>
      <c r="F1399" s="11"/>
      <c r="G1399" s="11"/>
      <c r="H1399" s="11"/>
    </row>
    <row r="1400" spans="2:8">
      <c r="B1400" s="11"/>
      <c r="C1400" s="11"/>
      <c r="D1400" s="11"/>
      <c r="E1400" s="11"/>
      <c r="F1400" s="11"/>
      <c r="G1400" s="11"/>
      <c r="H1400" s="11"/>
    </row>
    <row r="1401" spans="2:8">
      <c r="B1401" s="11"/>
      <c r="C1401" s="11"/>
      <c r="D1401" s="11"/>
      <c r="E1401" s="11"/>
      <c r="F1401" s="11"/>
      <c r="G1401" s="11"/>
      <c r="H1401" s="11"/>
    </row>
    <row r="1402" spans="2:8">
      <c r="B1402" s="11"/>
      <c r="C1402" s="11"/>
      <c r="D1402" s="11"/>
      <c r="E1402" s="11"/>
      <c r="F1402" s="11"/>
      <c r="G1402" s="11"/>
      <c r="H1402" s="11"/>
    </row>
    <row r="1403" spans="2:8">
      <c r="B1403" s="11"/>
      <c r="C1403" s="11"/>
      <c r="D1403" s="11"/>
      <c r="E1403" s="11"/>
      <c r="F1403" s="11"/>
      <c r="G1403" s="11"/>
      <c r="H1403" s="11"/>
    </row>
    <row r="1404" spans="2:8">
      <c r="B1404" s="11"/>
      <c r="C1404" s="11"/>
      <c r="D1404" s="11"/>
      <c r="E1404" s="11"/>
      <c r="F1404" s="11"/>
      <c r="G1404" s="11"/>
      <c r="H1404" s="11"/>
    </row>
    <row r="1405" spans="2:8">
      <c r="B1405" s="11"/>
      <c r="C1405" s="11"/>
      <c r="D1405" s="11"/>
      <c r="E1405" s="11"/>
      <c r="F1405" s="11"/>
      <c r="G1405" s="11"/>
      <c r="H1405" s="11"/>
    </row>
    <row r="1406" spans="2:8">
      <c r="B1406" s="11"/>
      <c r="C1406" s="11"/>
      <c r="D1406" s="11"/>
      <c r="E1406" s="11"/>
      <c r="F1406" s="11"/>
      <c r="G1406" s="11"/>
      <c r="H1406" s="11"/>
    </row>
    <row r="1407" spans="2:8">
      <c r="B1407" s="11"/>
      <c r="C1407" s="11"/>
      <c r="D1407" s="11"/>
      <c r="E1407" s="11"/>
      <c r="F1407" s="11"/>
      <c r="G1407" s="11"/>
      <c r="H1407" s="11"/>
    </row>
    <row r="1408" spans="2:8">
      <c r="B1408" s="11"/>
      <c r="C1408" s="11"/>
      <c r="D1408" s="11"/>
      <c r="E1408" s="11"/>
      <c r="F1408" s="11"/>
      <c r="G1408" s="11"/>
      <c r="H1408" s="11"/>
    </row>
    <row r="1409" spans="2:8">
      <c r="B1409" s="11"/>
      <c r="C1409" s="11"/>
      <c r="D1409" s="11"/>
      <c r="E1409" s="11"/>
      <c r="F1409" s="11"/>
      <c r="G1409" s="11"/>
      <c r="H1409" s="11"/>
    </row>
    <row r="1410" spans="2:8">
      <c r="B1410" s="11"/>
      <c r="C1410" s="11"/>
      <c r="D1410" s="11"/>
      <c r="E1410" s="11"/>
      <c r="F1410" s="11"/>
      <c r="G1410" s="11"/>
      <c r="H1410" s="11"/>
    </row>
    <row r="1411" spans="2:8">
      <c r="B1411" s="11"/>
      <c r="C1411" s="11"/>
      <c r="D1411" s="11"/>
      <c r="E1411" s="11"/>
      <c r="F1411" s="11"/>
      <c r="G1411" s="11"/>
      <c r="H1411" s="11"/>
    </row>
    <row r="1412" spans="2:8">
      <c r="B1412" s="11"/>
      <c r="C1412" s="11"/>
      <c r="D1412" s="11"/>
      <c r="E1412" s="11"/>
      <c r="F1412" s="11"/>
      <c r="G1412" s="11"/>
      <c r="H1412" s="11"/>
    </row>
    <row r="1413" spans="2:8">
      <c r="B1413" s="11"/>
      <c r="C1413" s="11"/>
      <c r="D1413" s="11"/>
      <c r="E1413" s="11"/>
      <c r="F1413" s="11"/>
      <c r="G1413" s="11"/>
      <c r="H1413" s="11"/>
    </row>
    <row r="1414" spans="2:8">
      <c r="B1414" s="11"/>
      <c r="C1414" s="11"/>
      <c r="D1414" s="11"/>
      <c r="E1414" s="11"/>
      <c r="F1414" s="11"/>
      <c r="G1414" s="11"/>
      <c r="H1414" s="11"/>
    </row>
    <row r="1415" spans="2:8">
      <c r="B1415" s="11"/>
      <c r="C1415" s="11"/>
      <c r="D1415" s="11"/>
      <c r="E1415" s="11"/>
      <c r="F1415" s="11"/>
      <c r="G1415" s="11"/>
      <c r="H1415" s="11"/>
    </row>
    <row r="1416" spans="2:8">
      <c r="B1416" s="11"/>
      <c r="C1416" s="11"/>
      <c r="D1416" s="11"/>
      <c r="E1416" s="11"/>
      <c r="F1416" s="11"/>
      <c r="G1416" s="11"/>
      <c r="H1416" s="11"/>
    </row>
    <row r="1417" spans="2:8">
      <c r="B1417" s="11"/>
      <c r="C1417" s="11"/>
      <c r="D1417" s="11"/>
      <c r="E1417" s="11"/>
      <c r="F1417" s="11"/>
      <c r="G1417" s="11"/>
      <c r="H1417" s="11"/>
    </row>
    <row r="1418" spans="2:8">
      <c r="B1418" s="11"/>
      <c r="C1418" s="11"/>
      <c r="D1418" s="11"/>
      <c r="E1418" s="11"/>
      <c r="F1418" s="11"/>
      <c r="G1418" s="11"/>
      <c r="H1418" s="11"/>
    </row>
    <row r="1419" spans="2:8">
      <c r="B1419" s="11"/>
      <c r="C1419" s="11"/>
      <c r="D1419" s="11"/>
      <c r="E1419" s="11"/>
      <c r="F1419" s="11"/>
      <c r="G1419" s="11"/>
      <c r="H1419" s="11"/>
    </row>
    <row r="1420" spans="2:8">
      <c r="B1420" s="11"/>
      <c r="C1420" s="11"/>
      <c r="D1420" s="11"/>
      <c r="E1420" s="11"/>
      <c r="F1420" s="11"/>
      <c r="G1420" s="11"/>
      <c r="H1420" s="11"/>
    </row>
    <row r="1421" spans="2:8">
      <c r="B1421" s="11"/>
      <c r="C1421" s="11"/>
      <c r="D1421" s="11"/>
      <c r="E1421" s="11"/>
      <c r="F1421" s="11"/>
      <c r="G1421" s="11"/>
      <c r="H1421" s="11"/>
    </row>
    <row r="1422" spans="2:8">
      <c r="B1422" s="11"/>
      <c r="C1422" s="11"/>
      <c r="D1422" s="11"/>
      <c r="E1422" s="11"/>
      <c r="F1422" s="11"/>
      <c r="G1422" s="11"/>
      <c r="H1422" s="11"/>
    </row>
    <row r="1423" spans="2:8">
      <c r="B1423" s="11"/>
      <c r="C1423" s="11"/>
      <c r="D1423" s="11"/>
      <c r="E1423" s="11"/>
      <c r="F1423" s="11"/>
      <c r="G1423" s="11"/>
      <c r="H1423" s="11"/>
    </row>
    <row r="1424" spans="2:8">
      <c r="B1424" s="11"/>
      <c r="C1424" s="11"/>
      <c r="D1424" s="11"/>
      <c r="E1424" s="11"/>
      <c r="F1424" s="11"/>
      <c r="G1424" s="11"/>
      <c r="H1424" s="11"/>
    </row>
    <row r="1425" spans="2:8">
      <c r="B1425" s="11"/>
      <c r="C1425" s="11"/>
      <c r="D1425" s="11"/>
      <c r="E1425" s="11"/>
      <c r="F1425" s="11"/>
      <c r="G1425" s="11"/>
      <c r="H1425" s="11"/>
    </row>
    <row r="1426" spans="2:8">
      <c r="B1426" s="11"/>
      <c r="C1426" s="11"/>
      <c r="D1426" s="11"/>
      <c r="E1426" s="11"/>
      <c r="F1426" s="11"/>
      <c r="G1426" s="11"/>
      <c r="H1426" s="11"/>
    </row>
    <row r="1427" spans="2:8">
      <c r="B1427" s="11"/>
      <c r="C1427" s="11"/>
      <c r="D1427" s="11"/>
      <c r="E1427" s="11"/>
      <c r="F1427" s="11"/>
      <c r="G1427" s="11"/>
      <c r="H1427" s="11"/>
    </row>
    <row r="1428" spans="2:8">
      <c r="B1428" s="11"/>
      <c r="C1428" s="11"/>
      <c r="D1428" s="11"/>
      <c r="E1428" s="11"/>
      <c r="F1428" s="11"/>
      <c r="G1428" s="11"/>
      <c r="H1428" s="11"/>
    </row>
    <row r="1429" spans="2:8">
      <c r="B1429" s="11"/>
      <c r="C1429" s="11"/>
      <c r="D1429" s="11"/>
      <c r="E1429" s="11"/>
      <c r="F1429" s="11"/>
      <c r="G1429" s="11"/>
      <c r="H1429" s="11"/>
    </row>
    <row r="1430" spans="2:8">
      <c r="B1430" s="11"/>
      <c r="C1430" s="11"/>
      <c r="D1430" s="11"/>
      <c r="E1430" s="11"/>
      <c r="F1430" s="11"/>
      <c r="G1430" s="11"/>
      <c r="H1430" s="11"/>
    </row>
    <row r="1431" spans="2:8">
      <c r="B1431" s="11"/>
      <c r="C1431" s="11"/>
      <c r="D1431" s="11"/>
      <c r="E1431" s="11"/>
      <c r="F1431" s="11"/>
      <c r="G1431" s="11"/>
      <c r="H1431" s="11"/>
    </row>
    <row r="1432" spans="2:8">
      <c r="B1432" s="11"/>
      <c r="C1432" s="11"/>
      <c r="D1432" s="11"/>
      <c r="E1432" s="11"/>
      <c r="F1432" s="11"/>
      <c r="G1432" s="11"/>
      <c r="H1432" s="11"/>
    </row>
    <row r="1433" spans="2:8">
      <c r="B1433" s="11"/>
      <c r="C1433" s="11"/>
      <c r="D1433" s="11"/>
      <c r="E1433" s="11"/>
      <c r="F1433" s="11"/>
      <c r="G1433" s="11"/>
      <c r="H1433" s="11"/>
    </row>
    <row r="1434" spans="2:8">
      <c r="B1434" s="11"/>
      <c r="C1434" s="11"/>
      <c r="D1434" s="11"/>
      <c r="E1434" s="11"/>
      <c r="F1434" s="11"/>
      <c r="G1434" s="11"/>
      <c r="H1434" s="11"/>
    </row>
    <row r="1435" spans="2:8">
      <c r="B1435" s="11"/>
      <c r="C1435" s="11"/>
      <c r="D1435" s="11"/>
      <c r="E1435" s="11"/>
      <c r="F1435" s="11"/>
      <c r="G1435" s="11"/>
      <c r="H1435" s="11"/>
    </row>
    <row r="1436" spans="2:8">
      <c r="B1436" s="11"/>
      <c r="C1436" s="11"/>
      <c r="D1436" s="11"/>
      <c r="E1436" s="11"/>
      <c r="F1436" s="11"/>
      <c r="G1436" s="11"/>
      <c r="H1436" s="11"/>
    </row>
    <row r="1437" spans="2:8">
      <c r="B1437" s="11"/>
      <c r="C1437" s="11"/>
      <c r="D1437" s="11"/>
      <c r="E1437" s="11"/>
      <c r="F1437" s="11"/>
      <c r="G1437" s="11"/>
      <c r="H1437" s="11"/>
    </row>
    <row r="1438" spans="2:8">
      <c r="B1438" s="11"/>
      <c r="C1438" s="11"/>
      <c r="D1438" s="11"/>
      <c r="E1438" s="11"/>
      <c r="F1438" s="11"/>
      <c r="G1438" s="11"/>
      <c r="H1438" s="11"/>
    </row>
    <row r="1439" spans="2:8">
      <c r="B1439" s="11"/>
      <c r="C1439" s="11"/>
      <c r="D1439" s="11"/>
      <c r="E1439" s="11"/>
      <c r="F1439" s="11"/>
      <c r="G1439" s="11"/>
      <c r="H1439" s="11"/>
    </row>
    <row r="1440" spans="2:8">
      <c r="B1440" s="11"/>
      <c r="C1440" s="11"/>
      <c r="D1440" s="11"/>
      <c r="E1440" s="11"/>
      <c r="F1440" s="11"/>
      <c r="G1440" s="11"/>
      <c r="H1440" s="11"/>
    </row>
    <row r="1441" spans="2:8">
      <c r="B1441" s="11"/>
      <c r="C1441" s="11"/>
      <c r="D1441" s="11"/>
      <c r="E1441" s="11"/>
      <c r="F1441" s="11"/>
      <c r="G1441" s="11"/>
      <c r="H1441" s="11"/>
    </row>
    <row r="1442" spans="2:8">
      <c r="B1442" s="11"/>
      <c r="C1442" s="11"/>
      <c r="D1442" s="11"/>
      <c r="E1442" s="11"/>
      <c r="F1442" s="11"/>
      <c r="G1442" s="11"/>
      <c r="H1442" s="11"/>
    </row>
    <row r="1443" spans="2:8">
      <c r="B1443" s="11"/>
      <c r="C1443" s="11"/>
      <c r="D1443" s="11"/>
      <c r="E1443" s="11"/>
      <c r="F1443" s="11"/>
      <c r="G1443" s="11"/>
      <c r="H1443" s="11"/>
    </row>
    <row r="1444" spans="2:8">
      <c r="B1444" s="11"/>
      <c r="C1444" s="11"/>
      <c r="D1444" s="11"/>
      <c r="E1444" s="11"/>
      <c r="F1444" s="11"/>
      <c r="G1444" s="11"/>
      <c r="H1444" s="11"/>
    </row>
    <row r="1445" spans="2:8">
      <c r="B1445" s="11"/>
      <c r="C1445" s="11"/>
      <c r="D1445" s="11"/>
      <c r="E1445" s="11"/>
      <c r="F1445" s="11"/>
      <c r="G1445" s="11"/>
      <c r="H1445" s="11"/>
    </row>
    <row r="1446" spans="2:8">
      <c r="B1446" s="11"/>
      <c r="C1446" s="11"/>
      <c r="D1446" s="11"/>
      <c r="E1446" s="11"/>
      <c r="F1446" s="11"/>
      <c r="G1446" s="11"/>
      <c r="H1446" s="11"/>
    </row>
    <row r="1447" spans="2:8">
      <c r="B1447" s="11"/>
      <c r="C1447" s="11"/>
      <c r="D1447" s="11"/>
      <c r="E1447" s="11"/>
      <c r="F1447" s="11"/>
      <c r="G1447" s="11"/>
      <c r="H1447" s="11"/>
    </row>
    <row r="1448" spans="2:8">
      <c r="B1448" s="11"/>
      <c r="C1448" s="11"/>
      <c r="D1448" s="11"/>
      <c r="E1448" s="11"/>
      <c r="F1448" s="11"/>
      <c r="G1448" s="11"/>
      <c r="H1448" s="11"/>
    </row>
    <row r="1449" spans="2:8">
      <c r="B1449" s="11"/>
      <c r="C1449" s="11"/>
      <c r="D1449" s="11"/>
      <c r="E1449" s="11"/>
      <c r="F1449" s="11"/>
      <c r="G1449" s="11"/>
      <c r="H1449" s="11"/>
    </row>
    <row r="1450" spans="2:8">
      <c r="B1450" s="11"/>
      <c r="C1450" s="11"/>
      <c r="D1450" s="11"/>
      <c r="E1450" s="11"/>
      <c r="F1450" s="11"/>
      <c r="G1450" s="11"/>
      <c r="H1450" s="11"/>
    </row>
    <row r="1451" spans="2:8">
      <c r="B1451" s="11"/>
      <c r="C1451" s="11"/>
      <c r="D1451" s="11"/>
      <c r="E1451" s="11"/>
      <c r="F1451" s="11"/>
      <c r="G1451" s="11"/>
      <c r="H1451" s="11"/>
    </row>
    <row r="1452" spans="2:8">
      <c r="B1452" s="11"/>
      <c r="C1452" s="11"/>
      <c r="D1452" s="11"/>
      <c r="E1452" s="11"/>
      <c r="F1452" s="11"/>
      <c r="G1452" s="11"/>
      <c r="H1452" s="11"/>
    </row>
    <row r="1453" spans="2:8">
      <c r="B1453" s="11"/>
      <c r="C1453" s="11"/>
      <c r="D1453" s="11"/>
      <c r="E1453" s="11"/>
      <c r="F1453" s="11"/>
      <c r="G1453" s="11"/>
      <c r="H1453" s="11"/>
    </row>
    <row r="1454" spans="2:8">
      <c r="B1454" s="11"/>
      <c r="C1454" s="11"/>
      <c r="D1454" s="11"/>
      <c r="E1454" s="11"/>
      <c r="F1454" s="11"/>
      <c r="G1454" s="11"/>
      <c r="H1454" s="11"/>
    </row>
    <row r="1455" spans="2:8">
      <c r="B1455" s="11"/>
      <c r="C1455" s="11"/>
      <c r="D1455" s="11"/>
      <c r="E1455" s="11"/>
      <c r="F1455" s="11"/>
      <c r="G1455" s="11"/>
      <c r="H1455" s="11"/>
    </row>
    <row r="1456" spans="2:8">
      <c r="B1456" s="11"/>
      <c r="C1456" s="11"/>
      <c r="D1456" s="11"/>
      <c r="E1456" s="11"/>
      <c r="F1456" s="11"/>
      <c r="G1456" s="11"/>
      <c r="H1456" s="11"/>
    </row>
    <row r="1457" spans="2:8">
      <c r="B1457" s="11"/>
      <c r="C1457" s="11"/>
      <c r="D1457" s="11"/>
      <c r="E1457" s="11"/>
      <c r="F1457" s="11"/>
      <c r="G1457" s="11"/>
      <c r="H1457" s="11"/>
    </row>
    <row r="1458" spans="2:8">
      <c r="B1458" s="11"/>
      <c r="C1458" s="11"/>
      <c r="D1458" s="11"/>
      <c r="E1458" s="11"/>
      <c r="F1458" s="11"/>
      <c r="G1458" s="11"/>
      <c r="H1458" s="11"/>
    </row>
    <row r="1459" spans="2:8">
      <c r="B1459" s="11"/>
      <c r="C1459" s="11"/>
      <c r="D1459" s="11"/>
      <c r="E1459" s="11"/>
      <c r="F1459" s="11"/>
      <c r="G1459" s="11"/>
      <c r="H1459" s="11"/>
    </row>
    <row r="1460" spans="2:8">
      <c r="B1460" s="11"/>
      <c r="C1460" s="11"/>
      <c r="D1460" s="11"/>
      <c r="E1460" s="11"/>
      <c r="F1460" s="11"/>
      <c r="G1460" s="11"/>
      <c r="H1460" s="11"/>
    </row>
    <row r="1461" spans="2:8">
      <c r="B1461" s="11"/>
      <c r="C1461" s="11"/>
      <c r="D1461" s="11"/>
      <c r="E1461" s="11"/>
      <c r="F1461" s="11"/>
      <c r="G1461" s="11"/>
      <c r="H1461" s="11"/>
    </row>
    <row r="1462" spans="2:8">
      <c r="B1462" s="11"/>
      <c r="C1462" s="11"/>
      <c r="D1462" s="11"/>
      <c r="E1462" s="11"/>
      <c r="F1462" s="11"/>
      <c r="G1462" s="11"/>
      <c r="H1462" s="11"/>
    </row>
    <row r="1463" spans="2:8">
      <c r="B1463" s="11"/>
      <c r="C1463" s="11"/>
      <c r="D1463" s="11"/>
      <c r="E1463" s="11"/>
      <c r="F1463" s="11"/>
      <c r="G1463" s="11"/>
      <c r="H1463" s="11"/>
    </row>
    <row r="1464" spans="2:8">
      <c r="B1464" s="11"/>
      <c r="C1464" s="11"/>
      <c r="D1464" s="11"/>
      <c r="E1464" s="11"/>
      <c r="F1464" s="11"/>
      <c r="G1464" s="11"/>
      <c r="H1464" s="11"/>
    </row>
    <row r="1465" spans="2:8">
      <c r="B1465" s="11"/>
      <c r="C1465" s="11"/>
      <c r="D1465" s="11"/>
      <c r="E1465" s="11"/>
      <c r="F1465" s="11"/>
      <c r="G1465" s="11"/>
      <c r="H1465" s="11"/>
    </row>
    <row r="1466" spans="2:8">
      <c r="B1466" s="11"/>
      <c r="C1466" s="11"/>
      <c r="D1466" s="11"/>
      <c r="E1466" s="11"/>
      <c r="F1466" s="11"/>
      <c r="G1466" s="11"/>
      <c r="H1466" s="11"/>
    </row>
    <row r="1467" spans="2:8">
      <c r="B1467" s="11"/>
      <c r="C1467" s="11"/>
      <c r="D1467" s="11"/>
      <c r="E1467" s="11"/>
      <c r="F1467" s="11"/>
      <c r="G1467" s="11"/>
      <c r="H1467" s="11"/>
    </row>
    <row r="1468" spans="2:8">
      <c r="B1468" s="11"/>
      <c r="C1468" s="11"/>
      <c r="D1468" s="11"/>
      <c r="E1468" s="11"/>
      <c r="F1468" s="11"/>
      <c r="G1468" s="11"/>
      <c r="H1468" s="11"/>
    </row>
    <row r="1469" spans="2:8">
      <c r="B1469" s="11"/>
      <c r="C1469" s="11"/>
      <c r="D1469" s="11"/>
      <c r="E1469" s="11"/>
      <c r="F1469" s="11"/>
      <c r="G1469" s="11"/>
      <c r="H1469" s="11"/>
    </row>
    <row r="1470" spans="2:8">
      <c r="B1470" s="11"/>
      <c r="C1470" s="11"/>
      <c r="D1470" s="11"/>
      <c r="E1470" s="11"/>
      <c r="F1470" s="11"/>
      <c r="G1470" s="11"/>
      <c r="H1470" s="11"/>
    </row>
    <row r="1471" spans="2:8">
      <c r="B1471" s="11"/>
      <c r="C1471" s="11"/>
      <c r="D1471" s="11"/>
      <c r="E1471" s="11"/>
      <c r="F1471" s="11"/>
      <c r="G1471" s="11"/>
      <c r="H1471" s="11"/>
    </row>
    <row r="1472" spans="2:8">
      <c r="B1472" s="11"/>
      <c r="C1472" s="11"/>
      <c r="D1472" s="11"/>
      <c r="E1472" s="11"/>
      <c r="F1472" s="11"/>
      <c r="G1472" s="11"/>
      <c r="H1472" s="11"/>
    </row>
    <row r="1473" spans="2:8">
      <c r="B1473" s="11"/>
      <c r="C1473" s="11"/>
      <c r="D1473" s="11"/>
      <c r="E1473" s="11"/>
      <c r="F1473" s="11"/>
      <c r="G1473" s="11"/>
      <c r="H1473" s="11"/>
    </row>
    <row r="1474" spans="2:8">
      <c r="B1474" s="11"/>
      <c r="C1474" s="11"/>
      <c r="D1474" s="11"/>
      <c r="E1474" s="11"/>
      <c r="F1474" s="11"/>
      <c r="G1474" s="11"/>
      <c r="H1474" s="11"/>
    </row>
    <row r="1475" spans="2:8">
      <c r="B1475" s="11"/>
      <c r="C1475" s="11"/>
      <c r="D1475" s="11"/>
      <c r="E1475" s="11"/>
      <c r="F1475" s="11"/>
      <c r="G1475" s="11"/>
      <c r="H1475" s="11"/>
    </row>
    <row r="1476" spans="2:8">
      <c r="B1476" s="11"/>
      <c r="C1476" s="11"/>
      <c r="D1476" s="11"/>
      <c r="E1476" s="11"/>
      <c r="F1476" s="11"/>
      <c r="G1476" s="11"/>
      <c r="H1476" s="11"/>
    </row>
    <row r="1477" spans="2:8">
      <c r="B1477" s="11"/>
      <c r="C1477" s="11"/>
      <c r="D1477" s="11"/>
      <c r="E1477" s="11"/>
      <c r="F1477" s="11"/>
      <c r="G1477" s="11"/>
      <c r="H1477" s="11"/>
    </row>
    <row r="1478" spans="2:8">
      <c r="B1478" s="11"/>
      <c r="C1478" s="11"/>
      <c r="D1478" s="11"/>
      <c r="E1478" s="11"/>
      <c r="F1478" s="11"/>
      <c r="G1478" s="11"/>
      <c r="H1478" s="11"/>
    </row>
    <row r="1479" spans="2:8">
      <c r="B1479" s="11"/>
      <c r="C1479" s="11"/>
      <c r="D1479" s="11"/>
      <c r="E1479" s="11"/>
      <c r="F1479" s="11"/>
      <c r="G1479" s="11"/>
      <c r="H1479" s="11"/>
    </row>
    <row r="1480" spans="2:8">
      <c r="B1480" s="11"/>
      <c r="C1480" s="11"/>
      <c r="D1480" s="11"/>
      <c r="E1480" s="11"/>
      <c r="F1480" s="11"/>
      <c r="G1480" s="11"/>
      <c r="H1480" s="11"/>
    </row>
    <row r="1481" spans="2:8">
      <c r="B1481" s="11"/>
      <c r="C1481" s="11"/>
      <c r="D1481" s="11"/>
      <c r="E1481" s="11"/>
      <c r="F1481" s="11"/>
      <c r="G1481" s="11"/>
      <c r="H1481" s="11"/>
    </row>
    <row r="1482" spans="2:8">
      <c r="B1482" s="11"/>
      <c r="C1482" s="11"/>
      <c r="D1482" s="11"/>
      <c r="E1482" s="11"/>
      <c r="F1482" s="11"/>
      <c r="G1482" s="11"/>
      <c r="H1482" s="11"/>
    </row>
    <row r="1483" spans="2:8">
      <c r="B1483" s="11"/>
      <c r="C1483" s="11"/>
      <c r="D1483" s="11"/>
      <c r="E1483" s="11"/>
      <c r="F1483" s="11"/>
      <c r="G1483" s="11"/>
      <c r="H1483" s="11"/>
    </row>
    <row r="1484" spans="2:8">
      <c r="B1484" s="11"/>
      <c r="C1484" s="11"/>
      <c r="D1484" s="11"/>
      <c r="E1484" s="11"/>
      <c r="F1484" s="11"/>
      <c r="G1484" s="11"/>
      <c r="H1484" s="11"/>
    </row>
    <row r="1485" spans="2:8">
      <c r="B1485" s="11"/>
      <c r="C1485" s="11"/>
      <c r="D1485" s="11"/>
      <c r="E1485" s="11"/>
      <c r="F1485" s="11"/>
      <c r="G1485" s="11"/>
      <c r="H1485" s="11"/>
    </row>
    <row r="1486" spans="2:8">
      <c r="B1486" s="11"/>
      <c r="C1486" s="11"/>
      <c r="D1486" s="11"/>
      <c r="E1486" s="11"/>
      <c r="F1486" s="11"/>
      <c r="G1486" s="11"/>
      <c r="H1486" s="11"/>
    </row>
    <row r="1487" spans="2:8">
      <c r="B1487" s="11"/>
      <c r="C1487" s="11"/>
      <c r="D1487" s="11"/>
      <c r="E1487" s="11"/>
      <c r="F1487" s="11"/>
      <c r="G1487" s="11"/>
      <c r="H1487" s="11"/>
    </row>
    <row r="1488" spans="2:8">
      <c r="B1488" s="11"/>
      <c r="C1488" s="11"/>
      <c r="D1488" s="11"/>
      <c r="E1488" s="11"/>
      <c r="F1488" s="11"/>
      <c r="G1488" s="11"/>
      <c r="H1488" s="11"/>
    </row>
    <row r="1489" spans="2:8">
      <c r="B1489" s="11"/>
      <c r="C1489" s="11"/>
      <c r="D1489" s="11"/>
      <c r="E1489" s="11"/>
      <c r="F1489" s="11"/>
      <c r="G1489" s="11"/>
      <c r="H1489" s="11"/>
    </row>
    <row r="1490" spans="2:8">
      <c r="B1490" s="11"/>
      <c r="C1490" s="11"/>
      <c r="D1490" s="11"/>
      <c r="E1490" s="11"/>
      <c r="F1490" s="11"/>
      <c r="G1490" s="11"/>
      <c r="H1490" s="11"/>
    </row>
    <row r="1491" spans="2:8">
      <c r="B1491" s="11"/>
      <c r="C1491" s="11"/>
      <c r="D1491" s="11"/>
      <c r="E1491" s="11"/>
      <c r="F1491" s="11"/>
      <c r="G1491" s="11"/>
      <c r="H1491" s="11"/>
    </row>
    <row r="1492" spans="2:8">
      <c r="B1492" s="11"/>
      <c r="C1492" s="11"/>
      <c r="D1492" s="11"/>
      <c r="E1492" s="11"/>
      <c r="F1492" s="11"/>
      <c r="G1492" s="11"/>
      <c r="H1492" s="11"/>
    </row>
    <row r="1493" spans="2:8">
      <c r="B1493" s="11"/>
      <c r="C1493" s="11"/>
      <c r="D1493" s="11"/>
      <c r="E1493" s="11"/>
      <c r="F1493" s="11"/>
      <c r="G1493" s="11"/>
      <c r="H1493" s="11"/>
    </row>
    <row r="1494" spans="2:8">
      <c r="B1494" s="11"/>
      <c r="C1494" s="11"/>
      <c r="D1494" s="11"/>
      <c r="E1494" s="11"/>
      <c r="F1494" s="11"/>
      <c r="G1494" s="11"/>
      <c r="H1494" s="11"/>
    </row>
    <row r="1495" spans="2:8">
      <c r="B1495" s="11"/>
      <c r="C1495" s="11"/>
      <c r="D1495" s="11"/>
      <c r="E1495" s="11"/>
      <c r="F1495" s="11"/>
      <c r="G1495" s="11"/>
      <c r="H1495" s="11"/>
    </row>
    <row r="1496" spans="2:8">
      <c r="B1496" s="11"/>
      <c r="C1496" s="11"/>
      <c r="D1496" s="11"/>
      <c r="E1496" s="11"/>
      <c r="F1496" s="11"/>
      <c r="G1496" s="11"/>
      <c r="H1496" s="11"/>
    </row>
    <row r="1497" spans="2:8">
      <c r="B1497" s="11"/>
      <c r="C1497" s="11"/>
      <c r="D1497" s="11"/>
      <c r="E1497" s="11"/>
      <c r="F1497" s="11"/>
      <c r="G1497" s="11"/>
      <c r="H1497" s="11"/>
    </row>
    <row r="1498" spans="2:8">
      <c r="B1498" s="11"/>
      <c r="C1498" s="11"/>
      <c r="D1498" s="11"/>
      <c r="E1498" s="11"/>
      <c r="F1498" s="11"/>
      <c r="G1498" s="11"/>
      <c r="H1498" s="11"/>
    </row>
    <row r="1499" spans="2:8">
      <c r="B1499" s="11"/>
      <c r="C1499" s="11"/>
      <c r="D1499" s="11"/>
      <c r="E1499" s="11"/>
      <c r="F1499" s="11"/>
      <c r="G1499" s="11"/>
      <c r="H1499" s="11"/>
    </row>
    <row r="1500" spans="2:8">
      <c r="B1500" s="11"/>
      <c r="C1500" s="11"/>
      <c r="D1500" s="11"/>
      <c r="E1500" s="11"/>
      <c r="F1500" s="11"/>
      <c r="G1500" s="11"/>
      <c r="H1500" s="11"/>
    </row>
    <row r="1501" spans="2:8">
      <c r="B1501" s="11"/>
      <c r="C1501" s="11"/>
      <c r="D1501" s="11"/>
      <c r="E1501" s="11"/>
      <c r="F1501" s="11"/>
      <c r="G1501" s="11"/>
      <c r="H1501" s="11"/>
    </row>
    <row r="1502" spans="2:8">
      <c r="B1502" s="11"/>
      <c r="C1502" s="11"/>
      <c r="D1502" s="11"/>
      <c r="E1502" s="11"/>
      <c r="F1502" s="11"/>
      <c r="G1502" s="11"/>
      <c r="H1502" s="11"/>
    </row>
    <row r="1503" spans="2:8">
      <c r="B1503" s="11"/>
      <c r="C1503" s="11"/>
      <c r="D1503" s="11"/>
      <c r="E1503" s="11"/>
      <c r="F1503" s="11"/>
      <c r="G1503" s="11"/>
      <c r="H1503" s="11"/>
    </row>
    <row r="1504" spans="2:8">
      <c r="B1504" s="11"/>
      <c r="C1504" s="11"/>
      <c r="D1504" s="11"/>
      <c r="E1504" s="11"/>
      <c r="F1504" s="11"/>
      <c r="G1504" s="11"/>
      <c r="H1504" s="11"/>
    </row>
    <row r="1505" spans="2:8">
      <c r="B1505" s="11"/>
      <c r="C1505" s="11"/>
      <c r="D1505" s="11"/>
      <c r="E1505" s="11"/>
      <c r="F1505" s="11"/>
      <c r="G1505" s="11"/>
      <c r="H1505" s="11"/>
    </row>
    <row r="1506" spans="2:8">
      <c r="B1506" s="11"/>
      <c r="C1506" s="11"/>
      <c r="D1506" s="11"/>
      <c r="E1506" s="11"/>
      <c r="F1506" s="11"/>
      <c r="G1506" s="11"/>
      <c r="H1506" s="11"/>
    </row>
    <row r="1507" spans="2:8">
      <c r="B1507" s="11"/>
      <c r="C1507" s="11"/>
      <c r="D1507" s="11"/>
      <c r="E1507" s="11"/>
      <c r="F1507" s="11"/>
      <c r="G1507" s="11"/>
      <c r="H1507" s="11"/>
    </row>
    <row r="1508" spans="2:8">
      <c r="B1508" s="11"/>
      <c r="C1508" s="11"/>
      <c r="D1508" s="11"/>
      <c r="E1508" s="11"/>
      <c r="F1508" s="11"/>
      <c r="G1508" s="11"/>
      <c r="H1508" s="11"/>
    </row>
    <row r="1509" spans="2:8">
      <c r="B1509" s="11"/>
      <c r="C1509" s="11"/>
      <c r="D1509" s="11"/>
      <c r="E1509" s="11"/>
      <c r="F1509" s="11"/>
      <c r="G1509" s="11"/>
      <c r="H1509" s="11"/>
    </row>
    <row r="1510" spans="2:8">
      <c r="B1510" s="11"/>
      <c r="C1510" s="11"/>
      <c r="D1510" s="11"/>
      <c r="E1510" s="11"/>
      <c r="F1510" s="11"/>
      <c r="G1510" s="11"/>
      <c r="H1510" s="11"/>
    </row>
    <row r="1511" spans="2:8">
      <c r="B1511" s="11"/>
      <c r="C1511" s="11"/>
      <c r="D1511" s="11"/>
      <c r="E1511" s="11"/>
      <c r="F1511" s="11"/>
      <c r="G1511" s="11"/>
      <c r="H1511" s="11"/>
    </row>
    <row r="1512" spans="2:8">
      <c r="B1512" s="11"/>
      <c r="C1512" s="11"/>
      <c r="D1512" s="11"/>
      <c r="E1512" s="11"/>
      <c r="F1512" s="11"/>
      <c r="G1512" s="11"/>
      <c r="H1512" s="11"/>
    </row>
    <row r="1513" spans="2:8">
      <c r="B1513" s="11"/>
      <c r="C1513" s="11"/>
      <c r="D1513" s="11"/>
      <c r="E1513" s="11"/>
      <c r="F1513" s="11"/>
      <c r="G1513" s="11"/>
      <c r="H1513" s="11"/>
    </row>
    <row r="1514" spans="2:8">
      <c r="B1514" s="11"/>
      <c r="C1514" s="11"/>
      <c r="D1514" s="11"/>
      <c r="E1514" s="11"/>
      <c r="F1514" s="11"/>
      <c r="G1514" s="11"/>
      <c r="H1514" s="11"/>
    </row>
    <row r="1515" spans="2:8">
      <c r="B1515" s="11"/>
      <c r="C1515" s="11"/>
      <c r="D1515" s="11"/>
      <c r="E1515" s="11"/>
      <c r="F1515" s="11"/>
      <c r="G1515" s="11"/>
      <c r="H1515" s="11"/>
    </row>
    <row r="1516" spans="2:8">
      <c r="B1516" s="11"/>
      <c r="C1516" s="11"/>
      <c r="D1516" s="11"/>
      <c r="E1516" s="11"/>
      <c r="F1516" s="11"/>
      <c r="G1516" s="11"/>
      <c r="H1516" s="11"/>
    </row>
    <row r="1517" spans="2:8">
      <c r="B1517" s="11"/>
      <c r="C1517" s="11"/>
      <c r="D1517" s="11"/>
      <c r="E1517" s="11"/>
      <c r="F1517" s="11"/>
      <c r="G1517" s="11"/>
      <c r="H1517" s="11"/>
    </row>
    <row r="1518" spans="2:8">
      <c r="B1518" s="11"/>
      <c r="C1518" s="11"/>
      <c r="D1518" s="11"/>
      <c r="E1518" s="11"/>
      <c r="F1518" s="11"/>
      <c r="G1518" s="11"/>
      <c r="H1518" s="11"/>
    </row>
    <row r="1519" spans="2:8">
      <c r="B1519" s="11"/>
      <c r="C1519" s="11"/>
      <c r="D1519" s="11"/>
      <c r="E1519" s="11"/>
      <c r="F1519" s="11"/>
      <c r="G1519" s="11"/>
      <c r="H1519" s="11"/>
    </row>
    <row r="1520" spans="2:8">
      <c r="B1520" s="11"/>
      <c r="C1520" s="11"/>
      <c r="D1520" s="11"/>
      <c r="E1520" s="11"/>
      <c r="F1520" s="11"/>
      <c r="G1520" s="11"/>
      <c r="H1520" s="11"/>
    </row>
    <row r="1521" spans="2:8">
      <c r="B1521" s="11"/>
      <c r="C1521" s="11"/>
      <c r="D1521" s="11"/>
      <c r="E1521" s="11"/>
      <c r="F1521" s="11"/>
      <c r="G1521" s="11"/>
      <c r="H1521" s="11"/>
    </row>
    <row r="1522" spans="2:8">
      <c r="B1522" s="11"/>
      <c r="C1522" s="11"/>
      <c r="D1522" s="11"/>
      <c r="E1522" s="11"/>
      <c r="F1522" s="11"/>
      <c r="G1522" s="11"/>
      <c r="H1522" s="11"/>
    </row>
    <row r="1523" spans="2:8">
      <c r="B1523" s="11"/>
      <c r="C1523" s="11"/>
      <c r="D1523" s="11"/>
      <c r="E1523" s="11"/>
      <c r="F1523" s="11"/>
      <c r="G1523" s="11"/>
      <c r="H1523" s="11"/>
    </row>
    <row r="1524" spans="2:8">
      <c r="B1524" s="11"/>
      <c r="C1524" s="11"/>
      <c r="D1524" s="11"/>
      <c r="E1524" s="11"/>
      <c r="F1524" s="11"/>
      <c r="G1524" s="11"/>
      <c r="H1524" s="11"/>
    </row>
    <row r="1525" spans="2:8">
      <c r="B1525" s="11"/>
      <c r="C1525" s="11"/>
      <c r="D1525" s="11"/>
      <c r="E1525" s="11"/>
      <c r="F1525" s="11"/>
      <c r="G1525" s="11"/>
      <c r="H1525" s="11"/>
    </row>
    <row r="1526" spans="2:8">
      <c r="B1526" s="11"/>
      <c r="C1526" s="11"/>
      <c r="D1526" s="11"/>
      <c r="E1526" s="11"/>
      <c r="F1526" s="11"/>
      <c r="G1526" s="11"/>
      <c r="H1526" s="11"/>
    </row>
    <row r="1527" spans="2:8">
      <c r="B1527" s="11"/>
      <c r="C1527" s="11"/>
      <c r="D1527" s="11"/>
      <c r="E1527" s="11"/>
      <c r="F1527" s="11"/>
      <c r="G1527" s="11"/>
      <c r="H1527" s="11"/>
    </row>
    <row r="1528" spans="2:8">
      <c r="B1528" s="11"/>
      <c r="C1528" s="11"/>
      <c r="D1528" s="11"/>
      <c r="E1528" s="11"/>
      <c r="F1528" s="11"/>
      <c r="G1528" s="11"/>
      <c r="H1528" s="11"/>
    </row>
    <row r="1529" spans="2:8">
      <c r="B1529" s="11"/>
      <c r="C1529" s="11"/>
      <c r="D1529" s="11"/>
      <c r="E1529" s="11"/>
      <c r="F1529" s="11"/>
      <c r="G1529" s="11"/>
      <c r="H1529" s="11"/>
    </row>
    <row r="1530" spans="2:8">
      <c r="B1530" s="11"/>
      <c r="C1530" s="11"/>
      <c r="D1530" s="11"/>
      <c r="E1530" s="11"/>
      <c r="F1530" s="11"/>
      <c r="G1530" s="11"/>
      <c r="H1530" s="11"/>
    </row>
    <row r="1531" spans="2:8">
      <c r="B1531" s="11"/>
      <c r="C1531" s="11"/>
      <c r="D1531" s="11"/>
      <c r="E1531" s="11"/>
      <c r="F1531" s="11"/>
      <c r="G1531" s="11"/>
      <c r="H1531" s="11"/>
    </row>
    <row r="1532" spans="2:8">
      <c r="B1532" s="11"/>
      <c r="C1532" s="11"/>
      <c r="D1532" s="11"/>
      <c r="E1532" s="11"/>
      <c r="F1532" s="11"/>
      <c r="G1532" s="11"/>
      <c r="H1532" s="11"/>
    </row>
    <row r="1533" spans="2:8">
      <c r="B1533" s="11"/>
      <c r="C1533" s="11"/>
      <c r="D1533" s="11"/>
      <c r="E1533" s="11"/>
      <c r="F1533" s="11"/>
      <c r="G1533" s="11"/>
      <c r="H1533" s="11"/>
    </row>
    <row r="1534" spans="2:8">
      <c r="B1534" s="11"/>
      <c r="C1534" s="11"/>
      <c r="D1534" s="11"/>
      <c r="E1534" s="11"/>
      <c r="F1534" s="11"/>
      <c r="G1534" s="11"/>
      <c r="H1534" s="11"/>
    </row>
    <row r="1535" spans="2:8">
      <c r="B1535" s="11"/>
      <c r="C1535" s="11"/>
      <c r="D1535" s="11"/>
      <c r="E1535" s="11"/>
      <c r="F1535" s="11"/>
      <c r="G1535" s="11"/>
      <c r="H1535" s="11"/>
    </row>
    <row r="1536" spans="2:8">
      <c r="B1536" s="11"/>
      <c r="C1536" s="11"/>
      <c r="D1536" s="11"/>
      <c r="E1536" s="11"/>
      <c r="F1536" s="11"/>
      <c r="G1536" s="11"/>
      <c r="H1536" s="11"/>
    </row>
    <row r="1537" spans="2:8">
      <c r="B1537" s="11"/>
      <c r="C1537" s="11"/>
      <c r="D1537" s="11"/>
      <c r="E1537" s="11"/>
      <c r="F1537" s="11"/>
      <c r="G1537" s="11"/>
      <c r="H1537" s="11"/>
    </row>
    <row r="1538" spans="2:8">
      <c r="B1538" s="11"/>
      <c r="C1538" s="11"/>
      <c r="D1538" s="11"/>
      <c r="E1538" s="11"/>
      <c r="F1538" s="11"/>
      <c r="G1538" s="11"/>
      <c r="H1538" s="11"/>
    </row>
    <row r="1539" spans="2:8">
      <c r="B1539" s="11"/>
      <c r="C1539" s="11"/>
      <c r="D1539" s="11"/>
      <c r="E1539" s="11"/>
      <c r="F1539" s="11"/>
      <c r="G1539" s="11"/>
      <c r="H1539" s="11"/>
    </row>
    <row r="1540" spans="2:8">
      <c r="B1540" s="11"/>
      <c r="C1540" s="11"/>
      <c r="D1540" s="11"/>
      <c r="E1540" s="11"/>
      <c r="F1540" s="11"/>
      <c r="G1540" s="11"/>
      <c r="H1540" s="11"/>
    </row>
    <row r="1541" spans="2:8">
      <c r="B1541" s="11"/>
      <c r="C1541" s="11"/>
      <c r="D1541" s="11"/>
      <c r="E1541" s="11"/>
      <c r="F1541" s="11"/>
      <c r="G1541" s="11"/>
      <c r="H1541" s="11"/>
    </row>
    <row r="1542" spans="2:8">
      <c r="B1542" s="11"/>
      <c r="C1542" s="11"/>
      <c r="D1542" s="11"/>
      <c r="E1542" s="11"/>
      <c r="F1542" s="11"/>
      <c r="G1542" s="11"/>
      <c r="H1542" s="11"/>
    </row>
    <row r="1543" spans="2:8">
      <c r="B1543" s="11"/>
      <c r="C1543" s="11"/>
      <c r="D1543" s="11"/>
      <c r="E1543" s="11"/>
      <c r="F1543" s="11"/>
      <c r="G1543" s="11"/>
      <c r="H1543" s="11"/>
    </row>
    <row r="1544" spans="2:8">
      <c r="B1544" s="11"/>
      <c r="C1544" s="11"/>
      <c r="D1544" s="11"/>
      <c r="E1544" s="11"/>
      <c r="F1544" s="11"/>
      <c r="G1544" s="11"/>
      <c r="H1544" s="11"/>
    </row>
    <row r="1545" spans="2:8">
      <c r="B1545" s="11"/>
      <c r="C1545" s="11"/>
      <c r="D1545" s="11"/>
      <c r="E1545" s="11"/>
      <c r="F1545" s="11"/>
      <c r="G1545" s="11"/>
      <c r="H1545" s="11"/>
    </row>
    <row r="1546" spans="2:8">
      <c r="B1546" s="11"/>
      <c r="C1546" s="11"/>
      <c r="D1546" s="11"/>
      <c r="E1546" s="11"/>
      <c r="F1546" s="11"/>
      <c r="G1546" s="11"/>
      <c r="H1546" s="11"/>
    </row>
    <row r="1547" spans="2:8">
      <c r="B1547" s="11"/>
      <c r="C1547" s="11"/>
      <c r="D1547" s="11"/>
      <c r="E1547" s="11"/>
      <c r="F1547" s="11"/>
      <c r="G1547" s="11"/>
      <c r="H1547" s="11"/>
    </row>
    <row r="1548" spans="2:8">
      <c r="B1548" s="11"/>
      <c r="C1548" s="11"/>
      <c r="D1548" s="11"/>
      <c r="E1548" s="11"/>
      <c r="F1548" s="11"/>
      <c r="G1548" s="11"/>
      <c r="H1548" s="11"/>
    </row>
    <row r="1549" spans="2:8">
      <c r="B1549" s="11"/>
      <c r="C1549" s="11"/>
      <c r="D1549" s="11"/>
      <c r="E1549" s="11"/>
      <c r="F1549" s="11"/>
      <c r="G1549" s="11"/>
      <c r="H1549" s="11"/>
    </row>
    <row r="1550" spans="2:8">
      <c r="B1550" s="11"/>
      <c r="C1550" s="11"/>
      <c r="D1550" s="11"/>
      <c r="E1550" s="11"/>
      <c r="F1550" s="11"/>
      <c r="G1550" s="11"/>
      <c r="H1550" s="11"/>
    </row>
    <row r="1551" spans="2:8">
      <c r="B1551" s="11"/>
      <c r="C1551" s="11"/>
      <c r="D1551" s="11"/>
      <c r="E1551" s="11"/>
      <c r="F1551" s="11"/>
      <c r="G1551" s="11"/>
      <c r="H1551" s="11"/>
    </row>
    <row r="1552" spans="2:8">
      <c r="B1552" s="11"/>
      <c r="C1552" s="11"/>
      <c r="D1552" s="11"/>
      <c r="E1552" s="11"/>
      <c r="F1552" s="11"/>
      <c r="G1552" s="11"/>
      <c r="H1552" s="11"/>
    </row>
    <row r="1553" spans="2:8">
      <c r="B1553" s="11"/>
      <c r="C1553" s="11"/>
      <c r="D1553" s="11"/>
      <c r="E1553" s="11"/>
      <c r="F1553" s="11"/>
      <c r="G1553" s="11"/>
      <c r="H1553" s="11"/>
    </row>
    <row r="1554" spans="2:8">
      <c r="B1554" s="11"/>
      <c r="C1554" s="11"/>
      <c r="D1554" s="11"/>
      <c r="E1554" s="11"/>
      <c r="F1554" s="11"/>
      <c r="G1554" s="11"/>
      <c r="H1554" s="11"/>
    </row>
    <row r="1555" spans="2:8">
      <c r="B1555" s="11"/>
      <c r="C1555" s="11"/>
      <c r="D1555" s="11"/>
      <c r="E1555" s="11"/>
      <c r="F1555" s="11"/>
      <c r="G1555" s="11"/>
      <c r="H1555" s="11"/>
    </row>
    <row r="1556" spans="2:8">
      <c r="B1556" s="11"/>
      <c r="C1556" s="11"/>
      <c r="D1556" s="11"/>
      <c r="E1556" s="11"/>
      <c r="F1556" s="11"/>
      <c r="G1556" s="11"/>
      <c r="H1556" s="11"/>
    </row>
    <row r="1557" spans="2:8">
      <c r="B1557" s="11"/>
      <c r="C1557" s="11"/>
      <c r="D1557" s="11"/>
      <c r="E1557" s="11"/>
      <c r="F1557" s="11"/>
      <c r="G1557" s="11"/>
      <c r="H1557" s="11"/>
    </row>
    <row r="1558" spans="2:8">
      <c r="B1558" s="11"/>
      <c r="C1558" s="11"/>
      <c r="D1558" s="11"/>
      <c r="E1558" s="11"/>
      <c r="F1558" s="11"/>
      <c r="G1558" s="11"/>
      <c r="H1558" s="11"/>
    </row>
    <row r="1559" spans="2:8">
      <c r="B1559" s="11"/>
      <c r="C1559" s="11"/>
      <c r="D1559" s="11"/>
      <c r="E1559" s="11"/>
      <c r="F1559" s="11"/>
      <c r="G1559" s="11"/>
      <c r="H1559" s="11"/>
    </row>
    <row r="1560" spans="2:8">
      <c r="B1560" s="11"/>
      <c r="C1560" s="11"/>
      <c r="D1560" s="11"/>
      <c r="E1560" s="11"/>
      <c r="F1560" s="11"/>
      <c r="G1560" s="11"/>
      <c r="H1560" s="11"/>
    </row>
    <row r="1561" spans="2:8">
      <c r="B1561" s="11"/>
      <c r="C1561" s="11"/>
      <c r="D1561" s="11"/>
      <c r="E1561" s="11"/>
      <c r="F1561" s="11"/>
      <c r="G1561" s="11"/>
      <c r="H1561" s="11"/>
    </row>
    <row r="1562" spans="2:8">
      <c r="B1562" s="11"/>
      <c r="C1562" s="11"/>
      <c r="D1562" s="11"/>
      <c r="E1562" s="11"/>
      <c r="F1562" s="11"/>
      <c r="G1562" s="11"/>
      <c r="H1562" s="11"/>
    </row>
    <row r="1563" spans="2:8">
      <c r="B1563" s="11"/>
      <c r="C1563" s="11"/>
      <c r="D1563" s="11"/>
      <c r="E1563" s="11"/>
      <c r="F1563" s="11"/>
      <c r="G1563" s="11"/>
      <c r="H1563" s="11"/>
    </row>
    <row r="1564" spans="2:8">
      <c r="B1564" s="11"/>
      <c r="C1564" s="11"/>
      <c r="D1564" s="11"/>
      <c r="E1564" s="11"/>
      <c r="F1564" s="11"/>
      <c r="G1564" s="11"/>
      <c r="H1564" s="11"/>
    </row>
    <row r="1565" spans="2:8">
      <c r="B1565" s="11"/>
      <c r="C1565" s="11"/>
      <c r="D1565" s="11"/>
      <c r="E1565" s="11"/>
      <c r="F1565" s="11"/>
      <c r="G1565" s="11"/>
      <c r="H1565" s="11"/>
    </row>
    <row r="1566" spans="2:8">
      <c r="B1566" s="11"/>
      <c r="C1566" s="11"/>
      <c r="D1566" s="11"/>
      <c r="E1566" s="11"/>
      <c r="F1566" s="11"/>
      <c r="G1566" s="11"/>
      <c r="H1566" s="11"/>
    </row>
    <row r="1567" spans="2:8">
      <c r="B1567" s="11"/>
      <c r="C1567" s="11"/>
      <c r="D1567" s="11"/>
      <c r="E1567" s="11"/>
      <c r="F1567" s="11"/>
      <c r="G1567" s="11"/>
      <c r="H1567" s="11"/>
    </row>
    <row r="1568" spans="2:8">
      <c r="B1568" s="11"/>
      <c r="C1568" s="11"/>
      <c r="D1568" s="11"/>
      <c r="E1568" s="11"/>
      <c r="F1568" s="11"/>
      <c r="G1568" s="11"/>
      <c r="H1568" s="11"/>
    </row>
    <row r="1569" spans="2:8">
      <c r="B1569" s="11"/>
      <c r="C1569" s="11"/>
      <c r="D1569" s="11"/>
      <c r="E1569" s="11"/>
      <c r="F1569" s="11"/>
      <c r="G1569" s="11"/>
      <c r="H1569" s="11"/>
    </row>
    <row r="1570" spans="2:8">
      <c r="B1570" s="11"/>
      <c r="C1570" s="11"/>
      <c r="D1570" s="11"/>
      <c r="E1570" s="11"/>
      <c r="F1570" s="11"/>
      <c r="G1570" s="11"/>
      <c r="H1570" s="11"/>
    </row>
    <row r="1571" spans="2:8">
      <c r="B1571" s="11"/>
      <c r="C1571" s="11"/>
      <c r="D1571" s="11"/>
      <c r="E1571" s="11"/>
      <c r="F1571" s="11"/>
      <c r="G1571" s="11"/>
      <c r="H1571" s="11"/>
    </row>
    <row r="1572" spans="2:8">
      <c r="B1572" s="11"/>
      <c r="C1572" s="11"/>
      <c r="D1572" s="11"/>
      <c r="E1572" s="11"/>
      <c r="F1572" s="11"/>
      <c r="G1572" s="11"/>
      <c r="H1572" s="11"/>
    </row>
    <row r="1573" spans="2:8">
      <c r="B1573" s="11"/>
      <c r="C1573" s="11"/>
      <c r="D1573" s="11"/>
      <c r="E1573" s="11"/>
      <c r="F1573" s="11"/>
      <c r="G1573" s="11"/>
      <c r="H1573" s="11"/>
    </row>
    <row r="1574" spans="2:8">
      <c r="B1574" s="11"/>
      <c r="C1574" s="11"/>
      <c r="D1574" s="11"/>
      <c r="E1574" s="11"/>
      <c r="F1574" s="11"/>
      <c r="G1574" s="11"/>
      <c r="H1574" s="11"/>
    </row>
    <row r="1575" spans="2:8">
      <c r="B1575" s="11"/>
      <c r="C1575" s="11"/>
      <c r="D1575" s="11"/>
      <c r="E1575" s="11"/>
      <c r="F1575" s="11"/>
      <c r="G1575" s="11"/>
      <c r="H1575" s="11"/>
    </row>
    <row r="1576" spans="2:8">
      <c r="B1576" s="11"/>
      <c r="C1576" s="11"/>
      <c r="D1576" s="11"/>
      <c r="E1576" s="11"/>
      <c r="F1576" s="11"/>
      <c r="G1576" s="11"/>
      <c r="H1576" s="11"/>
    </row>
    <row r="1577" spans="2:8">
      <c r="B1577" s="11"/>
      <c r="C1577" s="11"/>
      <c r="D1577" s="11"/>
      <c r="E1577" s="11"/>
      <c r="F1577" s="11"/>
      <c r="G1577" s="11"/>
      <c r="H1577" s="11"/>
    </row>
    <row r="1578" spans="2:8">
      <c r="B1578" s="11"/>
      <c r="C1578" s="11"/>
      <c r="D1578" s="11"/>
      <c r="E1578" s="11"/>
      <c r="F1578" s="11"/>
      <c r="G1578" s="11"/>
      <c r="H1578" s="11"/>
    </row>
    <row r="1579" spans="2:8">
      <c r="B1579" s="11"/>
      <c r="C1579" s="11"/>
      <c r="D1579" s="11"/>
      <c r="E1579" s="11"/>
      <c r="F1579" s="11"/>
      <c r="G1579" s="11"/>
      <c r="H1579" s="11"/>
    </row>
    <row r="1580" spans="2:8">
      <c r="B1580" s="11"/>
      <c r="C1580" s="11"/>
      <c r="D1580" s="11"/>
      <c r="E1580" s="11"/>
      <c r="F1580" s="11"/>
      <c r="G1580" s="11"/>
      <c r="H1580" s="11"/>
    </row>
    <row r="1581" spans="2:8">
      <c r="B1581" s="11"/>
      <c r="C1581" s="11"/>
      <c r="D1581" s="11"/>
      <c r="E1581" s="11"/>
      <c r="F1581" s="11"/>
      <c r="G1581" s="11"/>
      <c r="H1581" s="11"/>
    </row>
    <row r="1582" spans="2:8">
      <c r="B1582" s="11"/>
      <c r="C1582" s="11"/>
      <c r="D1582" s="11"/>
      <c r="E1582" s="11"/>
      <c r="F1582" s="11"/>
      <c r="G1582" s="11"/>
      <c r="H1582" s="11"/>
    </row>
    <row r="1583" spans="2:8">
      <c r="B1583" s="11"/>
      <c r="C1583" s="11"/>
      <c r="D1583" s="11"/>
      <c r="E1583" s="11"/>
      <c r="F1583" s="11"/>
      <c r="G1583" s="11"/>
      <c r="H1583" s="11"/>
    </row>
    <row r="1584" spans="2:8">
      <c r="B1584" s="11"/>
      <c r="C1584" s="11"/>
      <c r="D1584" s="11"/>
      <c r="E1584" s="11"/>
      <c r="F1584" s="11"/>
      <c r="G1584" s="11"/>
      <c r="H1584" s="11"/>
    </row>
    <row r="1585" spans="2:8">
      <c r="B1585" s="11"/>
      <c r="C1585" s="11"/>
      <c r="D1585" s="11"/>
      <c r="E1585" s="11"/>
      <c r="F1585" s="11"/>
      <c r="G1585" s="11"/>
      <c r="H1585" s="11"/>
    </row>
    <row r="1586" spans="2:8">
      <c r="B1586" s="11"/>
      <c r="C1586" s="11"/>
      <c r="D1586" s="11"/>
      <c r="E1586" s="11"/>
      <c r="F1586" s="11"/>
      <c r="G1586" s="11"/>
      <c r="H1586" s="11"/>
    </row>
    <row r="1587" spans="2:8">
      <c r="B1587" s="11"/>
      <c r="C1587" s="11"/>
      <c r="D1587" s="11"/>
      <c r="E1587" s="11"/>
      <c r="F1587" s="11"/>
      <c r="G1587" s="11"/>
      <c r="H1587" s="11"/>
    </row>
    <row r="1588" spans="2:8">
      <c r="B1588" s="11"/>
      <c r="C1588" s="11"/>
      <c r="D1588" s="11"/>
      <c r="E1588" s="11"/>
      <c r="F1588" s="11"/>
      <c r="G1588" s="11"/>
      <c r="H1588" s="11"/>
    </row>
    <row r="1589" spans="2:8">
      <c r="B1589" s="11"/>
      <c r="C1589" s="11"/>
      <c r="D1589" s="11"/>
      <c r="E1589" s="11"/>
      <c r="F1589" s="11"/>
      <c r="G1589" s="11"/>
      <c r="H1589" s="11"/>
    </row>
    <row r="1590" spans="2:8">
      <c r="B1590" s="11"/>
      <c r="C1590" s="11"/>
      <c r="D1590" s="11"/>
      <c r="E1590" s="11"/>
      <c r="F1590" s="11"/>
      <c r="G1590" s="11"/>
      <c r="H1590" s="11"/>
    </row>
    <row r="1591" spans="2:8">
      <c r="B1591" s="11"/>
      <c r="C1591" s="11"/>
      <c r="D1591" s="11"/>
      <c r="E1591" s="11"/>
      <c r="F1591" s="11"/>
      <c r="G1591" s="11"/>
      <c r="H1591" s="11"/>
    </row>
    <row r="1592" spans="2:8">
      <c r="B1592" s="11"/>
      <c r="C1592" s="11"/>
      <c r="D1592" s="11"/>
      <c r="E1592" s="11"/>
      <c r="F1592" s="11"/>
      <c r="G1592" s="11"/>
      <c r="H1592" s="11"/>
    </row>
    <row r="1593" spans="2:8">
      <c r="B1593" s="11"/>
      <c r="C1593" s="11"/>
      <c r="D1593" s="11"/>
      <c r="E1593" s="11"/>
      <c r="F1593" s="11"/>
      <c r="G1593" s="11"/>
      <c r="H1593" s="11"/>
    </row>
    <row r="1594" spans="2:8">
      <c r="B1594" s="11"/>
      <c r="C1594" s="11"/>
      <c r="D1594" s="11"/>
      <c r="E1594" s="11"/>
      <c r="F1594" s="11"/>
      <c r="G1594" s="11"/>
      <c r="H1594" s="11"/>
    </row>
    <row r="1595" spans="2:8">
      <c r="B1595" s="11"/>
      <c r="C1595" s="11"/>
      <c r="D1595" s="11"/>
      <c r="E1595" s="11"/>
      <c r="F1595" s="11"/>
      <c r="G1595" s="11"/>
      <c r="H1595" s="11"/>
    </row>
    <row r="1596" spans="2:8">
      <c r="B1596" s="11"/>
      <c r="C1596" s="11"/>
      <c r="D1596" s="11"/>
      <c r="E1596" s="11"/>
      <c r="F1596" s="11"/>
      <c r="G1596" s="11"/>
      <c r="H1596" s="11"/>
    </row>
    <row r="1597" spans="2:8">
      <c r="B1597" s="11"/>
      <c r="C1597" s="11"/>
      <c r="D1597" s="11"/>
      <c r="E1597" s="11"/>
      <c r="F1597" s="11"/>
      <c r="G1597" s="11"/>
      <c r="H1597" s="11"/>
    </row>
    <row r="1598" spans="2:8">
      <c r="B1598" s="11"/>
      <c r="C1598" s="11"/>
      <c r="D1598" s="11"/>
      <c r="E1598" s="11"/>
      <c r="F1598" s="11"/>
      <c r="G1598" s="11"/>
      <c r="H1598" s="11"/>
    </row>
    <row r="1599" spans="2:8">
      <c r="B1599" s="11"/>
      <c r="C1599" s="11"/>
      <c r="D1599" s="11"/>
      <c r="E1599" s="11"/>
      <c r="F1599" s="11"/>
      <c r="G1599" s="11"/>
      <c r="H1599" s="11"/>
    </row>
    <row r="1600" spans="2:8">
      <c r="B1600" s="11"/>
      <c r="C1600" s="11"/>
      <c r="D1600" s="11"/>
      <c r="E1600" s="11"/>
      <c r="F1600" s="11"/>
      <c r="G1600" s="11"/>
      <c r="H1600" s="11"/>
    </row>
    <row r="1601" spans="2:8">
      <c r="B1601" s="11"/>
      <c r="C1601" s="11"/>
      <c r="D1601" s="11"/>
      <c r="E1601" s="11"/>
      <c r="F1601" s="11"/>
      <c r="G1601" s="11"/>
      <c r="H1601" s="11"/>
    </row>
    <row r="1602" spans="2:8">
      <c r="B1602" s="11"/>
      <c r="C1602" s="11"/>
      <c r="D1602" s="11"/>
      <c r="E1602" s="11"/>
      <c r="F1602" s="11"/>
      <c r="G1602" s="11"/>
      <c r="H1602" s="11"/>
    </row>
    <row r="1603" spans="2:8">
      <c r="B1603" s="11"/>
      <c r="C1603" s="11"/>
      <c r="D1603" s="11"/>
      <c r="E1603" s="11"/>
      <c r="F1603" s="11"/>
      <c r="G1603" s="11"/>
      <c r="H1603" s="11"/>
    </row>
    <row r="1604" spans="2:8">
      <c r="B1604" s="11"/>
      <c r="C1604" s="11"/>
      <c r="D1604" s="11"/>
      <c r="E1604" s="11"/>
      <c r="F1604" s="11"/>
      <c r="G1604" s="11"/>
      <c r="H1604" s="11"/>
    </row>
    <row r="1605" spans="2:8">
      <c r="B1605" s="11"/>
      <c r="C1605" s="11"/>
      <c r="D1605" s="11"/>
      <c r="E1605" s="11"/>
      <c r="F1605" s="11"/>
      <c r="G1605" s="11"/>
      <c r="H1605" s="11"/>
    </row>
    <row r="1606" spans="2:8">
      <c r="B1606" s="11"/>
      <c r="C1606" s="11"/>
      <c r="D1606" s="11"/>
      <c r="E1606" s="11"/>
      <c r="F1606" s="11"/>
      <c r="G1606" s="11"/>
      <c r="H1606" s="11"/>
    </row>
    <row r="1607" spans="2:8">
      <c r="B1607" s="11"/>
      <c r="C1607" s="11"/>
      <c r="D1607" s="11"/>
      <c r="E1607" s="11"/>
      <c r="F1607" s="11"/>
      <c r="G1607" s="11"/>
      <c r="H1607" s="11"/>
    </row>
    <row r="1608" spans="2:8">
      <c r="B1608" s="11"/>
      <c r="C1608" s="11"/>
      <c r="D1608" s="11"/>
      <c r="E1608" s="11"/>
      <c r="F1608" s="11"/>
      <c r="G1608" s="11"/>
      <c r="H1608" s="11"/>
    </row>
    <row r="1609" spans="2:8">
      <c r="B1609" s="11"/>
      <c r="C1609" s="11"/>
      <c r="D1609" s="11"/>
      <c r="E1609" s="11"/>
      <c r="F1609" s="11"/>
      <c r="G1609" s="11"/>
      <c r="H1609" s="11"/>
    </row>
    <row r="1610" spans="2:8">
      <c r="B1610" s="11"/>
      <c r="C1610" s="11"/>
      <c r="D1610" s="11"/>
      <c r="E1610" s="11"/>
      <c r="F1610" s="11"/>
      <c r="G1610" s="11"/>
      <c r="H1610" s="11"/>
    </row>
    <row r="1611" spans="2:8">
      <c r="B1611" s="11"/>
      <c r="C1611" s="11"/>
      <c r="D1611" s="11"/>
      <c r="E1611" s="11"/>
      <c r="F1611" s="11"/>
      <c r="G1611" s="11"/>
      <c r="H1611" s="11"/>
    </row>
    <row r="1612" spans="2:8">
      <c r="B1612" s="11"/>
      <c r="C1612" s="11"/>
      <c r="D1612" s="11"/>
      <c r="E1612" s="11"/>
      <c r="F1612" s="11"/>
      <c r="G1612" s="11"/>
      <c r="H1612" s="11"/>
    </row>
    <row r="1613" spans="2:8">
      <c r="B1613" s="11"/>
      <c r="C1613" s="11"/>
      <c r="D1613" s="11"/>
      <c r="E1613" s="11"/>
      <c r="F1613" s="11"/>
      <c r="G1613" s="11"/>
      <c r="H1613" s="11"/>
    </row>
    <row r="1614" spans="2:8">
      <c r="B1614" s="11"/>
      <c r="C1614" s="11"/>
      <c r="D1614" s="11"/>
      <c r="E1614" s="11"/>
      <c r="F1614" s="11"/>
      <c r="G1614" s="11"/>
      <c r="H1614" s="11"/>
    </row>
    <row r="1615" spans="2:8">
      <c r="B1615" s="11"/>
      <c r="C1615" s="11"/>
      <c r="D1615" s="11"/>
      <c r="E1615" s="11"/>
      <c r="F1615" s="11"/>
      <c r="G1615" s="11"/>
      <c r="H1615" s="11"/>
    </row>
    <row r="1616" spans="2:8">
      <c r="B1616" s="11"/>
      <c r="C1616" s="11"/>
      <c r="D1616" s="11"/>
      <c r="E1616" s="11"/>
      <c r="F1616" s="11"/>
      <c r="G1616" s="11"/>
      <c r="H1616" s="11"/>
    </row>
    <row r="1617" spans="2:8">
      <c r="B1617" s="11"/>
      <c r="C1617" s="11"/>
      <c r="D1617" s="11"/>
      <c r="E1617" s="11"/>
      <c r="F1617" s="11"/>
      <c r="G1617" s="11"/>
      <c r="H1617" s="11"/>
    </row>
    <row r="1618" spans="2:8">
      <c r="B1618" s="11"/>
      <c r="C1618" s="11"/>
      <c r="D1618" s="11"/>
      <c r="E1618" s="11"/>
      <c r="F1618" s="11"/>
      <c r="G1618" s="11"/>
      <c r="H1618" s="11"/>
    </row>
    <row r="1619" spans="2:8">
      <c r="B1619" s="11"/>
      <c r="C1619" s="11"/>
      <c r="D1619" s="11"/>
      <c r="E1619" s="11"/>
      <c r="F1619" s="11"/>
      <c r="G1619" s="11"/>
      <c r="H1619" s="11"/>
    </row>
    <row r="1620" spans="2:8">
      <c r="B1620" s="11"/>
      <c r="C1620" s="11"/>
      <c r="D1620" s="11"/>
      <c r="E1620" s="11"/>
      <c r="F1620" s="11"/>
      <c r="G1620" s="11"/>
      <c r="H1620" s="11"/>
    </row>
    <row r="1621" spans="2:8">
      <c r="B1621" s="11"/>
      <c r="C1621" s="11"/>
      <c r="D1621" s="11"/>
      <c r="E1621" s="11"/>
      <c r="F1621" s="11"/>
      <c r="G1621" s="11"/>
      <c r="H1621" s="11"/>
    </row>
    <row r="1622" spans="2:8">
      <c r="B1622" s="11"/>
      <c r="C1622" s="11"/>
      <c r="D1622" s="11"/>
      <c r="E1622" s="11"/>
      <c r="F1622" s="11"/>
      <c r="G1622" s="11"/>
      <c r="H1622" s="11"/>
    </row>
    <row r="1623" spans="2:8">
      <c r="B1623" s="11"/>
      <c r="C1623" s="11"/>
      <c r="D1623" s="11"/>
      <c r="E1623" s="11"/>
      <c r="F1623" s="11"/>
      <c r="G1623" s="11"/>
      <c r="H1623" s="11"/>
    </row>
    <row r="1624" spans="2:8">
      <c r="B1624" s="11"/>
      <c r="C1624" s="11"/>
      <c r="D1624" s="11"/>
      <c r="E1624" s="11"/>
      <c r="F1624" s="11"/>
      <c r="G1624" s="11"/>
      <c r="H1624" s="11"/>
    </row>
    <row r="1625" spans="2:8">
      <c r="B1625" s="11"/>
      <c r="C1625" s="11"/>
      <c r="D1625" s="11"/>
      <c r="E1625" s="11"/>
      <c r="F1625" s="11"/>
      <c r="G1625" s="11"/>
      <c r="H1625" s="11"/>
    </row>
    <row r="1626" spans="2:8">
      <c r="B1626" s="11"/>
      <c r="C1626" s="11"/>
      <c r="D1626" s="11"/>
      <c r="E1626" s="11"/>
      <c r="F1626" s="11"/>
      <c r="G1626" s="11"/>
      <c r="H1626" s="11"/>
    </row>
    <row r="1627" spans="2:8">
      <c r="B1627" s="11"/>
      <c r="C1627" s="11"/>
      <c r="D1627" s="11"/>
      <c r="E1627" s="11"/>
      <c r="F1627" s="11"/>
      <c r="G1627" s="11"/>
      <c r="H1627" s="11"/>
    </row>
    <row r="1628" spans="2:8">
      <c r="B1628" s="11"/>
      <c r="C1628" s="11"/>
      <c r="D1628" s="11"/>
      <c r="E1628" s="11"/>
      <c r="F1628" s="11"/>
      <c r="G1628" s="11"/>
      <c r="H1628" s="11"/>
    </row>
    <row r="1629" spans="2:8">
      <c r="B1629" s="11"/>
      <c r="C1629" s="11"/>
      <c r="D1629" s="11"/>
      <c r="E1629" s="11"/>
      <c r="F1629" s="11"/>
      <c r="G1629" s="11"/>
      <c r="H1629" s="11"/>
    </row>
    <row r="1630" spans="2:8">
      <c r="B1630" s="11"/>
      <c r="C1630" s="11"/>
      <c r="D1630" s="11"/>
      <c r="E1630" s="11"/>
      <c r="F1630" s="11"/>
      <c r="G1630" s="11"/>
      <c r="H1630" s="11"/>
    </row>
    <row r="1631" spans="2:8">
      <c r="B1631" s="11"/>
      <c r="C1631" s="11"/>
      <c r="D1631" s="11"/>
      <c r="E1631" s="11"/>
      <c r="F1631" s="11"/>
      <c r="G1631" s="11"/>
      <c r="H1631" s="11"/>
    </row>
    <row r="1632" spans="2:8">
      <c r="B1632" s="11"/>
      <c r="C1632" s="11"/>
      <c r="D1632" s="11"/>
      <c r="E1632" s="11"/>
      <c r="F1632" s="11"/>
      <c r="G1632" s="11"/>
      <c r="H1632" s="11"/>
    </row>
    <row r="1633" spans="2:8">
      <c r="B1633" s="11"/>
      <c r="C1633" s="11"/>
      <c r="D1633" s="11"/>
      <c r="E1633" s="11"/>
      <c r="F1633" s="11"/>
      <c r="G1633" s="11"/>
      <c r="H1633" s="11"/>
    </row>
    <row r="1634" spans="2:8">
      <c r="B1634" s="11"/>
      <c r="C1634" s="11"/>
      <c r="D1634" s="11"/>
      <c r="E1634" s="11"/>
      <c r="F1634" s="11"/>
      <c r="G1634" s="11"/>
      <c r="H1634" s="11"/>
    </row>
    <row r="1635" spans="2:8">
      <c r="B1635" s="11"/>
      <c r="C1635" s="11"/>
      <c r="D1635" s="11"/>
      <c r="E1635" s="11"/>
      <c r="F1635" s="11"/>
      <c r="G1635" s="11"/>
      <c r="H1635" s="11"/>
    </row>
    <row r="1636" spans="2:8">
      <c r="B1636" s="11"/>
      <c r="C1636" s="11"/>
      <c r="D1636" s="11"/>
      <c r="E1636" s="11"/>
      <c r="F1636" s="11"/>
      <c r="G1636" s="11"/>
      <c r="H1636" s="11"/>
    </row>
    <row r="1637" spans="2:8">
      <c r="B1637" s="11"/>
      <c r="C1637" s="11"/>
      <c r="D1637" s="11"/>
      <c r="E1637" s="11"/>
      <c r="F1637" s="11"/>
      <c r="G1637" s="11"/>
      <c r="H1637" s="11"/>
    </row>
    <row r="1638" spans="2:8">
      <c r="B1638" s="11"/>
      <c r="C1638" s="11"/>
      <c r="D1638" s="11"/>
      <c r="E1638" s="11"/>
      <c r="F1638" s="11"/>
      <c r="G1638" s="11"/>
      <c r="H1638" s="11"/>
    </row>
    <row r="1639" spans="2:8">
      <c r="B1639" s="11"/>
      <c r="C1639" s="11"/>
      <c r="D1639" s="11"/>
      <c r="E1639" s="11"/>
      <c r="F1639" s="11"/>
      <c r="G1639" s="11"/>
      <c r="H1639" s="11"/>
    </row>
    <row r="1640" spans="2:8">
      <c r="B1640" s="11"/>
      <c r="C1640" s="11"/>
      <c r="D1640" s="11"/>
      <c r="E1640" s="11"/>
      <c r="F1640" s="11"/>
      <c r="G1640" s="11"/>
      <c r="H1640" s="11"/>
    </row>
    <row r="1641" spans="2:8">
      <c r="B1641" s="11"/>
      <c r="C1641" s="11"/>
      <c r="D1641" s="11"/>
      <c r="E1641" s="11"/>
      <c r="F1641" s="11"/>
      <c r="G1641" s="11"/>
      <c r="H1641" s="11"/>
    </row>
    <row r="1642" spans="2:8">
      <c r="B1642" s="11"/>
      <c r="C1642" s="11"/>
      <c r="D1642" s="11"/>
      <c r="E1642" s="11"/>
      <c r="F1642" s="11"/>
      <c r="G1642" s="11"/>
      <c r="H1642" s="11"/>
    </row>
    <row r="1643" spans="2:8">
      <c r="B1643" s="11"/>
      <c r="C1643" s="11"/>
      <c r="D1643" s="11"/>
      <c r="E1643" s="11"/>
      <c r="F1643" s="11"/>
      <c r="G1643" s="11"/>
      <c r="H1643" s="11"/>
    </row>
    <row r="1644" spans="2:8">
      <c r="B1644" s="11"/>
      <c r="C1644" s="11"/>
      <c r="D1644" s="11"/>
      <c r="E1644" s="11"/>
      <c r="F1644" s="11"/>
      <c r="G1644" s="11"/>
      <c r="H1644" s="11"/>
    </row>
    <row r="1645" spans="2:8">
      <c r="B1645" s="11"/>
      <c r="C1645" s="11"/>
      <c r="D1645" s="11"/>
      <c r="E1645" s="11"/>
      <c r="F1645" s="11"/>
      <c r="G1645" s="11"/>
      <c r="H1645" s="11"/>
    </row>
    <row r="1646" spans="2:8">
      <c r="B1646" s="11"/>
      <c r="C1646" s="11"/>
      <c r="D1646" s="11"/>
      <c r="E1646" s="11"/>
      <c r="F1646" s="11"/>
      <c r="G1646" s="11"/>
      <c r="H1646" s="11"/>
    </row>
    <row r="1647" spans="2:8">
      <c r="B1647" s="11"/>
      <c r="C1647" s="11"/>
      <c r="D1647" s="11"/>
      <c r="E1647" s="11"/>
      <c r="F1647" s="11"/>
      <c r="G1647" s="11"/>
      <c r="H1647" s="11"/>
    </row>
    <row r="1648" spans="2:8">
      <c r="B1648" s="11"/>
      <c r="C1648" s="11"/>
      <c r="D1648" s="11"/>
      <c r="E1648" s="11"/>
      <c r="F1648" s="11"/>
      <c r="G1648" s="11"/>
      <c r="H1648" s="11"/>
    </row>
    <row r="1649" spans="2:8">
      <c r="B1649" s="11"/>
      <c r="C1649" s="11"/>
      <c r="D1649" s="11"/>
      <c r="E1649" s="11"/>
      <c r="F1649" s="11"/>
      <c r="G1649" s="11"/>
      <c r="H1649" s="11"/>
    </row>
    <row r="1650" spans="2:8">
      <c r="B1650" s="11"/>
      <c r="C1650" s="11"/>
      <c r="D1650" s="11"/>
      <c r="E1650" s="11"/>
      <c r="F1650" s="11"/>
      <c r="G1650" s="11"/>
      <c r="H1650" s="11"/>
    </row>
    <row r="1651" spans="2:8">
      <c r="B1651" s="11"/>
      <c r="C1651" s="11"/>
      <c r="D1651" s="11"/>
      <c r="E1651" s="11"/>
      <c r="F1651" s="11"/>
      <c r="G1651" s="11"/>
      <c r="H1651" s="11"/>
    </row>
    <row r="1652" spans="2:8">
      <c r="B1652" s="11"/>
      <c r="C1652" s="11"/>
      <c r="D1652" s="11"/>
      <c r="E1652" s="11"/>
      <c r="F1652" s="11"/>
      <c r="G1652" s="11"/>
      <c r="H1652" s="11"/>
    </row>
    <row r="1653" spans="2:8">
      <c r="B1653" s="11"/>
      <c r="C1653" s="11"/>
      <c r="D1653" s="11"/>
      <c r="E1653" s="11"/>
      <c r="F1653" s="11"/>
      <c r="G1653" s="11"/>
      <c r="H1653" s="11"/>
    </row>
    <row r="1654" spans="2:8">
      <c r="B1654" s="11"/>
      <c r="C1654" s="11"/>
      <c r="D1654" s="11"/>
      <c r="E1654" s="11"/>
      <c r="F1654" s="11"/>
      <c r="G1654" s="11"/>
      <c r="H1654" s="11"/>
    </row>
    <row r="1655" spans="2:8">
      <c r="B1655" s="11"/>
      <c r="C1655" s="11"/>
      <c r="D1655" s="11"/>
      <c r="E1655" s="11"/>
      <c r="F1655" s="11"/>
      <c r="G1655" s="11"/>
      <c r="H1655" s="11"/>
    </row>
    <row r="1656" spans="2:8">
      <c r="B1656" s="11"/>
      <c r="C1656" s="11"/>
      <c r="D1656" s="11"/>
      <c r="E1656" s="11"/>
      <c r="F1656" s="11"/>
      <c r="G1656" s="11"/>
      <c r="H1656" s="11"/>
    </row>
    <row r="1657" spans="2:8">
      <c r="B1657" s="11"/>
      <c r="C1657" s="11"/>
      <c r="D1657" s="11"/>
      <c r="E1657" s="11"/>
      <c r="F1657" s="11"/>
      <c r="G1657" s="11"/>
      <c r="H1657" s="11"/>
    </row>
    <row r="1658" spans="2:8">
      <c r="B1658" s="11"/>
      <c r="C1658" s="11"/>
      <c r="D1658" s="11"/>
      <c r="E1658" s="11"/>
      <c r="F1658" s="11"/>
      <c r="G1658" s="11"/>
      <c r="H1658" s="11"/>
    </row>
    <row r="1659" spans="2:8">
      <c r="B1659" s="11"/>
      <c r="C1659" s="11"/>
      <c r="D1659" s="11"/>
      <c r="E1659" s="11"/>
      <c r="F1659" s="11"/>
      <c r="G1659" s="11"/>
      <c r="H1659" s="11"/>
    </row>
    <row r="1660" spans="2:8">
      <c r="B1660" s="11"/>
      <c r="C1660" s="11"/>
      <c r="D1660" s="11"/>
      <c r="E1660" s="11"/>
      <c r="F1660" s="11"/>
      <c r="G1660" s="11"/>
      <c r="H1660" s="11"/>
    </row>
    <row r="1661" spans="2:8">
      <c r="B1661" s="11"/>
      <c r="C1661" s="11"/>
      <c r="D1661" s="11"/>
      <c r="E1661" s="11"/>
      <c r="F1661" s="11"/>
      <c r="G1661" s="11"/>
      <c r="H1661" s="11"/>
    </row>
    <row r="1662" spans="2:8">
      <c r="B1662" s="11"/>
      <c r="C1662" s="11"/>
      <c r="D1662" s="11"/>
      <c r="E1662" s="11"/>
      <c r="F1662" s="11"/>
      <c r="G1662" s="11"/>
      <c r="H1662" s="11"/>
    </row>
    <row r="1663" spans="2:8">
      <c r="B1663" s="11"/>
      <c r="C1663" s="11"/>
      <c r="D1663" s="11"/>
      <c r="E1663" s="11"/>
      <c r="F1663" s="11"/>
      <c r="G1663" s="11"/>
      <c r="H1663" s="11"/>
    </row>
    <row r="1664" spans="2:8">
      <c r="B1664" s="11"/>
      <c r="C1664" s="11"/>
      <c r="D1664" s="11"/>
      <c r="E1664" s="11"/>
      <c r="F1664" s="11"/>
      <c r="G1664" s="11"/>
      <c r="H1664" s="11"/>
    </row>
    <row r="1665" spans="2:8">
      <c r="B1665" s="11"/>
      <c r="C1665" s="11"/>
      <c r="D1665" s="11"/>
      <c r="E1665" s="11"/>
      <c r="F1665" s="11"/>
      <c r="G1665" s="11"/>
      <c r="H1665" s="11"/>
    </row>
    <row r="1666" spans="2:8">
      <c r="B1666" s="11"/>
      <c r="C1666" s="11"/>
      <c r="D1666" s="11"/>
      <c r="E1666" s="11"/>
      <c r="F1666" s="11"/>
      <c r="G1666" s="11"/>
      <c r="H1666" s="11"/>
    </row>
    <row r="1667" spans="2:8">
      <c r="B1667" s="11"/>
      <c r="C1667" s="11"/>
      <c r="D1667" s="11"/>
      <c r="E1667" s="11"/>
      <c r="F1667" s="11"/>
      <c r="G1667" s="11"/>
      <c r="H1667" s="11"/>
    </row>
    <row r="1668" spans="2:8">
      <c r="B1668" s="11"/>
      <c r="C1668" s="11"/>
      <c r="D1668" s="11"/>
      <c r="E1668" s="11"/>
      <c r="F1668" s="11"/>
      <c r="G1668" s="11"/>
      <c r="H1668" s="11"/>
    </row>
    <row r="1669" spans="2:8">
      <c r="B1669" s="11"/>
      <c r="C1669" s="11"/>
      <c r="D1669" s="11"/>
      <c r="E1669" s="11"/>
      <c r="F1669" s="11"/>
      <c r="G1669" s="11"/>
      <c r="H1669" s="11"/>
    </row>
    <row r="1670" spans="2:8">
      <c r="B1670" s="11"/>
      <c r="C1670" s="11"/>
      <c r="D1670" s="11"/>
      <c r="E1670" s="11"/>
      <c r="F1670" s="11"/>
      <c r="G1670" s="11"/>
      <c r="H1670" s="11"/>
    </row>
    <row r="1671" spans="2:8">
      <c r="B1671" s="11"/>
      <c r="C1671" s="11"/>
      <c r="D1671" s="11"/>
      <c r="E1671" s="11"/>
      <c r="F1671" s="11"/>
      <c r="G1671" s="11"/>
      <c r="H1671" s="11"/>
    </row>
    <row r="1672" spans="2:8">
      <c r="B1672" s="11"/>
      <c r="C1672" s="11"/>
      <c r="D1672" s="11"/>
      <c r="E1672" s="11"/>
      <c r="F1672" s="11"/>
      <c r="G1672" s="11"/>
      <c r="H1672" s="11"/>
    </row>
    <row r="1673" spans="2:8">
      <c r="B1673" s="11"/>
      <c r="C1673" s="11"/>
      <c r="D1673" s="11"/>
      <c r="E1673" s="11"/>
      <c r="F1673" s="11"/>
      <c r="G1673" s="11"/>
      <c r="H1673" s="11"/>
    </row>
    <row r="1674" spans="2:8">
      <c r="B1674" s="11"/>
      <c r="C1674" s="11"/>
      <c r="D1674" s="11"/>
      <c r="E1674" s="11"/>
      <c r="F1674" s="11"/>
      <c r="G1674" s="11"/>
      <c r="H1674" s="11"/>
    </row>
    <row r="1675" spans="2:8">
      <c r="B1675" s="11"/>
      <c r="C1675" s="11"/>
      <c r="D1675" s="11"/>
      <c r="E1675" s="11"/>
      <c r="F1675" s="11"/>
      <c r="G1675" s="11"/>
      <c r="H1675" s="11"/>
    </row>
    <row r="1676" spans="2:8">
      <c r="B1676" s="11"/>
      <c r="C1676" s="11"/>
      <c r="D1676" s="11"/>
      <c r="E1676" s="11"/>
      <c r="F1676" s="11"/>
      <c r="G1676" s="11"/>
      <c r="H1676" s="11"/>
    </row>
    <row r="1677" spans="2:8">
      <c r="B1677" s="11"/>
      <c r="C1677" s="11"/>
      <c r="D1677" s="11"/>
      <c r="E1677" s="11"/>
      <c r="F1677" s="11"/>
      <c r="G1677" s="11"/>
      <c r="H1677" s="11"/>
    </row>
    <row r="1678" spans="2:8">
      <c r="B1678" s="11"/>
      <c r="C1678" s="11"/>
      <c r="D1678" s="11"/>
      <c r="E1678" s="11"/>
      <c r="F1678" s="11"/>
      <c r="G1678" s="11"/>
      <c r="H1678" s="11"/>
    </row>
    <row r="1679" spans="2:8">
      <c r="B1679" s="11"/>
      <c r="C1679" s="11"/>
      <c r="D1679" s="11"/>
      <c r="E1679" s="11"/>
      <c r="F1679" s="11"/>
      <c r="G1679" s="11"/>
      <c r="H1679" s="11"/>
    </row>
    <row r="1680" spans="2:8">
      <c r="B1680" s="11"/>
      <c r="C1680" s="11"/>
      <c r="D1680" s="11"/>
      <c r="E1680" s="11"/>
      <c r="F1680" s="11"/>
      <c r="G1680" s="11"/>
      <c r="H1680" s="11"/>
    </row>
    <row r="1681" spans="2:8">
      <c r="B1681" s="11"/>
      <c r="C1681" s="11"/>
      <c r="D1681" s="11"/>
      <c r="E1681" s="11"/>
      <c r="F1681" s="11"/>
      <c r="G1681" s="11"/>
      <c r="H1681" s="11"/>
    </row>
    <row r="1682" spans="2:8">
      <c r="B1682" s="11"/>
      <c r="C1682" s="11"/>
      <c r="D1682" s="11"/>
      <c r="E1682" s="11"/>
      <c r="F1682" s="11"/>
      <c r="G1682" s="11"/>
      <c r="H1682" s="11"/>
    </row>
    <row r="1683" spans="2:8">
      <c r="B1683" s="11"/>
      <c r="C1683" s="11"/>
      <c r="D1683" s="11"/>
      <c r="E1683" s="11"/>
      <c r="F1683" s="11"/>
      <c r="G1683" s="11"/>
      <c r="H1683" s="11"/>
    </row>
    <row r="1684" spans="2:8">
      <c r="B1684" s="11"/>
      <c r="C1684" s="11"/>
      <c r="D1684" s="11"/>
      <c r="E1684" s="11"/>
      <c r="F1684" s="11"/>
      <c r="G1684" s="11"/>
      <c r="H1684" s="11"/>
    </row>
    <row r="1685" spans="2:8">
      <c r="B1685" s="11"/>
      <c r="C1685" s="11"/>
      <c r="D1685" s="11"/>
      <c r="E1685" s="11"/>
      <c r="F1685" s="11"/>
      <c r="G1685" s="11"/>
      <c r="H1685" s="11"/>
    </row>
    <row r="1686" spans="2:8">
      <c r="B1686" s="11"/>
      <c r="C1686" s="11"/>
      <c r="D1686" s="11"/>
      <c r="E1686" s="11"/>
      <c r="F1686" s="11"/>
      <c r="G1686" s="11"/>
      <c r="H1686" s="11"/>
    </row>
    <row r="1687" spans="2:8">
      <c r="B1687" s="11"/>
      <c r="C1687" s="11"/>
      <c r="D1687" s="11"/>
      <c r="E1687" s="11"/>
      <c r="F1687" s="11"/>
      <c r="G1687" s="11"/>
      <c r="H1687" s="11"/>
    </row>
    <row r="1688" spans="2:8">
      <c r="B1688" s="11"/>
      <c r="C1688" s="11"/>
      <c r="D1688" s="11"/>
      <c r="E1688" s="11"/>
      <c r="F1688" s="11"/>
      <c r="G1688" s="11"/>
      <c r="H1688" s="11"/>
    </row>
    <row r="1689" spans="2:8">
      <c r="B1689" s="11"/>
      <c r="C1689" s="11"/>
      <c r="D1689" s="11"/>
      <c r="E1689" s="11"/>
      <c r="F1689" s="11"/>
      <c r="G1689" s="11"/>
      <c r="H1689" s="11"/>
    </row>
    <row r="1690" spans="2:8">
      <c r="B1690" s="11"/>
      <c r="C1690" s="11"/>
      <c r="D1690" s="11"/>
      <c r="E1690" s="11"/>
      <c r="F1690" s="11"/>
      <c r="G1690" s="11"/>
      <c r="H1690" s="11"/>
    </row>
    <row r="1691" spans="2:8">
      <c r="B1691" s="11"/>
      <c r="C1691" s="11"/>
      <c r="D1691" s="11"/>
      <c r="E1691" s="11"/>
      <c r="F1691" s="11"/>
      <c r="G1691" s="11"/>
      <c r="H1691" s="11"/>
    </row>
    <row r="1692" spans="2:8">
      <c r="B1692" s="11"/>
      <c r="C1692" s="11"/>
      <c r="D1692" s="11"/>
      <c r="E1692" s="11"/>
      <c r="F1692" s="11"/>
      <c r="G1692" s="11"/>
      <c r="H1692" s="11"/>
    </row>
    <row r="1693" spans="2:8">
      <c r="B1693" s="11"/>
      <c r="C1693" s="11"/>
      <c r="D1693" s="11"/>
      <c r="E1693" s="11"/>
      <c r="F1693" s="11"/>
      <c r="G1693" s="11"/>
      <c r="H1693" s="11"/>
    </row>
    <row r="1694" spans="2:8">
      <c r="B1694" s="11"/>
      <c r="C1694" s="11"/>
      <c r="D1694" s="11"/>
      <c r="E1694" s="11"/>
      <c r="F1694" s="11"/>
      <c r="G1694" s="11"/>
      <c r="H1694" s="11"/>
    </row>
    <row r="1695" spans="2:8">
      <c r="B1695" s="11"/>
      <c r="C1695" s="11"/>
      <c r="D1695" s="11"/>
      <c r="E1695" s="11"/>
      <c r="F1695" s="11"/>
      <c r="G1695" s="11"/>
      <c r="H1695" s="11"/>
    </row>
    <row r="1696" spans="2:8">
      <c r="B1696" s="11"/>
      <c r="C1696" s="11"/>
      <c r="D1696" s="11"/>
      <c r="E1696" s="11"/>
      <c r="F1696" s="11"/>
      <c r="G1696" s="11"/>
      <c r="H1696" s="11"/>
    </row>
    <row r="1697" spans="2:8">
      <c r="B1697" s="11"/>
      <c r="C1697" s="11"/>
      <c r="D1697" s="11"/>
      <c r="E1697" s="11"/>
      <c r="F1697" s="11"/>
      <c r="G1697" s="11"/>
      <c r="H1697" s="11"/>
    </row>
    <row r="1698" spans="2:8">
      <c r="B1698" s="11"/>
      <c r="C1698" s="11"/>
      <c r="D1698" s="11"/>
      <c r="E1698" s="11"/>
      <c r="F1698" s="11"/>
      <c r="G1698" s="11"/>
      <c r="H1698" s="11"/>
    </row>
    <row r="1699" spans="2:8">
      <c r="B1699" s="11"/>
      <c r="C1699" s="11"/>
      <c r="D1699" s="11"/>
      <c r="E1699" s="11"/>
      <c r="F1699" s="11"/>
      <c r="G1699" s="11"/>
      <c r="H1699" s="11"/>
    </row>
    <row r="1700" spans="2:8">
      <c r="B1700" s="11"/>
      <c r="C1700" s="11"/>
      <c r="D1700" s="11"/>
      <c r="E1700" s="11"/>
      <c r="F1700" s="11"/>
      <c r="G1700" s="11"/>
      <c r="H1700" s="11"/>
    </row>
    <row r="1701" spans="2:8">
      <c r="B1701" s="11"/>
      <c r="C1701" s="11"/>
      <c r="D1701" s="11"/>
      <c r="E1701" s="11"/>
      <c r="F1701" s="11"/>
      <c r="G1701" s="11"/>
      <c r="H1701" s="11"/>
    </row>
    <row r="1702" spans="2:8">
      <c r="B1702" s="11"/>
      <c r="C1702" s="11"/>
      <c r="D1702" s="11"/>
      <c r="E1702" s="11"/>
      <c r="F1702" s="11"/>
      <c r="G1702" s="11"/>
      <c r="H1702" s="11"/>
    </row>
    <row r="1703" spans="2:8">
      <c r="B1703" s="11"/>
      <c r="C1703" s="11"/>
      <c r="D1703" s="11"/>
      <c r="E1703" s="11"/>
      <c r="F1703" s="11"/>
      <c r="G1703" s="11"/>
      <c r="H1703" s="11"/>
    </row>
    <row r="1704" spans="2:8">
      <c r="B1704" s="11"/>
      <c r="C1704" s="11"/>
      <c r="D1704" s="11"/>
      <c r="E1704" s="11"/>
      <c r="F1704" s="11"/>
      <c r="G1704" s="11"/>
      <c r="H1704" s="11"/>
    </row>
    <row r="1705" spans="2:8">
      <c r="B1705" s="11"/>
      <c r="C1705" s="11"/>
      <c r="D1705" s="11"/>
      <c r="E1705" s="11"/>
      <c r="F1705" s="11"/>
      <c r="G1705" s="11"/>
      <c r="H1705" s="11"/>
    </row>
    <row r="1706" spans="2:8">
      <c r="B1706" s="11"/>
      <c r="C1706" s="11"/>
      <c r="D1706" s="11"/>
      <c r="E1706" s="11"/>
      <c r="F1706" s="11"/>
      <c r="G1706" s="11"/>
      <c r="H1706" s="11"/>
    </row>
    <row r="1707" spans="2:8">
      <c r="B1707" s="11"/>
      <c r="C1707" s="11"/>
      <c r="D1707" s="11"/>
      <c r="E1707" s="11"/>
      <c r="F1707" s="11"/>
      <c r="G1707" s="11"/>
      <c r="H1707" s="11"/>
    </row>
    <row r="1708" spans="2:8">
      <c r="B1708" s="11"/>
      <c r="C1708" s="11"/>
      <c r="D1708" s="11"/>
      <c r="E1708" s="11"/>
      <c r="F1708" s="11"/>
      <c r="G1708" s="11"/>
      <c r="H1708" s="11"/>
    </row>
    <row r="1709" spans="2:8">
      <c r="B1709" s="11"/>
      <c r="C1709" s="11"/>
      <c r="D1709" s="11"/>
      <c r="E1709" s="11"/>
      <c r="F1709" s="11"/>
      <c r="G1709" s="11"/>
      <c r="H1709" s="11"/>
    </row>
    <row r="1710" spans="2:8">
      <c r="B1710" s="11"/>
      <c r="C1710" s="11"/>
      <c r="D1710" s="11"/>
      <c r="E1710" s="11"/>
      <c r="F1710" s="11"/>
      <c r="G1710" s="11"/>
      <c r="H1710" s="11"/>
    </row>
    <row r="1711" spans="2:8">
      <c r="B1711" s="11"/>
      <c r="C1711" s="11"/>
      <c r="D1711" s="11"/>
      <c r="E1711" s="11"/>
      <c r="F1711" s="11"/>
      <c r="G1711" s="11"/>
      <c r="H1711" s="11"/>
    </row>
    <row r="1712" spans="2:8">
      <c r="B1712" s="11"/>
      <c r="C1712" s="11"/>
      <c r="D1712" s="11"/>
      <c r="E1712" s="11"/>
      <c r="F1712" s="11"/>
      <c r="G1712" s="11"/>
      <c r="H1712" s="11"/>
    </row>
    <row r="1713" spans="2:8">
      <c r="B1713" s="11"/>
      <c r="C1713" s="11"/>
      <c r="D1713" s="11"/>
      <c r="E1713" s="11"/>
      <c r="F1713" s="11"/>
      <c r="G1713" s="11"/>
      <c r="H1713" s="11"/>
    </row>
    <row r="1714" spans="2:8">
      <c r="B1714" s="11"/>
      <c r="C1714" s="11"/>
      <c r="D1714" s="11"/>
      <c r="E1714" s="11"/>
      <c r="F1714" s="11"/>
      <c r="G1714" s="11"/>
      <c r="H1714" s="11"/>
    </row>
    <row r="1715" spans="2:8">
      <c r="B1715" s="11"/>
      <c r="C1715" s="11"/>
      <c r="D1715" s="11"/>
      <c r="E1715" s="11"/>
      <c r="F1715" s="11"/>
      <c r="G1715" s="11"/>
      <c r="H1715" s="11"/>
    </row>
    <row r="1716" spans="2:8">
      <c r="B1716" s="11"/>
      <c r="C1716" s="11"/>
      <c r="D1716" s="11"/>
      <c r="E1716" s="11"/>
      <c r="F1716" s="11"/>
      <c r="G1716" s="11"/>
      <c r="H1716" s="11"/>
    </row>
    <row r="1717" spans="2:8">
      <c r="B1717" s="11"/>
      <c r="C1717" s="11"/>
      <c r="D1717" s="11"/>
      <c r="E1717" s="11"/>
      <c r="F1717" s="11"/>
      <c r="G1717" s="11"/>
      <c r="H1717" s="11"/>
    </row>
    <row r="1718" spans="2:8">
      <c r="B1718" s="11"/>
      <c r="C1718" s="11"/>
      <c r="D1718" s="11"/>
      <c r="E1718" s="11"/>
      <c r="F1718" s="11"/>
      <c r="G1718" s="11"/>
      <c r="H1718" s="11"/>
    </row>
    <row r="1719" spans="2:8">
      <c r="B1719" s="11"/>
      <c r="C1719" s="11"/>
      <c r="D1719" s="11"/>
      <c r="E1719" s="11"/>
      <c r="F1719" s="11"/>
      <c r="G1719" s="11"/>
      <c r="H1719" s="11"/>
    </row>
    <row r="1720" spans="2:8">
      <c r="B1720" s="11"/>
      <c r="C1720" s="11"/>
      <c r="D1720" s="11"/>
      <c r="E1720" s="11"/>
      <c r="F1720" s="11"/>
      <c r="G1720" s="11"/>
      <c r="H1720" s="11"/>
    </row>
    <row r="1721" spans="2:8">
      <c r="B1721" s="11"/>
      <c r="C1721" s="11"/>
      <c r="D1721" s="11"/>
      <c r="E1721" s="11"/>
      <c r="F1721" s="11"/>
      <c r="G1721" s="11"/>
      <c r="H1721" s="11"/>
    </row>
    <row r="1722" spans="2:8">
      <c r="B1722" s="11"/>
      <c r="C1722" s="11"/>
      <c r="D1722" s="11"/>
      <c r="E1722" s="11"/>
      <c r="F1722" s="11"/>
      <c r="G1722" s="11"/>
      <c r="H1722" s="11"/>
    </row>
    <row r="1723" spans="2:8">
      <c r="B1723" s="11"/>
      <c r="C1723" s="11"/>
      <c r="D1723" s="11"/>
      <c r="E1723" s="11"/>
      <c r="F1723" s="11"/>
      <c r="G1723" s="11"/>
      <c r="H1723" s="11"/>
    </row>
    <row r="1724" spans="2:8">
      <c r="B1724" s="11"/>
      <c r="C1724" s="11"/>
      <c r="D1724" s="11"/>
      <c r="E1724" s="11"/>
      <c r="F1724" s="11"/>
      <c r="G1724" s="11"/>
      <c r="H1724" s="11"/>
    </row>
    <row r="1725" spans="2:8">
      <c r="B1725" s="11"/>
      <c r="C1725" s="11"/>
      <c r="D1725" s="11"/>
      <c r="E1725" s="11"/>
      <c r="F1725" s="11"/>
      <c r="G1725" s="11"/>
      <c r="H1725" s="11"/>
    </row>
    <row r="1726" spans="2:8">
      <c r="B1726" s="11"/>
      <c r="C1726" s="11"/>
      <c r="D1726" s="11"/>
      <c r="E1726" s="11"/>
      <c r="F1726" s="11"/>
      <c r="G1726" s="11"/>
      <c r="H1726" s="11"/>
    </row>
    <row r="1727" spans="2:8">
      <c r="B1727" s="11"/>
      <c r="C1727" s="11"/>
      <c r="D1727" s="11"/>
      <c r="E1727" s="11"/>
      <c r="F1727" s="11"/>
      <c r="G1727" s="11"/>
      <c r="H1727" s="11"/>
    </row>
    <row r="1728" spans="2:8">
      <c r="B1728" s="11"/>
      <c r="C1728" s="11"/>
      <c r="D1728" s="11"/>
      <c r="E1728" s="11"/>
      <c r="F1728" s="11"/>
      <c r="G1728" s="11"/>
      <c r="H1728" s="11"/>
    </row>
    <row r="1729" spans="2:8">
      <c r="B1729" s="11"/>
      <c r="C1729" s="11"/>
      <c r="D1729" s="11"/>
      <c r="E1729" s="11"/>
      <c r="F1729" s="11"/>
      <c r="G1729" s="11"/>
      <c r="H1729" s="11"/>
    </row>
    <row r="1730" spans="2:8">
      <c r="B1730" s="11"/>
      <c r="C1730" s="11"/>
      <c r="D1730" s="11"/>
      <c r="E1730" s="11"/>
      <c r="F1730" s="11"/>
      <c r="G1730" s="11"/>
      <c r="H1730" s="11"/>
    </row>
    <row r="1731" spans="2:8">
      <c r="B1731" s="11"/>
      <c r="C1731" s="11"/>
      <c r="D1731" s="11"/>
      <c r="E1731" s="11"/>
      <c r="F1731" s="11"/>
      <c r="G1731" s="11"/>
      <c r="H1731" s="11"/>
    </row>
    <row r="1732" spans="2:8">
      <c r="B1732" s="11"/>
      <c r="C1732" s="11"/>
      <c r="D1732" s="11"/>
      <c r="E1732" s="11"/>
      <c r="F1732" s="11"/>
      <c r="G1732" s="11"/>
      <c r="H1732" s="11"/>
    </row>
    <row r="1733" spans="2:8">
      <c r="B1733" s="11"/>
      <c r="C1733" s="11"/>
      <c r="D1733" s="11"/>
      <c r="E1733" s="11"/>
      <c r="F1733" s="11"/>
      <c r="G1733" s="11"/>
      <c r="H1733" s="11"/>
    </row>
    <row r="1734" spans="2:8">
      <c r="B1734" s="11"/>
      <c r="C1734" s="11"/>
      <c r="D1734" s="11"/>
      <c r="E1734" s="11"/>
      <c r="F1734" s="11"/>
      <c r="G1734" s="11"/>
      <c r="H1734" s="11"/>
    </row>
    <row r="1735" spans="2:8">
      <c r="B1735" s="11"/>
      <c r="C1735" s="11"/>
      <c r="D1735" s="11"/>
      <c r="E1735" s="11"/>
      <c r="F1735" s="11"/>
      <c r="G1735" s="11"/>
      <c r="H1735" s="11"/>
    </row>
    <row r="1736" spans="2:8">
      <c r="B1736" s="11"/>
      <c r="C1736" s="11"/>
      <c r="D1736" s="11"/>
      <c r="E1736" s="11"/>
      <c r="F1736" s="11"/>
      <c r="G1736" s="11"/>
      <c r="H1736" s="11"/>
    </row>
    <row r="1737" spans="2:8">
      <c r="B1737" s="11"/>
      <c r="C1737" s="11"/>
      <c r="D1737" s="11"/>
      <c r="E1737" s="11"/>
      <c r="F1737" s="11"/>
      <c r="G1737" s="11"/>
      <c r="H1737" s="11"/>
    </row>
    <row r="1738" spans="2:8">
      <c r="B1738" s="11"/>
      <c r="C1738" s="11"/>
      <c r="D1738" s="11"/>
      <c r="E1738" s="11"/>
      <c r="F1738" s="11"/>
      <c r="G1738" s="11"/>
      <c r="H1738" s="11"/>
    </row>
    <row r="1739" spans="2:8">
      <c r="B1739" s="11"/>
      <c r="C1739" s="11"/>
      <c r="D1739" s="11"/>
      <c r="E1739" s="11"/>
      <c r="F1739" s="11"/>
      <c r="G1739" s="11"/>
      <c r="H1739" s="11"/>
    </row>
    <row r="1740" spans="2:8">
      <c r="B1740" s="11"/>
      <c r="C1740" s="11"/>
      <c r="D1740" s="11"/>
      <c r="E1740" s="11"/>
      <c r="F1740" s="11"/>
      <c r="G1740" s="11"/>
      <c r="H1740" s="11"/>
    </row>
    <row r="1741" spans="2:8">
      <c r="B1741" s="11"/>
      <c r="C1741" s="11"/>
      <c r="D1741" s="11"/>
      <c r="E1741" s="11"/>
      <c r="F1741" s="11"/>
      <c r="G1741" s="11"/>
      <c r="H1741" s="11"/>
    </row>
    <row r="1742" spans="2:8">
      <c r="B1742" s="11"/>
      <c r="C1742" s="11"/>
      <c r="D1742" s="11"/>
      <c r="E1742" s="11"/>
      <c r="F1742" s="11"/>
      <c r="G1742" s="11"/>
      <c r="H1742" s="11"/>
    </row>
    <row r="1743" spans="2:8">
      <c r="B1743" s="11"/>
      <c r="C1743" s="11"/>
      <c r="D1743" s="11"/>
      <c r="E1743" s="11"/>
      <c r="F1743" s="11"/>
      <c r="G1743" s="11"/>
      <c r="H1743" s="11"/>
    </row>
    <row r="1744" spans="2:8">
      <c r="B1744" s="11"/>
      <c r="C1744" s="11"/>
      <c r="D1744" s="11"/>
      <c r="E1744" s="11"/>
      <c r="F1744" s="11"/>
      <c r="G1744" s="11"/>
      <c r="H1744" s="11"/>
    </row>
    <row r="1745" spans="2:8">
      <c r="B1745" s="11"/>
      <c r="C1745" s="11"/>
      <c r="D1745" s="11"/>
      <c r="E1745" s="11"/>
      <c r="F1745" s="11"/>
      <c r="G1745" s="11"/>
      <c r="H1745" s="11"/>
    </row>
    <row r="1746" spans="2:8">
      <c r="B1746" s="11"/>
      <c r="C1746" s="11"/>
      <c r="D1746" s="11"/>
      <c r="E1746" s="11"/>
      <c r="F1746" s="11"/>
      <c r="G1746" s="11"/>
      <c r="H1746" s="11"/>
    </row>
    <row r="1747" spans="2:8">
      <c r="B1747" s="11"/>
      <c r="C1747" s="11"/>
      <c r="D1747" s="11"/>
      <c r="E1747" s="11"/>
      <c r="F1747" s="11"/>
      <c r="G1747" s="11"/>
      <c r="H1747" s="11"/>
    </row>
    <row r="1748" spans="2:8">
      <c r="B1748" s="11"/>
      <c r="C1748" s="11"/>
      <c r="D1748" s="11"/>
      <c r="E1748" s="11"/>
      <c r="F1748" s="11"/>
      <c r="G1748" s="11"/>
      <c r="H1748" s="11"/>
    </row>
    <row r="1749" spans="2:8">
      <c r="B1749" s="11"/>
      <c r="C1749" s="11"/>
      <c r="D1749" s="11"/>
      <c r="E1749" s="11"/>
      <c r="F1749" s="11"/>
      <c r="G1749" s="11"/>
      <c r="H1749" s="11"/>
    </row>
    <row r="1750" spans="2:8">
      <c r="B1750" s="11"/>
      <c r="C1750" s="11"/>
      <c r="D1750" s="11"/>
      <c r="E1750" s="11"/>
      <c r="F1750" s="11"/>
      <c r="G1750" s="11"/>
      <c r="H1750" s="11"/>
    </row>
    <row r="1751" spans="2:8">
      <c r="B1751" s="11"/>
      <c r="C1751" s="11"/>
      <c r="D1751" s="11"/>
      <c r="E1751" s="11"/>
      <c r="F1751" s="11"/>
      <c r="G1751" s="11"/>
      <c r="H1751" s="11"/>
    </row>
    <row r="1752" spans="2:8">
      <c r="B1752" s="11"/>
      <c r="C1752" s="11"/>
      <c r="D1752" s="11"/>
      <c r="E1752" s="11"/>
      <c r="F1752" s="11"/>
      <c r="G1752" s="11"/>
      <c r="H1752" s="11"/>
    </row>
    <row r="1753" spans="2:8">
      <c r="B1753" s="11"/>
      <c r="C1753" s="11"/>
      <c r="D1753" s="11"/>
      <c r="E1753" s="11"/>
      <c r="F1753" s="11"/>
      <c r="G1753" s="11"/>
      <c r="H1753" s="11"/>
    </row>
    <row r="1754" spans="2:8">
      <c r="B1754" s="11"/>
      <c r="C1754" s="11"/>
      <c r="D1754" s="11"/>
      <c r="E1754" s="11"/>
      <c r="F1754" s="11"/>
      <c r="G1754" s="11"/>
      <c r="H1754" s="11"/>
    </row>
    <row r="1755" spans="2:8">
      <c r="B1755" s="11"/>
      <c r="C1755" s="11"/>
      <c r="D1755" s="11"/>
      <c r="E1755" s="11"/>
      <c r="F1755" s="11"/>
      <c r="G1755" s="11"/>
      <c r="H1755" s="11"/>
    </row>
    <row r="1756" spans="2:8">
      <c r="B1756" s="11"/>
      <c r="C1756" s="11"/>
      <c r="D1756" s="11"/>
      <c r="E1756" s="11"/>
      <c r="F1756" s="11"/>
      <c r="G1756" s="11"/>
      <c r="H1756" s="11"/>
    </row>
    <row r="1757" spans="2:8">
      <c r="B1757" s="11"/>
      <c r="C1757" s="11"/>
      <c r="D1757" s="11"/>
      <c r="E1757" s="11"/>
      <c r="F1757" s="11"/>
      <c r="G1757" s="11"/>
      <c r="H1757" s="11"/>
    </row>
    <row r="1758" spans="2:8">
      <c r="B1758" s="11"/>
      <c r="C1758" s="11"/>
      <c r="D1758" s="11"/>
      <c r="E1758" s="11"/>
      <c r="F1758" s="11"/>
      <c r="G1758" s="11"/>
      <c r="H1758" s="11"/>
    </row>
    <row r="1759" spans="2:8">
      <c r="B1759" s="11"/>
      <c r="C1759" s="11"/>
      <c r="D1759" s="11"/>
      <c r="E1759" s="11"/>
      <c r="F1759" s="11"/>
      <c r="G1759" s="11"/>
      <c r="H1759" s="11"/>
    </row>
    <row r="1760" spans="2:8">
      <c r="B1760" s="11"/>
      <c r="C1760" s="11"/>
      <c r="D1760" s="11"/>
      <c r="E1760" s="11"/>
      <c r="F1760" s="11"/>
      <c r="G1760" s="11"/>
      <c r="H1760" s="11"/>
    </row>
    <row r="1761" spans="2:8">
      <c r="B1761" s="11"/>
      <c r="C1761" s="11"/>
      <c r="D1761" s="11"/>
      <c r="E1761" s="11"/>
      <c r="F1761" s="11"/>
      <c r="G1761" s="11"/>
      <c r="H1761" s="11"/>
    </row>
    <row r="1762" spans="2:8">
      <c r="B1762" s="11"/>
      <c r="C1762" s="11"/>
      <c r="D1762" s="11"/>
      <c r="E1762" s="11"/>
      <c r="F1762" s="11"/>
      <c r="G1762" s="11"/>
      <c r="H1762" s="11"/>
    </row>
    <row r="1763" spans="2:8">
      <c r="B1763" s="11"/>
      <c r="C1763" s="11"/>
      <c r="D1763" s="11"/>
      <c r="E1763" s="11"/>
      <c r="F1763" s="11"/>
      <c r="G1763" s="11"/>
      <c r="H1763" s="11"/>
    </row>
    <row r="1764" spans="2:8">
      <c r="B1764" s="11"/>
      <c r="C1764" s="11"/>
      <c r="D1764" s="11"/>
      <c r="E1764" s="11"/>
      <c r="F1764" s="11"/>
      <c r="G1764" s="11"/>
      <c r="H1764" s="11"/>
    </row>
    <row r="1765" spans="2:8">
      <c r="B1765" s="11"/>
      <c r="C1765" s="11"/>
      <c r="D1765" s="11"/>
      <c r="E1765" s="11"/>
      <c r="F1765" s="11"/>
      <c r="G1765" s="11"/>
      <c r="H1765" s="11"/>
    </row>
    <row r="1766" spans="2:8">
      <c r="B1766" s="11"/>
      <c r="C1766" s="11"/>
      <c r="D1766" s="11"/>
      <c r="E1766" s="11"/>
      <c r="F1766" s="11"/>
      <c r="G1766" s="11"/>
      <c r="H1766" s="11"/>
    </row>
    <row r="1767" spans="2:8">
      <c r="B1767" s="11"/>
      <c r="C1767" s="11"/>
      <c r="D1767" s="11"/>
      <c r="E1767" s="11"/>
      <c r="F1767" s="11"/>
      <c r="G1767" s="11"/>
      <c r="H1767" s="11"/>
    </row>
    <row r="1768" spans="2:8">
      <c r="B1768" s="11"/>
      <c r="C1768" s="11"/>
      <c r="D1768" s="11"/>
      <c r="E1768" s="11"/>
      <c r="F1768" s="11"/>
      <c r="G1768" s="11"/>
      <c r="H1768" s="11"/>
    </row>
    <row r="1769" spans="2:8">
      <c r="B1769" s="11"/>
      <c r="C1769" s="11"/>
      <c r="D1769" s="11"/>
      <c r="E1769" s="11"/>
      <c r="F1769" s="11"/>
      <c r="G1769" s="11"/>
      <c r="H1769" s="11"/>
    </row>
    <row r="1770" spans="2:8">
      <c r="B1770" s="11"/>
      <c r="C1770" s="11"/>
      <c r="D1770" s="11"/>
      <c r="E1770" s="11"/>
      <c r="F1770" s="11"/>
      <c r="G1770" s="11"/>
      <c r="H1770" s="11"/>
    </row>
    <row r="1771" spans="2:8">
      <c r="B1771" s="11"/>
      <c r="C1771" s="11"/>
      <c r="D1771" s="11"/>
      <c r="E1771" s="11"/>
      <c r="F1771" s="11"/>
      <c r="G1771" s="11"/>
      <c r="H1771" s="11"/>
    </row>
    <row r="1772" spans="2:8">
      <c r="B1772" s="11"/>
      <c r="C1772" s="11"/>
      <c r="D1772" s="11"/>
      <c r="E1772" s="11"/>
      <c r="F1772" s="11"/>
      <c r="G1772" s="11"/>
      <c r="H1772" s="11"/>
    </row>
    <row r="1773" spans="2:8">
      <c r="B1773" s="11"/>
      <c r="C1773" s="11"/>
      <c r="D1773" s="11"/>
      <c r="E1773" s="11"/>
      <c r="F1773" s="11"/>
      <c r="G1773" s="11"/>
      <c r="H1773" s="11"/>
    </row>
    <row r="1774" spans="2:8">
      <c r="B1774" s="11"/>
      <c r="C1774" s="11"/>
      <c r="D1774" s="11"/>
      <c r="E1774" s="11"/>
      <c r="F1774" s="11"/>
      <c r="G1774" s="11"/>
      <c r="H1774" s="11"/>
    </row>
    <row r="1775" spans="2:8">
      <c r="B1775" s="11"/>
      <c r="C1775" s="11"/>
      <c r="D1775" s="11"/>
      <c r="E1775" s="11"/>
      <c r="F1775" s="11"/>
      <c r="G1775" s="11"/>
      <c r="H1775" s="11"/>
    </row>
    <row r="1776" spans="2:8">
      <c r="B1776" s="11"/>
      <c r="C1776" s="11"/>
      <c r="D1776" s="11"/>
      <c r="E1776" s="11"/>
      <c r="F1776" s="11"/>
      <c r="G1776" s="11"/>
      <c r="H1776" s="11"/>
    </row>
    <row r="1777" spans="2:8">
      <c r="B1777" s="11"/>
      <c r="C1777" s="11"/>
      <c r="D1777" s="11"/>
      <c r="E1777" s="11"/>
      <c r="F1777" s="11"/>
      <c r="G1777" s="11"/>
      <c r="H1777" s="11"/>
    </row>
    <row r="1778" spans="2:8">
      <c r="B1778" s="11"/>
      <c r="C1778" s="11"/>
      <c r="D1778" s="11"/>
      <c r="E1778" s="11"/>
      <c r="F1778" s="11"/>
      <c r="G1778" s="11"/>
      <c r="H1778" s="11"/>
    </row>
    <row r="1779" spans="2:8">
      <c r="B1779" s="11"/>
      <c r="C1779" s="11"/>
      <c r="D1779" s="11"/>
      <c r="E1779" s="11"/>
      <c r="F1779" s="11"/>
      <c r="G1779" s="11"/>
      <c r="H1779" s="11"/>
    </row>
    <row r="1780" spans="2:8">
      <c r="B1780" s="11"/>
      <c r="C1780" s="11"/>
      <c r="D1780" s="11"/>
      <c r="E1780" s="11"/>
      <c r="F1780" s="11"/>
      <c r="G1780" s="11"/>
      <c r="H1780" s="11"/>
    </row>
    <row r="1781" spans="2:8">
      <c r="B1781" s="11"/>
      <c r="C1781" s="11"/>
      <c r="D1781" s="11"/>
      <c r="E1781" s="11"/>
      <c r="F1781" s="11"/>
      <c r="G1781" s="11"/>
      <c r="H1781" s="11"/>
    </row>
    <row r="1782" spans="2:8">
      <c r="B1782" s="11"/>
      <c r="C1782" s="11"/>
      <c r="D1782" s="11"/>
      <c r="E1782" s="11"/>
      <c r="F1782" s="11"/>
      <c r="G1782" s="11"/>
      <c r="H1782" s="11"/>
    </row>
    <row r="1783" spans="2:8">
      <c r="B1783" s="11"/>
      <c r="C1783" s="11"/>
      <c r="D1783" s="11"/>
      <c r="E1783" s="11"/>
      <c r="F1783" s="11"/>
      <c r="G1783" s="11"/>
      <c r="H1783" s="11"/>
    </row>
    <row r="1784" spans="2:8">
      <c r="B1784" s="11"/>
      <c r="C1784" s="11"/>
      <c r="D1784" s="11"/>
      <c r="E1784" s="11"/>
      <c r="F1784" s="11"/>
      <c r="G1784" s="11"/>
      <c r="H1784" s="11"/>
    </row>
    <row r="1785" spans="2:8">
      <c r="B1785" s="11"/>
      <c r="C1785" s="11"/>
      <c r="D1785" s="11"/>
      <c r="E1785" s="11"/>
      <c r="F1785" s="11"/>
      <c r="G1785" s="11"/>
      <c r="H1785" s="11"/>
    </row>
    <row r="1786" spans="2:8">
      <c r="B1786" s="11"/>
      <c r="C1786" s="11"/>
      <c r="D1786" s="11"/>
      <c r="E1786" s="11"/>
      <c r="F1786" s="11"/>
      <c r="G1786" s="11"/>
      <c r="H1786" s="11"/>
    </row>
    <row r="1787" spans="2:8">
      <c r="B1787" s="11"/>
      <c r="C1787" s="11"/>
      <c r="D1787" s="11"/>
      <c r="E1787" s="11"/>
      <c r="F1787" s="11"/>
      <c r="G1787" s="11"/>
      <c r="H1787" s="11"/>
    </row>
    <row r="1788" spans="2:8">
      <c r="B1788" s="11"/>
      <c r="C1788" s="11"/>
      <c r="D1788" s="11"/>
      <c r="E1788" s="11"/>
      <c r="F1788" s="11"/>
      <c r="G1788" s="11"/>
      <c r="H1788" s="11"/>
    </row>
    <row r="1789" spans="2:8">
      <c r="B1789" s="11"/>
      <c r="C1789" s="11"/>
      <c r="D1789" s="11"/>
      <c r="E1789" s="11"/>
      <c r="F1789" s="11"/>
      <c r="G1789" s="11"/>
      <c r="H1789" s="11"/>
    </row>
    <row r="1790" spans="2:8">
      <c r="B1790" s="11"/>
      <c r="C1790" s="11"/>
      <c r="D1790" s="11"/>
      <c r="E1790" s="11"/>
      <c r="F1790" s="11"/>
      <c r="G1790" s="11"/>
      <c r="H1790" s="11"/>
    </row>
    <row r="1791" spans="2:8">
      <c r="B1791" s="11"/>
      <c r="C1791" s="11"/>
      <c r="D1791" s="11"/>
      <c r="E1791" s="11"/>
      <c r="F1791" s="11"/>
      <c r="G1791" s="11"/>
      <c r="H1791" s="11"/>
    </row>
    <row r="1792" spans="2:8">
      <c r="B1792" s="11"/>
      <c r="C1792" s="11"/>
      <c r="D1792" s="11"/>
      <c r="E1792" s="11"/>
      <c r="F1792" s="11"/>
      <c r="G1792" s="11"/>
      <c r="H1792" s="11"/>
    </row>
    <row r="1793" spans="2:8">
      <c r="B1793" s="11"/>
      <c r="C1793" s="11"/>
      <c r="D1793" s="11"/>
      <c r="E1793" s="11"/>
      <c r="F1793" s="11"/>
      <c r="G1793" s="11"/>
      <c r="H1793" s="11"/>
    </row>
    <row r="1794" spans="2:8">
      <c r="B1794" s="11"/>
      <c r="C1794" s="11"/>
      <c r="D1794" s="11"/>
      <c r="E1794" s="11"/>
      <c r="F1794" s="11"/>
      <c r="G1794" s="11"/>
      <c r="H1794" s="11"/>
    </row>
    <row r="1795" spans="2:8">
      <c r="B1795" s="11"/>
      <c r="C1795" s="11"/>
      <c r="D1795" s="11"/>
      <c r="E1795" s="11"/>
      <c r="F1795" s="11"/>
      <c r="G1795" s="11"/>
      <c r="H1795" s="11"/>
    </row>
    <row r="1796" spans="2:8">
      <c r="B1796" s="11"/>
      <c r="C1796" s="11"/>
      <c r="D1796" s="11"/>
      <c r="E1796" s="11"/>
      <c r="F1796" s="11"/>
      <c r="G1796" s="11"/>
      <c r="H1796" s="11"/>
    </row>
    <row r="1797" spans="2:8">
      <c r="B1797" s="11"/>
      <c r="C1797" s="11"/>
      <c r="D1797" s="11"/>
      <c r="E1797" s="11"/>
      <c r="F1797" s="11"/>
      <c r="G1797" s="11"/>
      <c r="H1797" s="11"/>
    </row>
    <row r="1798" spans="2:8">
      <c r="B1798" s="11"/>
      <c r="C1798" s="11"/>
      <c r="D1798" s="11"/>
      <c r="E1798" s="11"/>
      <c r="F1798" s="11"/>
      <c r="G1798" s="11"/>
      <c r="H1798" s="11"/>
    </row>
    <row r="1799" spans="2:8">
      <c r="B1799" s="11"/>
      <c r="C1799" s="11"/>
      <c r="D1799" s="11"/>
      <c r="E1799" s="11"/>
      <c r="F1799" s="11"/>
      <c r="G1799" s="11"/>
      <c r="H1799" s="11"/>
    </row>
    <row r="1800" spans="2:8">
      <c r="B1800" s="11"/>
      <c r="C1800" s="11"/>
      <c r="D1800" s="11"/>
      <c r="E1800" s="11"/>
      <c r="F1800" s="11"/>
      <c r="G1800" s="11"/>
      <c r="H1800" s="11"/>
    </row>
    <row r="1801" spans="2:8">
      <c r="B1801" s="11"/>
      <c r="C1801" s="11"/>
      <c r="D1801" s="11"/>
      <c r="E1801" s="11"/>
      <c r="F1801" s="11"/>
      <c r="G1801" s="11"/>
      <c r="H1801" s="11"/>
    </row>
    <row r="1802" spans="2:8">
      <c r="B1802" s="11"/>
      <c r="C1802" s="11"/>
      <c r="D1802" s="11"/>
      <c r="E1802" s="11"/>
      <c r="F1802" s="11"/>
      <c r="G1802" s="11"/>
      <c r="H1802" s="11"/>
    </row>
    <row r="1803" spans="2:8">
      <c r="B1803" s="11"/>
      <c r="C1803" s="11"/>
      <c r="D1803" s="11"/>
      <c r="E1803" s="11"/>
      <c r="F1803" s="11"/>
      <c r="G1803" s="11"/>
      <c r="H1803" s="11"/>
    </row>
    <row r="1804" spans="2:8">
      <c r="B1804" s="11"/>
      <c r="C1804" s="11"/>
      <c r="D1804" s="11"/>
      <c r="E1804" s="11"/>
      <c r="F1804" s="11"/>
      <c r="G1804" s="11"/>
      <c r="H1804" s="11"/>
    </row>
    <row r="1805" spans="2:8">
      <c r="B1805" s="11"/>
      <c r="C1805" s="11"/>
      <c r="D1805" s="11"/>
      <c r="E1805" s="11"/>
      <c r="F1805" s="11"/>
      <c r="G1805" s="11"/>
      <c r="H1805" s="11"/>
    </row>
    <row r="1806" spans="2:8">
      <c r="B1806" s="11"/>
      <c r="C1806" s="11"/>
      <c r="D1806" s="11"/>
      <c r="E1806" s="11"/>
      <c r="F1806" s="11"/>
      <c r="G1806" s="11"/>
      <c r="H1806" s="11"/>
    </row>
    <row r="1807" spans="2:8">
      <c r="B1807" s="11"/>
      <c r="C1807" s="11"/>
      <c r="D1807" s="11"/>
      <c r="E1807" s="11"/>
      <c r="F1807" s="11"/>
      <c r="G1807" s="11"/>
      <c r="H1807" s="11"/>
    </row>
    <row r="1808" spans="2:8">
      <c r="B1808" s="11"/>
      <c r="C1808" s="11"/>
      <c r="D1808" s="11"/>
      <c r="E1808" s="11"/>
      <c r="F1808" s="11"/>
      <c r="G1808" s="11"/>
      <c r="H1808" s="11"/>
    </row>
    <row r="1809" spans="2:8">
      <c r="B1809" s="11"/>
      <c r="C1809" s="11"/>
      <c r="D1809" s="11"/>
      <c r="E1809" s="11"/>
      <c r="F1809" s="11"/>
      <c r="G1809" s="11"/>
      <c r="H1809" s="11"/>
    </row>
    <row r="1810" spans="2:8">
      <c r="B1810" s="11"/>
      <c r="C1810" s="11"/>
      <c r="D1810" s="11"/>
      <c r="E1810" s="11"/>
      <c r="F1810" s="11"/>
      <c r="G1810" s="11"/>
      <c r="H1810" s="11"/>
    </row>
    <row r="1811" spans="2:8">
      <c r="B1811" s="11"/>
      <c r="C1811" s="11"/>
      <c r="D1811" s="11"/>
      <c r="E1811" s="11"/>
      <c r="F1811" s="11"/>
      <c r="G1811" s="11"/>
      <c r="H1811" s="11"/>
    </row>
    <row r="1812" spans="2:8">
      <c r="B1812" s="11"/>
      <c r="C1812" s="11"/>
      <c r="D1812" s="11"/>
      <c r="E1812" s="11"/>
      <c r="F1812" s="11"/>
      <c r="G1812" s="11"/>
      <c r="H1812" s="11"/>
    </row>
    <row r="1813" spans="2:8">
      <c r="B1813" s="11"/>
      <c r="C1813" s="11"/>
      <c r="D1813" s="11"/>
      <c r="E1813" s="11"/>
      <c r="F1813" s="11"/>
      <c r="G1813" s="11"/>
      <c r="H1813" s="11"/>
    </row>
    <row r="1814" spans="2:8">
      <c r="B1814" s="11"/>
      <c r="C1814" s="11"/>
      <c r="D1814" s="11"/>
      <c r="E1814" s="11"/>
      <c r="F1814" s="11"/>
      <c r="G1814" s="11"/>
      <c r="H1814" s="11"/>
    </row>
    <row r="1815" spans="2:8">
      <c r="B1815" s="11"/>
      <c r="C1815" s="11"/>
      <c r="D1815" s="11"/>
      <c r="E1815" s="11"/>
      <c r="F1815" s="11"/>
      <c r="G1815" s="11"/>
      <c r="H1815" s="11"/>
    </row>
    <row r="1816" spans="2:8">
      <c r="B1816" s="11"/>
      <c r="C1816" s="11"/>
      <c r="D1816" s="11"/>
      <c r="E1816" s="11"/>
      <c r="F1816" s="11"/>
      <c r="G1816" s="11"/>
      <c r="H1816" s="11"/>
    </row>
    <row r="1817" spans="2:8">
      <c r="B1817" s="11"/>
      <c r="C1817" s="11"/>
      <c r="D1817" s="11"/>
      <c r="E1817" s="11"/>
      <c r="F1817" s="11"/>
      <c r="G1817" s="11"/>
      <c r="H1817" s="11"/>
    </row>
    <row r="1818" spans="2:8">
      <c r="B1818" s="11"/>
      <c r="C1818" s="11"/>
      <c r="D1818" s="11"/>
      <c r="E1818" s="11"/>
      <c r="F1818" s="11"/>
      <c r="G1818" s="11"/>
      <c r="H1818" s="11"/>
    </row>
    <row r="1819" spans="2:8">
      <c r="B1819" s="11"/>
      <c r="C1819" s="11"/>
      <c r="D1819" s="11"/>
      <c r="E1819" s="11"/>
      <c r="F1819" s="11"/>
      <c r="G1819" s="11"/>
      <c r="H1819" s="11"/>
    </row>
    <row r="1820" spans="2:8">
      <c r="B1820" s="11"/>
      <c r="C1820" s="11"/>
      <c r="D1820" s="11"/>
      <c r="E1820" s="11"/>
      <c r="F1820" s="11"/>
      <c r="G1820" s="11"/>
      <c r="H1820" s="11"/>
    </row>
    <row r="1821" spans="2:8">
      <c r="B1821" s="11"/>
      <c r="C1821" s="11"/>
      <c r="D1821" s="11"/>
      <c r="E1821" s="11"/>
      <c r="F1821" s="11"/>
      <c r="G1821" s="11"/>
      <c r="H1821" s="11"/>
    </row>
    <row r="1822" spans="2:8">
      <c r="B1822" s="11"/>
      <c r="C1822" s="11"/>
      <c r="D1822" s="11"/>
      <c r="E1822" s="11"/>
      <c r="F1822" s="11"/>
      <c r="G1822" s="11"/>
      <c r="H1822" s="11"/>
    </row>
    <row r="1823" spans="2:8">
      <c r="B1823" s="11"/>
      <c r="C1823" s="11"/>
      <c r="D1823" s="11"/>
      <c r="E1823" s="11"/>
      <c r="F1823" s="11"/>
      <c r="G1823" s="11"/>
      <c r="H1823" s="11"/>
    </row>
    <row r="1824" spans="2:8">
      <c r="B1824" s="11"/>
      <c r="C1824" s="11"/>
      <c r="D1824" s="11"/>
      <c r="E1824" s="11"/>
      <c r="F1824" s="11"/>
      <c r="G1824" s="11"/>
      <c r="H1824" s="11"/>
    </row>
    <row r="1825" spans="2:8">
      <c r="B1825" s="11"/>
      <c r="C1825" s="11"/>
      <c r="D1825" s="11"/>
      <c r="E1825" s="11"/>
      <c r="F1825" s="11"/>
      <c r="G1825" s="11"/>
      <c r="H1825" s="11"/>
    </row>
    <row r="1826" spans="2:8">
      <c r="B1826" s="11"/>
      <c r="C1826" s="11"/>
      <c r="D1826" s="11"/>
      <c r="E1826" s="11"/>
      <c r="F1826" s="11"/>
      <c r="G1826" s="11"/>
      <c r="H1826" s="11"/>
    </row>
    <row r="1827" spans="2:8">
      <c r="B1827" s="11"/>
      <c r="C1827" s="11"/>
      <c r="D1827" s="11"/>
      <c r="E1827" s="11"/>
      <c r="F1827" s="11"/>
      <c r="G1827" s="11"/>
      <c r="H1827" s="11"/>
    </row>
    <row r="1828" spans="2:8">
      <c r="B1828" s="11"/>
      <c r="C1828" s="11"/>
      <c r="D1828" s="11"/>
      <c r="E1828" s="11"/>
      <c r="F1828" s="11"/>
      <c r="G1828" s="11"/>
      <c r="H1828" s="11"/>
    </row>
    <row r="1829" spans="2:8">
      <c r="B1829" s="11"/>
      <c r="C1829" s="11"/>
      <c r="D1829" s="11"/>
      <c r="E1829" s="11"/>
      <c r="F1829" s="11"/>
      <c r="G1829" s="11"/>
      <c r="H1829" s="11"/>
    </row>
    <row r="1830" spans="2:8">
      <c r="B1830" s="11"/>
      <c r="C1830" s="11"/>
      <c r="D1830" s="11"/>
      <c r="E1830" s="11"/>
      <c r="F1830" s="11"/>
      <c r="G1830" s="11"/>
      <c r="H1830" s="11"/>
    </row>
    <row r="1831" spans="2:8">
      <c r="B1831" s="11"/>
      <c r="C1831" s="11"/>
      <c r="D1831" s="11"/>
      <c r="E1831" s="11"/>
      <c r="F1831" s="11"/>
      <c r="G1831" s="11"/>
      <c r="H1831" s="11"/>
    </row>
    <row r="1832" spans="2:8">
      <c r="B1832" s="11"/>
      <c r="C1832" s="11"/>
      <c r="D1832" s="11"/>
      <c r="E1832" s="11"/>
      <c r="F1832" s="11"/>
      <c r="G1832" s="11"/>
      <c r="H1832" s="11"/>
    </row>
    <row r="1833" spans="2:8">
      <c r="B1833" s="11"/>
      <c r="C1833" s="11"/>
      <c r="D1833" s="11"/>
      <c r="E1833" s="11"/>
      <c r="F1833" s="11"/>
      <c r="G1833" s="11"/>
      <c r="H1833" s="11"/>
    </row>
    <row r="1834" spans="2:8">
      <c r="B1834" s="11"/>
      <c r="C1834" s="11"/>
      <c r="D1834" s="11"/>
      <c r="E1834" s="11"/>
      <c r="F1834" s="11"/>
      <c r="G1834" s="11"/>
      <c r="H1834" s="11"/>
    </row>
    <row r="1835" spans="2:8">
      <c r="B1835" s="11"/>
      <c r="C1835" s="11"/>
      <c r="D1835" s="11"/>
      <c r="E1835" s="11"/>
      <c r="F1835" s="11"/>
      <c r="G1835" s="11"/>
      <c r="H1835" s="11"/>
    </row>
    <row r="1836" spans="2:8">
      <c r="B1836" s="11"/>
      <c r="C1836" s="11"/>
      <c r="D1836" s="11"/>
      <c r="E1836" s="11"/>
      <c r="F1836" s="11"/>
      <c r="G1836" s="11"/>
      <c r="H1836" s="11"/>
    </row>
    <row r="1837" spans="2:8">
      <c r="B1837" s="11"/>
      <c r="C1837" s="11"/>
      <c r="D1837" s="11"/>
      <c r="E1837" s="11"/>
      <c r="F1837" s="11"/>
      <c r="G1837" s="11"/>
      <c r="H1837" s="11"/>
    </row>
    <row r="1838" spans="2:8">
      <c r="B1838" s="11"/>
      <c r="C1838" s="11"/>
      <c r="D1838" s="11"/>
      <c r="E1838" s="11"/>
      <c r="F1838" s="11"/>
      <c r="G1838" s="11"/>
      <c r="H1838" s="11"/>
    </row>
    <row r="1839" spans="2:8">
      <c r="B1839" s="11"/>
      <c r="C1839" s="11"/>
      <c r="D1839" s="11"/>
      <c r="E1839" s="11"/>
      <c r="F1839" s="11"/>
      <c r="G1839" s="11"/>
      <c r="H1839" s="11"/>
    </row>
    <row r="1840" spans="2:8">
      <c r="B1840" s="11"/>
      <c r="C1840" s="11"/>
      <c r="D1840" s="11"/>
      <c r="E1840" s="11"/>
      <c r="F1840" s="11"/>
      <c r="G1840" s="11"/>
      <c r="H1840" s="11"/>
    </row>
    <row r="1841" spans="2:8">
      <c r="B1841" s="11"/>
      <c r="C1841" s="11"/>
      <c r="D1841" s="11"/>
      <c r="E1841" s="11"/>
      <c r="F1841" s="11"/>
      <c r="G1841" s="11"/>
      <c r="H1841" s="11"/>
    </row>
    <row r="1842" spans="2:8">
      <c r="B1842" s="11"/>
      <c r="C1842" s="11"/>
      <c r="D1842" s="11"/>
      <c r="E1842" s="11"/>
      <c r="F1842" s="11"/>
      <c r="G1842" s="11"/>
      <c r="H1842" s="11"/>
    </row>
    <row r="1843" spans="2:8">
      <c r="B1843" s="11"/>
      <c r="C1843" s="11"/>
      <c r="D1843" s="11"/>
      <c r="E1843" s="11"/>
      <c r="F1843" s="11"/>
      <c r="G1843" s="11"/>
      <c r="H1843" s="11"/>
    </row>
    <row r="1844" spans="2:8">
      <c r="B1844" s="11"/>
      <c r="C1844" s="11"/>
      <c r="D1844" s="11"/>
      <c r="E1844" s="11"/>
      <c r="F1844" s="11"/>
      <c r="G1844" s="11"/>
      <c r="H1844" s="11"/>
    </row>
    <row r="1845" spans="2:8">
      <c r="B1845" s="11"/>
      <c r="C1845" s="11"/>
      <c r="D1845" s="11"/>
      <c r="E1845" s="11"/>
      <c r="F1845" s="11"/>
      <c r="G1845" s="11"/>
      <c r="H1845" s="11"/>
    </row>
    <row r="1846" spans="2:8">
      <c r="B1846" s="11"/>
      <c r="C1846" s="11"/>
      <c r="D1846" s="11"/>
      <c r="E1846" s="11"/>
      <c r="F1846" s="11"/>
      <c r="G1846" s="11"/>
      <c r="H1846" s="11"/>
    </row>
    <row r="1847" spans="2:8">
      <c r="B1847" s="11"/>
      <c r="C1847" s="11"/>
      <c r="D1847" s="11"/>
      <c r="E1847" s="11"/>
      <c r="F1847" s="11"/>
      <c r="G1847" s="11"/>
      <c r="H1847" s="11"/>
    </row>
    <row r="1848" spans="2:8">
      <c r="B1848" s="11"/>
      <c r="C1848" s="11"/>
      <c r="D1848" s="11"/>
      <c r="E1848" s="11"/>
      <c r="F1848" s="11"/>
      <c r="G1848" s="11"/>
      <c r="H1848" s="11"/>
    </row>
    <row r="1849" spans="2:8">
      <c r="B1849" s="11"/>
      <c r="C1849" s="11"/>
      <c r="D1849" s="11"/>
      <c r="E1849" s="11"/>
      <c r="F1849" s="11"/>
      <c r="G1849" s="11"/>
      <c r="H1849" s="11"/>
    </row>
    <row r="1850" spans="2:8">
      <c r="B1850" s="11"/>
      <c r="C1850" s="11"/>
      <c r="D1850" s="11"/>
      <c r="E1850" s="11"/>
      <c r="F1850" s="11"/>
      <c r="G1850" s="11"/>
      <c r="H1850" s="11"/>
    </row>
    <row r="1851" spans="2:8">
      <c r="B1851" s="11"/>
      <c r="C1851" s="11"/>
      <c r="D1851" s="11"/>
      <c r="E1851" s="11"/>
      <c r="F1851" s="11"/>
      <c r="G1851" s="11"/>
      <c r="H1851" s="11"/>
    </row>
    <row r="1852" spans="2:8">
      <c r="B1852" s="11"/>
      <c r="C1852" s="11"/>
      <c r="D1852" s="11"/>
      <c r="E1852" s="11"/>
      <c r="F1852" s="11"/>
      <c r="G1852" s="11"/>
      <c r="H1852" s="11"/>
    </row>
    <row r="1853" spans="2:8">
      <c r="B1853" s="11"/>
      <c r="C1853" s="11"/>
      <c r="D1853" s="11"/>
      <c r="E1853" s="11"/>
      <c r="F1853" s="11"/>
      <c r="G1853" s="11"/>
      <c r="H1853" s="11"/>
    </row>
    <row r="1854" spans="2:8">
      <c r="B1854" s="11"/>
      <c r="C1854" s="11"/>
      <c r="D1854" s="11"/>
      <c r="E1854" s="11"/>
      <c r="F1854" s="11"/>
      <c r="G1854" s="11"/>
      <c r="H1854" s="11"/>
    </row>
    <row r="1855" spans="2:8">
      <c r="B1855" s="11"/>
      <c r="C1855" s="11"/>
      <c r="D1855" s="11"/>
      <c r="E1855" s="11"/>
      <c r="F1855" s="11"/>
      <c r="G1855" s="11"/>
      <c r="H1855" s="11"/>
    </row>
    <row r="1856" spans="2:8">
      <c r="B1856" s="11"/>
      <c r="C1856" s="11"/>
      <c r="D1856" s="11"/>
      <c r="E1856" s="11"/>
      <c r="F1856" s="11"/>
      <c r="G1856" s="11"/>
      <c r="H1856" s="11"/>
    </row>
    <row r="1857" spans="2:8">
      <c r="B1857" s="11"/>
      <c r="C1857" s="11"/>
      <c r="D1857" s="11"/>
      <c r="E1857" s="11"/>
      <c r="F1857" s="11"/>
      <c r="G1857" s="11"/>
      <c r="H1857" s="11"/>
    </row>
    <row r="1858" spans="2:8">
      <c r="B1858" s="11"/>
      <c r="C1858" s="11"/>
      <c r="D1858" s="11"/>
      <c r="E1858" s="11"/>
      <c r="F1858" s="11"/>
      <c r="G1858" s="11"/>
      <c r="H1858" s="11"/>
    </row>
    <row r="1859" spans="2:8">
      <c r="B1859" s="11"/>
      <c r="C1859" s="11"/>
      <c r="D1859" s="11"/>
      <c r="E1859" s="11"/>
      <c r="F1859" s="11"/>
      <c r="G1859" s="11"/>
      <c r="H1859" s="11"/>
    </row>
    <row r="1860" spans="2:8">
      <c r="B1860" s="11"/>
      <c r="C1860" s="11"/>
      <c r="D1860" s="11"/>
      <c r="E1860" s="11"/>
      <c r="F1860" s="11"/>
      <c r="G1860" s="11"/>
      <c r="H1860" s="11"/>
    </row>
    <row r="1861" spans="2:8">
      <c r="B1861" s="11"/>
      <c r="C1861" s="11"/>
      <c r="D1861" s="11"/>
      <c r="E1861" s="11"/>
      <c r="F1861" s="11"/>
      <c r="G1861" s="11"/>
      <c r="H1861" s="11"/>
    </row>
    <row r="1862" spans="2:8">
      <c r="B1862" s="11"/>
      <c r="C1862" s="11"/>
      <c r="D1862" s="11"/>
      <c r="E1862" s="11"/>
      <c r="F1862" s="11"/>
      <c r="G1862" s="11"/>
      <c r="H1862" s="11"/>
    </row>
    <row r="1863" spans="2:8">
      <c r="B1863" s="11"/>
      <c r="C1863" s="11"/>
      <c r="D1863" s="11"/>
      <c r="E1863" s="11"/>
      <c r="F1863" s="11"/>
      <c r="G1863" s="11"/>
      <c r="H1863" s="11"/>
    </row>
    <row r="1864" spans="2:8">
      <c r="B1864" s="11"/>
      <c r="C1864" s="11"/>
      <c r="D1864" s="11"/>
      <c r="E1864" s="11"/>
      <c r="F1864" s="11"/>
      <c r="G1864" s="11"/>
      <c r="H1864" s="11"/>
    </row>
    <row r="1865" spans="2:8">
      <c r="B1865" s="11"/>
      <c r="C1865" s="11"/>
      <c r="D1865" s="11"/>
      <c r="E1865" s="11"/>
      <c r="F1865" s="11"/>
      <c r="G1865" s="11"/>
      <c r="H1865" s="11"/>
    </row>
    <row r="1866" spans="2:8">
      <c r="B1866" s="11"/>
      <c r="C1866" s="11"/>
      <c r="D1866" s="11"/>
      <c r="E1866" s="11"/>
      <c r="F1866" s="11"/>
      <c r="G1866" s="11"/>
      <c r="H1866" s="11"/>
    </row>
    <row r="1867" spans="2:8">
      <c r="B1867" s="11"/>
      <c r="C1867" s="11"/>
      <c r="D1867" s="11"/>
      <c r="E1867" s="11"/>
      <c r="F1867" s="11"/>
      <c r="G1867" s="11"/>
      <c r="H1867" s="11"/>
    </row>
    <row r="1868" spans="2:8">
      <c r="B1868" s="11"/>
      <c r="C1868" s="11"/>
      <c r="D1868" s="11"/>
      <c r="E1868" s="11"/>
      <c r="F1868" s="11"/>
      <c r="G1868" s="11"/>
      <c r="H1868" s="11"/>
    </row>
    <row r="1869" spans="2:8">
      <c r="B1869" s="11"/>
      <c r="C1869" s="11"/>
      <c r="D1869" s="11"/>
      <c r="E1869" s="11"/>
      <c r="F1869" s="11"/>
      <c r="G1869" s="11"/>
      <c r="H1869" s="11"/>
    </row>
    <row r="1870" spans="2:8">
      <c r="B1870" s="11"/>
      <c r="C1870" s="11"/>
      <c r="D1870" s="11"/>
      <c r="E1870" s="11"/>
      <c r="F1870" s="11"/>
      <c r="G1870" s="11"/>
      <c r="H1870" s="11"/>
    </row>
    <row r="1871" spans="2:8">
      <c r="B1871" s="11"/>
      <c r="C1871" s="11"/>
      <c r="D1871" s="11"/>
      <c r="E1871" s="11"/>
      <c r="F1871" s="11"/>
      <c r="G1871" s="11"/>
      <c r="H1871" s="11"/>
    </row>
    <row r="1872" spans="2:8">
      <c r="B1872" s="11"/>
      <c r="C1872" s="11"/>
      <c r="D1872" s="11"/>
      <c r="E1872" s="11"/>
      <c r="F1872" s="11"/>
      <c r="G1872" s="11"/>
      <c r="H1872" s="11"/>
    </row>
    <row r="1873" spans="2:8">
      <c r="B1873" s="11"/>
      <c r="C1873" s="11"/>
      <c r="D1873" s="11"/>
      <c r="E1873" s="11"/>
      <c r="F1873" s="11"/>
      <c r="G1873" s="11"/>
      <c r="H1873" s="11"/>
    </row>
    <row r="1874" spans="2:8">
      <c r="B1874" s="11"/>
      <c r="C1874" s="11"/>
      <c r="D1874" s="11"/>
      <c r="E1874" s="11"/>
      <c r="F1874" s="11"/>
      <c r="G1874" s="11"/>
      <c r="H1874" s="11"/>
    </row>
    <row r="1875" spans="2:8">
      <c r="B1875" s="11"/>
      <c r="C1875" s="11"/>
      <c r="D1875" s="11"/>
      <c r="E1875" s="11"/>
      <c r="F1875" s="11"/>
      <c r="G1875" s="11"/>
      <c r="H1875" s="11"/>
    </row>
    <row r="1876" spans="2:8">
      <c r="B1876" s="11"/>
      <c r="C1876" s="11"/>
      <c r="D1876" s="11"/>
      <c r="E1876" s="11"/>
      <c r="F1876" s="11"/>
      <c r="G1876" s="11"/>
      <c r="H1876" s="11"/>
    </row>
    <row r="1877" spans="2:8">
      <c r="B1877" s="11"/>
      <c r="C1877" s="11"/>
      <c r="D1877" s="11"/>
      <c r="E1877" s="11"/>
      <c r="F1877" s="11"/>
      <c r="G1877" s="11"/>
      <c r="H1877" s="11"/>
    </row>
    <row r="1878" spans="2:8">
      <c r="B1878" s="11"/>
      <c r="C1878" s="11"/>
      <c r="D1878" s="11"/>
      <c r="E1878" s="11"/>
      <c r="F1878" s="11"/>
      <c r="G1878" s="11"/>
      <c r="H1878" s="11"/>
    </row>
    <row r="1879" spans="2:8">
      <c r="B1879" s="11"/>
      <c r="C1879" s="11"/>
      <c r="D1879" s="11"/>
      <c r="E1879" s="11"/>
      <c r="F1879" s="11"/>
      <c r="G1879" s="11"/>
      <c r="H1879" s="11"/>
    </row>
    <row r="1880" spans="2:8">
      <c r="B1880" s="11"/>
      <c r="C1880" s="11"/>
      <c r="D1880" s="11"/>
      <c r="E1880" s="11"/>
      <c r="F1880" s="11"/>
      <c r="G1880" s="11"/>
      <c r="H1880" s="11"/>
    </row>
    <row r="1881" spans="2:8">
      <c r="B1881" s="11"/>
      <c r="C1881" s="11"/>
      <c r="D1881" s="11"/>
      <c r="E1881" s="11"/>
      <c r="F1881" s="11"/>
      <c r="G1881" s="11"/>
      <c r="H1881" s="11"/>
    </row>
    <row r="1882" spans="2:8">
      <c r="B1882" s="11"/>
      <c r="C1882" s="11"/>
      <c r="D1882" s="11"/>
      <c r="E1882" s="11"/>
      <c r="F1882" s="11"/>
      <c r="G1882" s="11"/>
      <c r="H1882" s="11"/>
    </row>
    <row r="1883" spans="2:8">
      <c r="B1883" s="11"/>
      <c r="C1883" s="11"/>
      <c r="D1883" s="11"/>
      <c r="E1883" s="11"/>
      <c r="F1883" s="11"/>
      <c r="G1883" s="11"/>
      <c r="H1883" s="11"/>
    </row>
    <row r="1884" spans="2:8">
      <c r="B1884" s="11"/>
      <c r="C1884" s="11"/>
      <c r="D1884" s="11"/>
      <c r="E1884" s="11"/>
      <c r="F1884" s="11"/>
      <c r="G1884" s="11"/>
      <c r="H1884" s="11"/>
    </row>
    <row r="1885" spans="2:8">
      <c r="B1885" s="11"/>
      <c r="C1885" s="11"/>
      <c r="D1885" s="11"/>
      <c r="E1885" s="11"/>
      <c r="F1885" s="11"/>
      <c r="G1885" s="11"/>
      <c r="H1885" s="11"/>
    </row>
    <row r="1886" spans="2:8">
      <c r="B1886" s="11"/>
      <c r="C1886" s="11"/>
      <c r="D1886" s="11"/>
      <c r="E1886" s="11"/>
      <c r="F1886" s="11"/>
      <c r="G1886" s="11"/>
      <c r="H1886" s="11"/>
    </row>
    <row r="1887" spans="2:8">
      <c r="B1887" s="11"/>
      <c r="C1887" s="11"/>
      <c r="D1887" s="11"/>
      <c r="E1887" s="11"/>
      <c r="F1887" s="11"/>
      <c r="G1887" s="11"/>
      <c r="H1887" s="11"/>
    </row>
    <row r="1888" spans="2:8">
      <c r="B1888" s="11"/>
      <c r="C1888" s="11"/>
      <c r="D1888" s="11"/>
      <c r="E1888" s="11"/>
      <c r="F1888" s="11"/>
      <c r="G1888" s="11"/>
      <c r="H1888" s="11"/>
    </row>
    <row r="1889" spans="2:8">
      <c r="B1889" s="11"/>
      <c r="C1889" s="11"/>
      <c r="D1889" s="11"/>
      <c r="E1889" s="11"/>
      <c r="F1889" s="11"/>
      <c r="G1889" s="11"/>
      <c r="H1889" s="11"/>
    </row>
    <row r="1890" spans="2:8">
      <c r="B1890" s="11"/>
      <c r="C1890" s="11"/>
      <c r="D1890" s="11"/>
      <c r="E1890" s="11"/>
      <c r="F1890" s="11"/>
      <c r="G1890" s="11"/>
      <c r="H1890" s="11"/>
    </row>
    <row r="1891" spans="2:8">
      <c r="B1891" s="11"/>
      <c r="C1891" s="11"/>
      <c r="D1891" s="11"/>
      <c r="E1891" s="11"/>
      <c r="F1891" s="11"/>
      <c r="G1891" s="11"/>
      <c r="H1891" s="11"/>
    </row>
    <row r="1892" spans="2:8">
      <c r="B1892" s="11"/>
      <c r="C1892" s="11"/>
      <c r="D1892" s="11"/>
      <c r="E1892" s="11"/>
      <c r="F1892" s="11"/>
      <c r="G1892" s="11"/>
      <c r="H1892" s="11"/>
    </row>
    <row r="1893" spans="2:8">
      <c r="B1893" s="11"/>
      <c r="C1893" s="11"/>
      <c r="D1893" s="11"/>
      <c r="E1893" s="11"/>
      <c r="F1893" s="11"/>
      <c r="G1893" s="11"/>
      <c r="H1893" s="11"/>
    </row>
    <row r="1894" spans="2:8">
      <c r="B1894" s="11"/>
      <c r="C1894" s="11"/>
      <c r="D1894" s="11"/>
      <c r="E1894" s="11"/>
      <c r="F1894" s="11"/>
      <c r="G1894" s="11"/>
      <c r="H1894" s="11"/>
    </row>
    <row r="1895" spans="2:8">
      <c r="B1895" s="11"/>
      <c r="C1895" s="11"/>
      <c r="D1895" s="11"/>
      <c r="E1895" s="11"/>
      <c r="F1895" s="11"/>
      <c r="G1895" s="11"/>
      <c r="H1895" s="11"/>
    </row>
    <row r="1896" spans="2:8">
      <c r="B1896" s="11"/>
      <c r="C1896" s="11"/>
      <c r="D1896" s="11"/>
      <c r="E1896" s="11"/>
      <c r="F1896" s="11"/>
      <c r="G1896" s="11"/>
      <c r="H1896" s="11"/>
    </row>
    <row r="1897" spans="2:8">
      <c r="B1897" s="11"/>
      <c r="C1897" s="11"/>
      <c r="D1897" s="11"/>
      <c r="E1897" s="11"/>
      <c r="F1897" s="11"/>
      <c r="G1897" s="11"/>
      <c r="H1897" s="11"/>
    </row>
    <row r="1898" spans="2:8">
      <c r="B1898" s="11"/>
      <c r="C1898" s="11"/>
      <c r="D1898" s="11"/>
      <c r="E1898" s="11"/>
      <c r="F1898" s="11"/>
      <c r="G1898" s="11"/>
      <c r="H1898" s="11"/>
    </row>
    <row r="1899" spans="2:8">
      <c r="B1899" s="11"/>
      <c r="C1899" s="11"/>
      <c r="D1899" s="11"/>
      <c r="E1899" s="11"/>
      <c r="F1899" s="11"/>
      <c r="G1899" s="11"/>
      <c r="H1899" s="11"/>
    </row>
    <row r="1900" spans="2:8">
      <c r="B1900" s="11"/>
      <c r="C1900" s="11"/>
      <c r="D1900" s="11"/>
      <c r="E1900" s="11"/>
      <c r="F1900" s="11"/>
      <c r="G1900" s="11"/>
      <c r="H1900" s="11"/>
    </row>
    <row r="1901" spans="2:8">
      <c r="B1901" s="11"/>
      <c r="C1901" s="11"/>
      <c r="D1901" s="11"/>
      <c r="E1901" s="11"/>
      <c r="F1901" s="11"/>
      <c r="G1901" s="11"/>
      <c r="H1901" s="11"/>
    </row>
    <row r="1902" spans="2:8">
      <c r="B1902" s="11"/>
      <c r="C1902" s="11"/>
      <c r="D1902" s="11"/>
      <c r="E1902" s="11"/>
      <c r="F1902" s="11"/>
      <c r="G1902" s="11"/>
      <c r="H1902" s="11"/>
    </row>
    <row r="1903" spans="2:8">
      <c r="B1903" s="11"/>
      <c r="C1903" s="11"/>
      <c r="D1903" s="11"/>
      <c r="E1903" s="11"/>
      <c r="F1903" s="11"/>
      <c r="G1903" s="11"/>
      <c r="H1903" s="11"/>
    </row>
    <row r="1904" spans="2:8">
      <c r="B1904" s="11"/>
      <c r="C1904" s="11"/>
      <c r="D1904" s="11"/>
      <c r="E1904" s="11"/>
      <c r="F1904" s="11"/>
      <c r="G1904" s="11"/>
      <c r="H1904" s="11"/>
    </row>
    <row r="1905" spans="2:8">
      <c r="B1905" s="11"/>
      <c r="C1905" s="11"/>
      <c r="D1905" s="11"/>
      <c r="E1905" s="11"/>
      <c r="F1905" s="11"/>
      <c r="G1905" s="11"/>
      <c r="H1905" s="11"/>
    </row>
    <row r="1906" spans="2:8">
      <c r="B1906" s="11"/>
      <c r="C1906" s="11"/>
      <c r="D1906" s="11"/>
      <c r="E1906" s="11"/>
      <c r="F1906" s="11"/>
      <c r="G1906" s="11"/>
      <c r="H1906" s="11"/>
    </row>
    <row r="1907" spans="2:8">
      <c r="B1907" s="11"/>
      <c r="C1907" s="11"/>
      <c r="D1907" s="11"/>
      <c r="E1907" s="11"/>
      <c r="F1907" s="11"/>
      <c r="G1907" s="11"/>
      <c r="H1907" s="11"/>
    </row>
    <row r="1908" spans="2:8">
      <c r="B1908" s="11"/>
      <c r="C1908" s="11"/>
      <c r="D1908" s="11"/>
      <c r="E1908" s="11"/>
      <c r="F1908" s="11"/>
      <c r="G1908" s="11"/>
      <c r="H1908" s="11"/>
    </row>
    <row r="1909" spans="2:8">
      <c r="B1909" s="11"/>
      <c r="C1909" s="11"/>
      <c r="D1909" s="11"/>
      <c r="E1909" s="11"/>
      <c r="F1909" s="11"/>
      <c r="G1909" s="11"/>
      <c r="H1909" s="11"/>
    </row>
    <row r="1910" spans="2:8">
      <c r="B1910" s="11"/>
      <c r="C1910" s="11"/>
      <c r="D1910" s="11"/>
      <c r="E1910" s="11"/>
      <c r="F1910" s="11"/>
      <c r="G1910" s="11"/>
      <c r="H1910" s="11"/>
    </row>
    <row r="1911" spans="2:8">
      <c r="B1911" s="11"/>
      <c r="C1911" s="11"/>
      <c r="D1911" s="11"/>
      <c r="E1911" s="11"/>
      <c r="F1911" s="11"/>
      <c r="G1911" s="11"/>
      <c r="H1911" s="11"/>
    </row>
    <row r="1912" spans="2:8">
      <c r="B1912" s="11"/>
      <c r="C1912" s="11"/>
      <c r="D1912" s="11"/>
      <c r="E1912" s="11"/>
      <c r="F1912" s="11"/>
      <c r="G1912" s="11"/>
      <c r="H1912" s="11"/>
    </row>
    <row r="1913" spans="2:8">
      <c r="B1913" s="11"/>
      <c r="C1913" s="11"/>
      <c r="D1913" s="11"/>
      <c r="E1913" s="11"/>
      <c r="F1913" s="11"/>
      <c r="G1913" s="11"/>
      <c r="H1913" s="11"/>
    </row>
    <row r="1914" spans="2:8">
      <c r="B1914" s="11"/>
      <c r="C1914" s="11"/>
      <c r="D1914" s="11"/>
      <c r="E1914" s="11"/>
      <c r="F1914" s="11"/>
      <c r="G1914" s="11"/>
      <c r="H1914" s="11"/>
    </row>
    <row r="1915" spans="2:8">
      <c r="B1915" s="11"/>
      <c r="C1915" s="11"/>
      <c r="D1915" s="11"/>
      <c r="E1915" s="11"/>
      <c r="F1915" s="11"/>
      <c r="G1915" s="11"/>
      <c r="H1915" s="11"/>
    </row>
    <row r="1916" spans="2:8">
      <c r="B1916" s="11"/>
      <c r="C1916" s="11"/>
      <c r="D1916" s="11"/>
      <c r="E1916" s="11"/>
      <c r="F1916" s="11"/>
      <c r="G1916" s="11"/>
      <c r="H1916" s="11"/>
    </row>
    <row r="1917" spans="2:8">
      <c r="B1917" s="11"/>
      <c r="C1917" s="11"/>
      <c r="D1917" s="11"/>
      <c r="E1917" s="11"/>
      <c r="F1917" s="11"/>
      <c r="G1917" s="11"/>
      <c r="H1917" s="11"/>
    </row>
    <row r="1918" spans="2:8">
      <c r="B1918" s="11"/>
      <c r="C1918" s="11"/>
      <c r="D1918" s="11"/>
      <c r="E1918" s="11"/>
      <c r="F1918" s="11"/>
      <c r="G1918" s="11"/>
      <c r="H1918" s="11"/>
    </row>
    <row r="1919" spans="2:8">
      <c r="B1919" s="11"/>
      <c r="C1919" s="11"/>
      <c r="D1919" s="11"/>
      <c r="E1919" s="11"/>
      <c r="F1919" s="11"/>
      <c r="G1919" s="11"/>
      <c r="H1919" s="11"/>
    </row>
    <row r="1920" spans="2:8">
      <c r="B1920" s="11"/>
      <c r="C1920" s="11"/>
      <c r="D1920" s="11"/>
      <c r="E1920" s="11"/>
      <c r="F1920" s="11"/>
      <c r="G1920" s="11"/>
      <c r="H1920" s="11"/>
    </row>
    <row r="1921" spans="2:8">
      <c r="B1921" s="11"/>
      <c r="C1921" s="11"/>
      <c r="D1921" s="11"/>
      <c r="E1921" s="11"/>
      <c r="F1921" s="11"/>
      <c r="G1921" s="11"/>
      <c r="H1921" s="11"/>
    </row>
    <row r="1922" spans="2:8">
      <c r="B1922" s="11"/>
      <c r="C1922" s="11"/>
      <c r="D1922" s="11"/>
      <c r="E1922" s="11"/>
      <c r="F1922" s="11"/>
      <c r="G1922" s="11"/>
      <c r="H1922" s="11"/>
    </row>
    <row r="1923" spans="2:8">
      <c r="B1923" s="11"/>
      <c r="C1923" s="11"/>
      <c r="D1923" s="11"/>
      <c r="E1923" s="11"/>
      <c r="F1923" s="11"/>
      <c r="G1923" s="11"/>
      <c r="H1923" s="11"/>
    </row>
    <row r="1924" spans="2:8">
      <c r="B1924" s="11"/>
      <c r="C1924" s="11"/>
      <c r="D1924" s="11"/>
      <c r="E1924" s="11"/>
      <c r="F1924" s="11"/>
      <c r="G1924" s="11"/>
      <c r="H1924" s="11"/>
    </row>
    <row r="1925" spans="2:8">
      <c r="B1925" s="11"/>
      <c r="C1925" s="11"/>
      <c r="D1925" s="11"/>
      <c r="E1925" s="11"/>
      <c r="F1925" s="11"/>
      <c r="G1925" s="11"/>
      <c r="H1925" s="11"/>
    </row>
    <row r="1926" spans="2:8">
      <c r="B1926" s="11"/>
      <c r="C1926" s="11"/>
      <c r="D1926" s="11"/>
      <c r="E1926" s="11"/>
      <c r="F1926" s="11"/>
      <c r="G1926" s="11"/>
      <c r="H1926" s="11"/>
    </row>
    <row r="1927" spans="2:8">
      <c r="B1927" s="11"/>
      <c r="C1927" s="11"/>
      <c r="D1927" s="11"/>
      <c r="E1927" s="11"/>
      <c r="F1927" s="11"/>
      <c r="G1927" s="11"/>
      <c r="H1927" s="11"/>
    </row>
    <row r="1928" spans="2:8">
      <c r="B1928" s="11"/>
      <c r="C1928" s="11"/>
      <c r="D1928" s="11"/>
      <c r="E1928" s="11"/>
      <c r="F1928" s="11"/>
      <c r="G1928" s="11"/>
      <c r="H1928" s="11"/>
    </row>
    <row r="1929" spans="2:8">
      <c r="B1929" s="11"/>
      <c r="C1929" s="11"/>
      <c r="D1929" s="11"/>
      <c r="E1929" s="11"/>
      <c r="F1929" s="11"/>
      <c r="G1929" s="11"/>
      <c r="H1929" s="11"/>
    </row>
    <row r="1930" spans="2:8">
      <c r="B1930" s="11"/>
      <c r="C1930" s="11"/>
      <c r="D1930" s="11"/>
      <c r="E1930" s="11"/>
      <c r="F1930" s="11"/>
      <c r="G1930" s="11"/>
      <c r="H1930" s="11"/>
    </row>
    <row r="1931" spans="2:8">
      <c r="B1931" s="11"/>
      <c r="C1931" s="11"/>
      <c r="D1931" s="11"/>
      <c r="E1931" s="11"/>
      <c r="F1931" s="11"/>
      <c r="G1931" s="11"/>
      <c r="H1931" s="11"/>
    </row>
    <row r="1932" spans="2:8">
      <c r="B1932" s="11"/>
      <c r="C1932" s="11"/>
      <c r="D1932" s="11"/>
      <c r="E1932" s="11"/>
      <c r="F1932" s="11"/>
      <c r="G1932" s="11"/>
      <c r="H1932" s="11"/>
    </row>
    <row r="1933" spans="2:8">
      <c r="B1933" s="11"/>
      <c r="C1933" s="11"/>
      <c r="D1933" s="11"/>
      <c r="E1933" s="11"/>
      <c r="F1933" s="11"/>
      <c r="G1933" s="11"/>
      <c r="H1933" s="11"/>
    </row>
    <row r="1934" spans="2:8">
      <c r="B1934" s="11"/>
      <c r="C1934" s="11"/>
      <c r="D1934" s="11"/>
      <c r="E1934" s="11"/>
      <c r="F1934" s="11"/>
      <c r="G1934" s="11"/>
      <c r="H1934" s="11"/>
    </row>
    <row r="1935" spans="2:8">
      <c r="B1935" s="11"/>
      <c r="C1935" s="11"/>
      <c r="D1935" s="11"/>
      <c r="E1935" s="11"/>
      <c r="F1935" s="11"/>
      <c r="G1935" s="11"/>
      <c r="H1935" s="11"/>
    </row>
    <row r="1936" spans="2:8">
      <c r="B1936" s="11"/>
      <c r="C1936" s="11"/>
      <c r="D1936" s="11"/>
      <c r="E1936" s="11"/>
      <c r="F1936" s="11"/>
      <c r="G1936" s="11"/>
      <c r="H1936" s="11"/>
    </row>
    <row r="1937" spans="2:8">
      <c r="B1937" s="11"/>
      <c r="C1937" s="11"/>
      <c r="D1937" s="11"/>
      <c r="E1937" s="11"/>
      <c r="F1937" s="11"/>
      <c r="G1937" s="11"/>
      <c r="H1937" s="11"/>
    </row>
    <row r="1938" spans="2:8">
      <c r="B1938" s="11"/>
      <c r="C1938" s="11"/>
      <c r="D1938" s="11"/>
      <c r="E1938" s="11"/>
      <c r="F1938" s="11"/>
      <c r="G1938" s="11"/>
      <c r="H1938" s="11"/>
    </row>
    <row r="1939" spans="2:8">
      <c r="B1939" s="11"/>
      <c r="C1939" s="11"/>
      <c r="D1939" s="11"/>
      <c r="E1939" s="11"/>
      <c r="F1939" s="11"/>
      <c r="G1939" s="11"/>
      <c r="H1939" s="11"/>
    </row>
    <row r="1940" spans="2:8">
      <c r="B1940" s="11"/>
      <c r="C1940" s="11"/>
      <c r="D1940" s="11"/>
      <c r="E1940" s="11"/>
      <c r="F1940" s="11"/>
      <c r="G1940" s="11"/>
      <c r="H1940" s="11"/>
    </row>
    <row r="1941" spans="2:8">
      <c r="B1941" s="11"/>
      <c r="C1941" s="11"/>
      <c r="D1941" s="11"/>
      <c r="E1941" s="11"/>
      <c r="F1941" s="11"/>
      <c r="G1941" s="11"/>
      <c r="H1941" s="11"/>
    </row>
    <row r="1942" spans="2:8">
      <c r="B1942" s="11"/>
      <c r="C1942" s="11"/>
      <c r="D1942" s="11"/>
      <c r="E1942" s="11"/>
      <c r="F1942" s="11"/>
      <c r="G1942" s="11"/>
      <c r="H1942" s="11"/>
    </row>
    <row r="1943" spans="2:8">
      <c r="B1943" s="11"/>
      <c r="C1943" s="11"/>
      <c r="D1943" s="11"/>
      <c r="E1943" s="11"/>
      <c r="F1943" s="11"/>
      <c r="G1943" s="11"/>
      <c r="H1943" s="11"/>
    </row>
    <row r="1944" spans="2:8">
      <c r="B1944" s="11"/>
      <c r="C1944" s="11"/>
      <c r="D1944" s="11"/>
      <c r="E1944" s="11"/>
      <c r="F1944" s="11"/>
      <c r="G1944" s="11"/>
      <c r="H1944" s="11"/>
    </row>
    <row r="1945" spans="2:8">
      <c r="B1945" s="11"/>
      <c r="C1945" s="11"/>
      <c r="D1945" s="11"/>
      <c r="E1945" s="11"/>
      <c r="F1945" s="11"/>
      <c r="G1945" s="11"/>
      <c r="H1945" s="11"/>
    </row>
    <row r="1946" spans="2:8">
      <c r="B1946" s="11"/>
      <c r="C1946" s="11"/>
      <c r="D1946" s="11"/>
      <c r="E1946" s="11"/>
      <c r="F1946" s="11"/>
      <c r="G1946" s="11"/>
      <c r="H1946" s="11"/>
    </row>
    <row r="1947" spans="2:8">
      <c r="B1947" s="11"/>
      <c r="C1947" s="11"/>
      <c r="D1947" s="11"/>
      <c r="E1947" s="11"/>
      <c r="F1947" s="11"/>
      <c r="G1947" s="11"/>
      <c r="H1947" s="11"/>
    </row>
    <row r="1948" spans="2:8">
      <c r="B1948" s="11"/>
      <c r="C1948" s="11"/>
      <c r="D1948" s="11"/>
      <c r="E1948" s="11"/>
      <c r="F1948" s="11"/>
      <c r="G1948" s="11"/>
      <c r="H1948" s="11"/>
    </row>
    <row r="1949" spans="2:8">
      <c r="B1949" s="11"/>
      <c r="C1949" s="11"/>
      <c r="D1949" s="11"/>
      <c r="E1949" s="11"/>
      <c r="F1949" s="11"/>
      <c r="G1949" s="11"/>
      <c r="H1949" s="11"/>
    </row>
    <row r="1950" spans="2:8">
      <c r="B1950" s="11"/>
      <c r="C1950" s="11"/>
      <c r="D1950" s="11"/>
      <c r="E1950" s="11"/>
      <c r="F1950" s="11"/>
      <c r="G1950" s="11"/>
      <c r="H1950" s="11"/>
    </row>
    <row r="1951" spans="2:8">
      <c r="B1951" s="11"/>
      <c r="C1951" s="11"/>
      <c r="D1951" s="11"/>
      <c r="E1951" s="11"/>
      <c r="F1951" s="11"/>
      <c r="G1951" s="11"/>
      <c r="H1951" s="11"/>
    </row>
    <row r="1952" spans="2:8">
      <c r="B1952" s="11"/>
      <c r="C1952" s="11"/>
      <c r="D1952" s="11"/>
      <c r="E1952" s="11"/>
      <c r="F1952" s="11"/>
      <c r="G1952" s="11"/>
      <c r="H1952" s="11"/>
    </row>
    <row r="1953" spans="2:8">
      <c r="B1953" s="11"/>
      <c r="C1953" s="11"/>
      <c r="D1953" s="11"/>
      <c r="E1953" s="11"/>
      <c r="F1953" s="11"/>
      <c r="G1953" s="11"/>
      <c r="H1953" s="11"/>
    </row>
    <row r="1954" spans="2:8">
      <c r="B1954" s="11"/>
      <c r="C1954" s="11"/>
      <c r="D1954" s="11"/>
      <c r="E1954" s="11"/>
      <c r="F1954" s="11"/>
      <c r="G1954" s="11"/>
      <c r="H1954" s="11"/>
    </row>
  </sheetData>
  <sheetProtection algorithmName="SHA-512" hashValue="cvvDHmCiO4pewLdzypNdGtXbNsgMUb0D5EJE9F/lM3IrsWkpB59DZ7uXSg+cRoJUR8pqX+9X7xZZO91c84vQjw==" saltValue="v1Un8/ZIfgzACE5aX0nxdg==" spinCount="100000" sheet="1" objects="1" scenarios="1" selectLockedCells="1"/>
  <mergeCells count="51">
    <mergeCell ref="U85:Z85"/>
    <mergeCell ref="E13:E15"/>
    <mergeCell ref="F13:F15"/>
    <mergeCell ref="G13:G15"/>
    <mergeCell ref="H13:H15"/>
    <mergeCell ref="I13:I15"/>
    <mergeCell ref="J13:J15"/>
    <mergeCell ref="D51:E51"/>
    <mergeCell ref="D52:E52"/>
    <mergeCell ref="D53:E53"/>
    <mergeCell ref="C19:D19"/>
    <mergeCell ref="C14:D14"/>
    <mergeCell ref="C15:D15"/>
    <mergeCell ref="C16:D16"/>
    <mergeCell ref="C17:D17"/>
    <mergeCell ref="C18:D18"/>
    <mergeCell ref="B3:K3"/>
    <mergeCell ref="G5:J5"/>
    <mergeCell ref="G7:J7"/>
    <mergeCell ref="B10:K10"/>
    <mergeCell ref="C13:D13"/>
    <mergeCell ref="C20:D20"/>
    <mergeCell ref="C21:D21"/>
    <mergeCell ref="C22:D22"/>
    <mergeCell ref="C23:D23"/>
    <mergeCell ref="C24:D24"/>
    <mergeCell ref="C25:D25"/>
    <mergeCell ref="C26:D26"/>
    <mergeCell ref="C27:D27"/>
    <mergeCell ref="C28:D28"/>
    <mergeCell ref="C29:D29"/>
    <mergeCell ref="C30:D30"/>
    <mergeCell ref="C31:D31"/>
    <mergeCell ref="C32:D32"/>
    <mergeCell ref="C33:D33"/>
    <mergeCell ref="C34:D34"/>
    <mergeCell ref="C35:D35"/>
    <mergeCell ref="C36:D36"/>
    <mergeCell ref="C37:D37"/>
    <mergeCell ref="C38:D38"/>
    <mergeCell ref="C39:D39"/>
    <mergeCell ref="C40:D40"/>
    <mergeCell ref="C41:D41"/>
    <mergeCell ref="C42:D42"/>
    <mergeCell ref="C43:D43"/>
    <mergeCell ref="C44:D44"/>
    <mergeCell ref="C45:D45"/>
    <mergeCell ref="C46:D46"/>
    <mergeCell ref="C47:D47"/>
    <mergeCell ref="C48:D48"/>
    <mergeCell ref="C49:D49"/>
  </mergeCells>
  <phoneticPr fontId="9" type="noConversion"/>
  <pageMargins left="1.51" right="0.75" top="1" bottom="1" header="0" footer="0"/>
  <pageSetup orientation="portrait" horizontalDpi="300" verticalDpi="300"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3">
    <pageSetUpPr autoPageBreaks="0" fitToPage="1"/>
  </sheetPr>
  <dimension ref="A1:T88"/>
  <sheetViews>
    <sheetView showGridLines="0" showRowColHeaders="0" showZeros="0" showOutlineSymbols="0" zoomScale="80" zoomScaleNormal="80" workbookViewId="0"/>
  </sheetViews>
  <sheetFormatPr baseColWidth="10" defaultColWidth="0" defaultRowHeight="12" zeroHeight="1"/>
  <cols>
    <col min="1" max="1" width="2.28515625" style="23" customWidth="1"/>
    <col min="2" max="2" width="39.140625" style="23" customWidth="1"/>
    <col min="3" max="15" width="14.28515625" style="23" customWidth="1"/>
    <col min="16" max="16" width="11.42578125" style="23" customWidth="1"/>
    <col min="17" max="20" width="0" style="23" hidden="1" customWidth="1"/>
    <col min="21" max="16384" width="11.42578125" style="23" hidden="1"/>
  </cols>
  <sheetData>
    <row r="1" spans="1:17" s="63" customFormat="1" ht="13.5" thickBot="1">
      <c r="A1" s="246"/>
      <c r="B1" s="56"/>
      <c r="C1" s="56"/>
      <c r="D1" s="56"/>
      <c r="E1" s="56"/>
      <c r="F1" s="56"/>
      <c r="H1" s="56"/>
      <c r="I1" s="56"/>
      <c r="J1" s="56"/>
      <c r="K1" s="56"/>
      <c r="L1" s="56"/>
      <c r="M1" s="64"/>
    </row>
    <row r="2" spans="1:17" s="63" customFormat="1" ht="7.5" customHeight="1" thickTop="1">
      <c r="A2" s="56"/>
      <c r="B2" s="37"/>
      <c r="C2" s="38"/>
      <c r="D2" s="233"/>
      <c r="E2" s="233"/>
      <c r="F2" s="233"/>
      <c r="G2" s="233"/>
      <c r="H2" s="233"/>
      <c r="I2" s="233"/>
      <c r="J2" s="233"/>
      <c r="K2" s="233"/>
      <c r="L2" s="233"/>
      <c r="M2" s="233"/>
      <c r="N2" s="233"/>
      <c r="O2" s="234"/>
      <c r="P2" s="56"/>
      <c r="Q2" s="64"/>
    </row>
    <row r="3" spans="1:17" s="63" customFormat="1" ht="20.25">
      <c r="A3" s="56"/>
      <c r="B3" s="618" t="s">
        <v>2754</v>
      </c>
      <c r="C3" s="619"/>
      <c r="D3" s="619"/>
      <c r="E3" s="619"/>
      <c r="F3" s="619"/>
      <c r="G3" s="619"/>
      <c r="H3" s="619"/>
      <c r="I3" s="619"/>
      <c r="J3" s="619"/>
      <c r="K3" s="619"/>
      <c r="L3" s="619"/>
      <c r="M3" s="619"/>
      <c r="N3" s="619"/>
      <c r="O3" s="620"/>
      <c r="P3" s="56"/>
      <c r="Q3" s="64"/>
    </row>
    <row r="4" spans="1:17" s="63" customFormat="1" ht="13.5" thickBot="1">
      <c r="A4" s="56"/>
      <c r="B4" s="201"/>
      <c r="C4" s="65"/>
      <c r="D4" s="65"/>
      <c r="E4" s="65"/>
      <c r="F4" s="65"/>
      <c r="G4" s="65"/>
      <c r="H4" s="65"/>
      <c r="I4" s="65"/>
      <c r="J4" s="65"/>
      <c r="K4" s="65"/>
      <c r="L4" s="65"/>
      <c r="M4" s="65"/>
      <c r="N4" s="65"/>
      <c r="O4" s="274"/>
      <c r="P4" s="56"/>
      <c r="Q4" s="64"/>
    </row>
    <row r="5" spans="1:17" s="63" customFormat="1" ht="14.25" thickTop="1" thickBot="1">
      <c r="B5" s="210"/>
      <c r="E5" s="393" t="s">
        <v>2579</v>
      </c>
      <c r="F5" s="393"/>
      <c r="G5" s="393"/>
      <c r="H5" s="280"/>
      <c r="I5" s="621" t="str">
        <f>+'1-Datos Generales'!$H$5</f>
        <v>SEGI</v>
      </c>
      <c r="J5" s="622"/>
      <c r="K5" s="622"/>
      <c r="L5" s="623"/>
      <c r="M5" s="388"/>
      <c r="N5" s="388"/>
      <c r="O5" s="202"/>
      <c r="Q5" s="64"/>
    </row>
    <row r="6" spans="1:17" s="56" customFormat="1" ht="4.5" customHeight="1" thickTop="1" thickBot="1">
      <c r="B6" s="201" t="s">
        <v>212</v>
      </c>
      <c r="E6" s="65"/>
      <c r="F6" s="65" t="s">
        <v>7</v>
      </c>
      <c r="G6" s="196"/>
      <c r="H6" s="196"/>
      <c r="I6" s="196"/>
      <c r="J6" s="65"/>
      <c r="K6" s="65"/>
      <c r="L6" s="65"/>
      <c r="M6" s="65"/>
      <c r="N6" s="65"/>
      <c r="O6" s="202"/>
      <c r="P6" s="65"/>
      <c r="Q6" s="65"/>
    </row>
    <row r="7" spans="1:17" s="63" customFormat="1" ht="14.25" thickTop="1" thickBot="1">
      <c r="B7" s="210"/>
      <c r="C7" s="64"/>
      <c r="D7" s="64"/>
      <c r="E7" s="393" t="s">
        <v>2576</v>
      </c>
      <c r="F7" s="393"/>
      <c r="G7" s="393"/>
      <c r="H7" s="280"/>
      <c r="I7" s="621">
        <f>+'1-Datos Generales'!$D$11</f>
        <v>0</v>
      </c>
      <c r="J7" s="622"/>
      <c r="K7" s="622"/>
      <c r="L7" s="623"/>
      <c r="M7" s="388"/>
      <c r="N7" s="388"/>
      <c r="O7" s="202"/>
      <c r="Q7" s="64"/>
    </row>
    <row r="8" spans="1:17" s="2" customFormat="1" ht="13.5" thickTop="1">
      <c r="B8" s="391"/>
      <c r="C8" s="47"/>
      <c r="D8" s="47"/>
      <c r="E8" s="47"/>
      <c r="F8" s="47"/>
      <c r="G8" s="47"/>
      <c r="H8" s="47"/>
      <c r="I8" s="47"/>
      <c r="J8" s="78"/>
      <c r="K8" s="78"/>
      <c r="L8" s="78"/>
      <c r="M8" s="78"/>
      <c r="N8" s="78"/>
      <c r="O8" s="392"/>
      <c r="P8" s="76"/>
    </row>
    <row r="9" spans="1:17" s="84" customFormat="1" ht="21" thickBot="1">
      <c r="B9" s="467"/>
      <c r="C9" s="88"/>
      <c r="D9" s="88"/>
      <c r="E9" s="88"/>
      <c r="F9" s="88"/>
      <c r="G9" s="88"/>
      <c r="H9" s="88"/>
      <c r="I9" s="88"/>
      <c r="J9" s="88"/>
      <c r="K9" s="88"/>
      <c r="L9" s="88"/>
      <c r="M9" s="88"/>
      <c r="N9" s="88"/>
      <c r="O9" s="468"/>
    </row>
    <row r="10" spans="1:17" s="56" customFormat="1" ht="25.5" customHeight="1" thickBot="1">
      <c r="B10" s="765" t="s">
        <v>166</v>
      </c>
      <c r="C10" s="766"/>
      <c r="D10" s="766"/>
      <c r="E10" s="766"/>
      <c r="F10" s="766"/>
      <c r="G10" s="766"/>
      <c r="H10" s="766"/>
      <c r="I10" s="766"/>
      <c r="J10" s="766"/>
      <c r="K10" s="766"/>
      <c r="L10" s="766"/>
      <c r="M10" s="766"/>
      <c r="N10" s="766"/>
      <c r="O10" s="767"/>
    </row>
    <row r="11" spans="1:17" s="84" customFormat="1" ht="18.75" customHeight="1">
      <c r="B11" s="497"/>
      <c r="C11" s="498"/>
      <c r="D11" s="498"/>
      <c r="E11" s="498"/>
      <c r="F11" s="498"/>
      <c r="G11" s="498"/>
      <c r="H11" s="498"/>
      <c r="I11" s="498"/>
      <c r="J11" s="498"/>
      <c r="K11" s="498"/>
      <c r="L11" s="498"/>
      <c r="M11" s="498"/>
      <c r="N11" s="498"/>
      <c r="O11" s="506"/>
    </row>
    <row r="12" spans="1:17" ht="30" customHeight="1">
      <c r="B12" s="520" t="s">
        <v>2707</v>
      </c>
      <c r="C12" s="513" t="s">
        <v>2771</v>
      </c>
      <c r="D12" s="513" t="s">
        <v>2772</v>
      </c>
      <c r="E12" s="513" t="s">
        <v>2773</v>
      </c>
      <c r="F12" s="513" t="s">
        <v>2774</v>
      </c>
      <c r="G12" s="513" t="s">
        <v>2775</v>
      </c>
      <c r="H12" s="513" t="s">
        <v>2776</v>
      </c>
      <c r="I12" s="513" t="s">
        <v>2777</v>
      </c>
      <c r="J12" s="513" t="s">
        <v>2778</v>
      </c>
      <c r="K12" s="513" t="s">
        <v>2779</v>
      </c>
      <c r="L12" s="513" t="s">
        <v>2750</v>
      </c>
      <c r="M12" s="513" t="s">
        <v>2751</v>
      </c>
      <c r="N12" s="513" t="s">
        <v>2752</v>
      </c>
      <c r="O12" s="514" t="s">
        <v>2753</v>
      </c>
      <c r="P12" s="29"/>
    </row>
    <row r="13" spans="1:17" ht="18" customHeight="1">
      <c r="B13" s="500" t="s">
        <v>11</v>
      </c>
      <c r="C13" s="490">
        <f>+'Salida-1-Pto ingresos-insumos'!E39</f>
        <v>9444444.4444444459</v>
      </c>
      <c r="D13" s="490">
        <f>+'Salida-1-Pto ingresos-insumos'!E40</f>
        <v>9444444.4444444459</v>
      </c>
      <c r="E13" s="490">
        <f>+'Salida-1-Pto ingresos-insumos'!E41</f>
        <v>9444444.4444444459</v>
      </c>
      <c r="F13" s="490">
        <f>+'Salida-1-Pto ingresos-insumos'!E42</f>
        <v>9444444.4444444459</v>
      </c>
      <c r="G13" s="490">
        <f>+'Salida-1-Pto ingresos-insumos'!E43</f>
        <v>9444444.4444444459</v>
      </c>
      <c r="H13" s="490">
        <f>+'Salida-1-Pto ingresos-insumos'!E44</f>
        <v>9444444.4444444459</v>
      </c>
      <c r="I13" s="490">
        <f>+'Salida-1-Pto ingresos-insumos'!E45</f>
        <v>15740740.740740743</v>
      </c>
      <c r="J13" s="490">
        <f>+'Salida-1-Pto ingresos-insumos'!E46</f>
        <v>15740740.740740743</v>
      </c>
      <c r="K13" s="490">
        <f>+'Salida-1-Pto ingresos-insumos'!E47</f>
        <v>15740740.740740743</v>
      </c>
      <c r="L13" s="490">
        <f>+'Salida-1-Pto ingresos-insumos'!E48</f>
        <v>22037037.037037037</v>
      </c>
      <c r="M13" s="490">
        <f>+'Salida-1-Pto ingresos-insumos'!E49</f>
        <v>22037037.037037037</v>
      </c>
      <c r="N13" s="490">
        <f>+'Salida-1-Pto ingresos-insumos'!E50</f>
        <v>22037037.037037037</v>
      </c>
      <c r="O13" s="507">
        <f>SUM(C13:N13)</f>
        <v>170000000.00000003</v>
      </c>
      <c r="P13" s="29"/>
    </row>
    <row r="14" spans="1:17" ht="18" customHeight="1">
      <c r="B14" s="500" t="s">
        <v>2770</v>
      </c>
      <c r="C14" s="490">
        <f>+'3-Pto Compras'!I120</f>
        <v>0</v>
      </c>
      <c r="D14" s="490">
        <f>+'3-Pto Compras'!I121</f>
        <v>0</v>
      </c>
      <c r="E14" s="490">
        <f>+'3-Pto Compras'!I122</f>
        <v>0</v>
      </c>
      <c r="F14" s="490">
        <f>+'3-Pto Compras'!I123</f>
        <v>0</v>
      </c>
      <c r="G14" s="490">
        <f>+'3-Pto Compras'!I124</f>
        <v>0</v>
      </c>
      <c r="H14" s="490">
        <f>+'3-Pto Compras'!I125</f>
        <v>0</v>
      </c>
      <c r="I14" s="490">
        <f>+'3-Pto Compras'!I126</f>
        <v>0</v>
      </c>
      <c r="J14" s="490">
        <f>+'3-Pto Compras'!I127</f>
        <v>0</v>
      </c>
      <c r="K14" s="490">
        <f>+'3-Pto Compras'!I128</f>
        <v>0</v>
      </c>
      <c r="L14" s="490">
        <f>+'3-Pto Compras'!I129</f>
        <v>0</v>
      </c>
      <c r="M14" s="490">
        <f>+'3-Pto Compras'!I130</f>
        <v>0</v>
      </c>
      <c r="N14" s="490">
        <f>+'3-Pto Compras'!I131</f>
        <v>0</v>
      </c>
      <c r="O14" s="507">
        <f>SUM(C14:N14)</f>
        <v>0</v>
      </c>
      <c r="P14" s="29"/>
    </row>
    <row r="15" spans="1:17" s="32" customFormat="1" ht="21" customHeight="1">
      <c r="B15" s="521"/>
      <c r="C15" s="522"/>
      <c r="D15" s="522"/>
      <c r="E15" s="522"/>
      <c r="F15" s="522"/>
      <c r="G15" s="522"/>
      <c r="H15" s="522"/>
      <c r="I15" s="522"/>
      <c r="J15" s="522"/>
      <c r="K15" s="522"/>
      <c r="L15" s="522"/>
      <c r="M15" s="522"/>
      <c r="N15" s="522"/>
      <c r="O15" s="523"/>
    </row>
    <row r="16" spans="1:17" ht="30" customHeight="1">
      <c r="B16" s="499" t="s">
        <v>2780</v>
      </c>
      <c r="C16" s="513" t="s">
        <v>2771</v>
      </c>
      <c r="D16" s="513" t="s">
        <v>2772</v>
      </c>
      <c r="E16" s="513" t="s">
        <v>2773</v>
      </c>
      <c r="F16" s="513" t="s">
        <v>2774</v>
      </c>
      <c r="G16" s="513" t="s">
        <v>2775</v>
      </c>
      <c r="H16" s="513" t="s">
        <v>2776</v>
      </c>
      <c r="I16" s="513" t="s">
        <v>2777</v>
      </c>
      <c r="J16" s="513" t="s">
        <v>2778</v>
      </c>
      <c r="K16" s="513" t="s">
        <v>2779</v>
      </c>
      <c r="L16" s="513" t="s">
        <v>2750</v>
      </c>
      <c r="M16" s="513" t="s">
        <v>2751</v>
      </c>
      <c r="N16" s="513" t="s">
        <v>2752</v>
      </c>
      <c r="O16" s="514" t="s">
        <v>2753</v>
      </c>
      <c r="P16" s="29"/>
    </row>
    <row r="17" spans="2:20" ht="25.5" customHeight="1">
      <c r="B17" s="500" t="s">
        <v>124</v>
      </c>
      <c r="C17" s="456"/>
      <c r="D17" s="456"/>
      <c r="E17" s="456"/>
      <c r="F17" s="456"/>
      <c r="G17" s="456"/>
      <c r="H17" s="456"/>
      <c r="I17" s="456"/>
      <c r="J17" s="456"/>
      <c r="K17" s="456"/>
      <c r="L17" s="456"/>
      <c r="M17" s="456"/>
      <c r="N17" s="456"/>
      <c r="O17" s="508"/>
    </row>
    <row r="18" spans="2:20" ht="18" customHeight="1">
      <c r="B18" s="501" t="s">
        <v>132</v>
      </c>
      <c r="C18" s="490">
        <f>IF('5-Plan de Inversion'!$C$26&lt;30,(IF(0&lt;='5-Plan de Inversion'!$C$26,((1-('5-Plan de Inversion'!$C$26/30))*C13),0)),0)</f>
        <v>9444444.4444444459</v>
      </c>
      <c r="D18" s="490">
        <f>IF('5-Plan de Inversion'!$C$26&lt;30,(IF(0&lt;='5-Plan de Inversion'!$C$26,((1-('5-Plan de Inversion'!$C$26/30))*D13),0)),0)</f>
        <v>9444444.4444444459</v>
      </c>
      <c r="E18" s="490">
        <f>IF('5-Plan de Inversion'!$C$26&lt;30,(IF(0&lt;='5-Plan de Inversion'!$C$26,((1-('5-Plan de Inversion'!$C$26/30))*E13),0)),0)</f>
        <v>9444444.4444444459</v>
      </c>
      <c r="F18" s="490">
        <f>IF('5-Plan de Inversion'!$C$26&lt;30,(IF(0&lt;='5-Plan de Inversion'!$C$26,((1-('5-Plan de Inversion'!$C$26/30))*F13),0)),0)</f>
        <v>9444444.4444444459</v>
      </c>
      <c r="G18" s="490">
        <f>IF('5-Plan de Inversion'!$C$26&lt;30,(IF(0&lt;='5-Plan de Inversion'!$C$26,((1-('5-Plan de Inversion'!$C$26/30))*G13),0)),0)</f>
        <v>9444444.4444444459</v>
      </c>
      <c r="H18" s="490">
        <f>IF('5-Plan de Inversion'!$C$26&lt;30,(IF(0&lt;='5-Plan de Inversion'!$C$26,((1-('5-Plan de Inversion'!$C$26/30))*H13),0)),0)</f>
        <v>9444444.4444444459</v>
      </c>
      <c r="I18" s="490">
        <f>IF('5-Plan de Inversion'!$C$26&lt;30,(IF(0&lt;='5-Plan de Inversion'!$C$26,((1-('5-Plan de Inversion'!$C$26/30))*I13),0)),0)</f>
        <v>15740740.740740743</v>
      </c>
      <c r="J18" s="490">
        <f>IF('5-Plan de Inversion'!$C$26&lt;30,(IF(0&lt;='5-Plan de Inversion'!$C$26,((1-('5-Plan de Inversion'!$C$26/30))*J13),0)),0)</f>
        <v>15740740.740740743</v>
      </c>
      <c r="K18" s="490">
        <f>IF('5-Plan de Inversion'!$C$26&lt;30,(IF(0&lt;='5-Plan de Inversion'!$C$26,((1-('5-Plan de Inversion'!$C$26/30))*K13),0)),0)</f>
        <v>15740740.740740743</v>
      </c>
      <c r="L18" s="490">
        <f>IF('5-Plan de Inversion'!$C$26&lt;30,(IF(0&lt;='5-Plan de Inversion'!$C$26,((1-('5-Plan de Inversion'!$C$26/30))*L13),0)),0)</f>
        <v>22037037.037037037</v>
      </c>
      <c r="M18" s="490">
        <f>IF('5-Plan de Inversion'!$C$26&lt;30,(IF(0&lt;='5-Plan de Inversion'!$C$26,((1-('5-Plan de Inversion'!$C$26/30))*M13),0)),0)</f>
        <v>22037037.037037037</v>
      </c>
      <c r="N18" s="490">
        <f>IF('5-Plan de Inversion'!$C$26&lt;30,(IF(0&lt;='5-Plan de Inversion'!$C$26,((1-('5-Plan de Inversion'!$C$26/30))*N13),0)),0)</f>
        <v>22037037.037037037</v>
      </c>
      <c r="O18" s="507">
        <f>SUM(C18:N18)</f>
        <v>170000000.00000003</v>
      </c>
    </row>
    <row r="19" spans="2:20" s="117" customFormat="1" ht="18" customHeight="1">
      <c r="B19" s="501" t="s">
        <v>133</v>
      </c>
      <c r="C19" s="490">
        <f>+C13-C18</f>
        <v>0</v>
      </c>
      <c r="D19" s="490">
        <f>+D13-D18</f>
        <v>0</v>
      </c>
      <c r="E19" s="490">
        <f t="shared" ref="E19:O19" si="0">+E13-E18</f>
        <v>0</v>
      </c>
      <c r="F19" s="490">
        <f t="shared" si="0"/>
        <v>0</v>
      </c>
      <c r="G19" s="490">
        <f t="shared" si="0"/>
        <v>0</v>
      </c>
      <c r="H19" s="490">
        <f t="shared" si="0"/>
        <v>0</v>
      </c>
      <c r="I19" s="490">
        <f t="shared" si="0"/>
        <v>0</v>
      </c>
      <c r="J19" s="490">
        <f t="shared" si="0"/>
        <v>0</v>
      </c>
      <c r="K19" s="490">
        <f t="shared" si="0"/>
        <v>0</v>
      </c>
      <c r="L19" s="490">
        <f t="shared" si="0"/>
        <v>0</v>
      </c>
      <c r="M19" s="490">
        <f t="shared" si="0"/>
        <v>0</v>
      </c>
      <c r="N19" s="490">
        <f t="shared" si="0"/>
        <v>0</v>
      </c>
      <c r="O19" s="507">
        <f t="shared" si="0"/>
        <v>0</v>
      </c>
    </row>
    <row r="20" spans="2:20" ht="18" customHeight="1">
      <c r="B20" s="501" t="s">
        <v>134</v>
      </c>
      <c r="C20" s="490"/>
      <c r="D20" s="490">
        <f>(IF('5-Plan de Inversion'!$C$26&lt;=30,(C19),0))+(IF('5-Plan de Inversion'!$C$26&gt;30,((1-(('5-Plan de Inversion'!$C$26-30)/30))*C19),0))</f>
        <v>0</v>
      </c>
      <c r="E20" s="490">
        <f>(IF('5-Plan de Inversion'!$C$26&lt;=30,(D19),0))+(IF('5-Plan de Inversion'!$C$26&gt;30,((1-(('5-Plan de Inversion'!$C$26-30)/30))*D19),0))+(IF('5-Plan de Inversion'!$C$26&gt;30,(((('5-Plan de Inversion'!$C$26-30)/30))*C19),0))</f>
        <v>0</v>
      </c>
      <c r="F20" s="490">
        <f>(IF('5-Plan de Inversion'!$C$26&lt;=30,(E19),0))+(IF('5-Plan de Inversion'!$C$26&gt;30,((1-(('5-Plan de Inversion'!$C$26-30)/30))*E19),0))+(IF('5-Plan de Inversion'!$C$26&gt;30,(((('5-Plan de Inversion'!$C$26-30)/30))*D19),0))</f>
        <v>0</v>
      </c>
      <c r="G20" s="490">
        <f>(IF('5-Plan de Inversion'!$C$26&lt;=30,(F19),0))+(IF('5-Plan de Inversion'!$C$26&gt;30,((1-(('5-Plan de Inversion'!$C$26-30)/30))*F19),0))+(IF('5-Plan de Inversion'!$C$26&gt;30,(((('5-Plan de Inversion'!$C$26-30)/30))*E19),0))</f>
        <v>0</v>
      </c>
      <c r="H20" s="490">
        <f>(IF('5-Plan de Inversion'!$C$26&lt;=30,(G19),0))+(IF('5-Plan de Inversion'!$C$26&gt;30,((1-(('5-Plan de Inversion'!$C$26-30)/30))*G19),0))+(IF('5-Plan de Inversion'!$C$26&gt;30,(((('5-Plan de Inversion'!$C$26-30)/30))*F19),0))</f>
        <v>0</v>
      </c>
      <c r="I20" s="490">
        <f>(IF('5-Plan de Inversion'!$C$26&lt;=30,(H19),0))+(IF('5-Plan de Inversion'!$C$26&gt;30,((1-(('5-Plan de Inversion'!$C$26-30)/30))*H19),0))+(IF('5-Plan de Inversion'!$C$26&gt;30,(((('5-Plan de Inversion'!$C$26-30)/30))*G19),0))</f>
        <v>0</v>
      </c>
      <c r="J20" s="490">
        <f>(IF('5-Plan de Inversion'!$C$26&lt;=30,(I19),0))+(IF('5-Plan de Inversion'!$C$26&gt;30,((1-(('5-Plan de Inversion'!$C$26-30)/30))*I19),0))+(IF('5-Plan de Inversion'!$C$26&gt;30,(((('5-Plan de Inversion'!$C$26-30)/30))*H19),0))</f>
        <v>0</v>
      </c>
      <c r="K20" s="490">
        <f>(IF('5-Plan de Inversion'!$C$26&lt;=30,(J19),0))+(IF('5-Plan de Inversion'!$C$26&gt;30,((1-(('5-Plan de Inversion'!$C$26-30)/30))*J19),0))+(IF('5-Plan de Inversion'!$C$26&gt;30,(((('5-Plan de Inversion'!$C$26-30)/30))*I19),0))</f>
        <v>0</v>
      </c>
      <c r="L20" s="490">
        <f>(IF('5-Plan de Inversion'!$C$26&lt;=30,(K19),0))+(IF('5-Plan de Inversion'!$C$26&gt;30,((1-(('5-Plan de Inversion'!$C$26-30)/30))*K19),0))+(IF('5-Plan de Inversion'!$C$26&gt;30,(((('5-Plan de Inversion'!$C$26-30)/30))*J19),0))</f>
        <v>0</v>
      </c>
      <c r="M20" s="490">
        <f>(IF('5-Plan de Inversion'!$C$26&lt;=30,(L19),0))+(IF('5-Plan de Inversion'!$C$26&gt;30,((1-(('5-Plan de Inversion'!$C$26-30)/30))*L19),0))+(IF('5-Plan de Inversion'!$C$26&gt;30,(((('5-Plan de Inversion'!$C$26-30)/30))*K19),0))</f>
        <v>0</v>
      </c>
      <c r="N20" s="490">
        <f>(IF('5-Plan de Inversion'!$C$26&lt;=30,(M19),0))+(IF('5-Plan de Inversion'!$C$26&gt;30,((1-(('5-Plan de Inversion'!$C$26-30)/30))*M19),0))+(IF('5-Plan de Inversion'!$C$26&gt;30,(((('5-Plan de Inversion'!$C$26-30)/30))*L19),0))</f>
        <v>0</v>
      </c>
      <c r="O20" s="507">
        <f>SUM(C20:N20)</f>
        <v>0</v>
      </c>
    </row>
    <row r="21" spans="2:20" ht="25.5" customHeight="1">
      <c r="B21" s="502" t="s">
        <v>126</v>
      </c>
      <c r="C21" s="491">
        <f>+C18+C20</f>
        <v>9444444.4444444459</v>
      </c>
      <c r="D21" s="491">
        <f t="shared" ref="D21:N21" si="1">+D18+D20</f>
        <v>9444444.4444444459</v>
      </c>
      <c r="E21" s="491">
        <f t="shared" si="1"/>
        <v>9444444.4444444459</v>
      </c>
      <c r="F21" s="491">
        <f t="shared" si="1"/>
        <v>9444444.4444444459</v>
      </c>
      <c r="G21" s="491">
        <f t="shared" si="1"/>
        <v>9444444.4444444459</v>
      </c>
      <c r="H21" s="491">
        <f t="shared" si="1"/>
        <v>9444444.4444444459</v>
      </c>
      <c r="I21" s="491">
        <f t="shared" si="1"/>
        <v>15740740.740740743</v>
      </c>
      <c r="J21" s="491">
        <f t="shared" si="1"/>
        <v>15740740.740740743</v>
      </c>
      <c r="K21" s="491">
        <f t="shared" si="1"/>
        <v>15740740.740740743</v>
      </c>
      <c r="L21" s="491">
        <f t="shared" si="1"/>
        <v>22037037.037037037</v>
      </c>
      <c r="M21" s="491">
        <f t="shared" si="1"/>
        <v>22037037.037037037</v>
      </c>
      <c r="N21" s="491">
        <f t="shared" si="1"/>
        <v>22037037.037037037</v>
      </c>
      <c r="O21" s="509">
        <f>SUM(O18:O20)</f>
        <v>170000000.00000003</v>
      </c>
    </row>
    <row r="22" spans="2:20" s="492" customFormat="1" ht="25.5" customHeight="1">
      <c r="B22" s="500" t="s">
        <v>125</v>
      </c>
      <c r="C22" s="456"/>
      <c r="D22" s="456"/>
      <c r="E22" s="456"/>
      <c r="F22" s="456"/>
      <c r="G22" s="456"/>
      <c r="H22" s="456"/>
      <c r="I22" s="456"/>
      <c r="J22" s="456"/>
      <c r="K22" s="456"/>
      <c r="L22" s="456"/>
      <c r="M22" s="456"/>
      <c r="N22" s="456"/>
      <c r="O22" s="508"/>
    </row>
    <row r="23" spans="2:20" s="492" customFormat="1" ht="25.5" customHeight="1">
      <c r="B23" s="503" t="s">
        <v>128</v>
      </c>
      <c r="C23" s="456"/>
      <c r="D23" s="456"/>
      <c r="E23" s="456"/>
      <c r="F23" s="456"/>
      <c r="G23" s="456"/>
      <c r="H23" s="456"/>
      <c r="I23" s="456"/>
      <c r="J23" s="456"/>
      <c r="K23" s="456"/>
      <c r="L23" s="456"/>
      <c r="M23" s="456"/>
      <c r="N23" s="456"/>
      <c r="O23" s="508"/>
    </row>
    <row r="24" spans="2:20" ht="18" customHeight="1">
      <c r="B24" s="501" t="s">
        <v>135</v>
      </c>
      <c r="C24" s="496">
        <f>SUM(C25:C31)</f>
        <v>3211914.2161768801</v>
      </c>
      <c r="D24" s="496">
        <f t="shared" ref="D24:N24" si="2">SUM(D25:D31)</f>
        <v>3211914.2161768801</v>
      </c>
      <c r="E24" s="496">
        <f t="shared" si="2"/>
        <v>3211914.2161768801</v>
      </c>
      <c r="F24" s="496">
        <f t="shared" si="2"/>
        <v>3211914.2161768801</v>
      </c>
      <c r="G24" s="496">
        <f t="shared" si="2"/>
        <v>3211914.2161768801</v>
      </c>
      <c r="H24" s="496">
        <f t="shared" si="2"/>
        <v>4574158.1005768795</v>
      </c>
      <c r="I24" s="496">
        <f t="shared" si="2"/>
        <v>3211914.2161768801</v>
      </c>
      <c r="J24" s="496">
        <f t="shared" si="2"/>
        <v>3211914.2161768801</v>
      </c>
      <c r="K24" s="496">
        <f t="shared" si="2"/>
        <v>3211914.2161768801</v>
      </c>
      <c r="L24" s="496">
        <f t="shared" si="2"/>
        <v>3211914.2161768801</v>
      </c>
      <c r="M24" s="496">
        <f t="shared" si="2"/>
        <v>3211914.2161768801</v>
      </c>
      <c r="N24" s="496">
        <f t="shared" si="2"/>
        <v>5938037.3317768797</v>
      </c>
      <c r="O24" s="510">
        <f t="shared" ref="O24" si="3">SUM(O25:O31)</f>
        <v>42631337.594122559</v>
      </c>
    </row>
    <row r="25" spans="2:20" ht="18" customHeight="1">
      <c r="B25" s="516" t="s">
        <v>2647</v>
      </c>
      <c r="C25" s="490">
        <f>(+'Salida-2-Pto Costos y Gastos'!$E$23+'Salida-2-Pto Costos y Gastos'!$E$33+'Salida-2-Pto Costos y Gastos'!$E$43)/12</f>
        <v>2725578</v>
      </c>
      <c r="D25" s="490">
        <f>(+'Salida-2-Pto Costos y Gastos'!$E$23+'Salida-2-Pto Costos y Gastos'!$E$33+'Salida-2-Pto Costos y Gastos'!$E$43)/12</f>
        <v>2725578</v>
      </c>
      <c r="E25" s="490">
        <f>(+'Salida-2-Pto Costos y Gastos'!$E$23+'Salida-2-Pto Costos y Gastos'!$E$33+'Salida-2-Pto Costos y Gastos'!$E$43)/12</f>
        <v>2725578</v>
      </c>
      <c r="F25" s="490">
        <f>(+'Salida-2-Pto Costos y Gastos'!$E$23+'Salida-2-Pto Costos y Gastos'!$E$33+'Salida-2-Pto Costos y Gastos'!$E$43)/12</f>
        <v>2725578</v>
      </c>
      <c r="G25" s="490">
        <f>(+'Salida-2-Pto Costos y Gastos'!$E$23+'Salida-2-Pto Costos y Gastos'!$E$33+'Salida-2-Pto Costos y Gastos'!$E$43)/12</f>
        <v>2725578</v>
      </c>
      <c r="H25" s="490">
        <f>(+'Salida-2-Pto Costos y Gastos'!$E$23+'Salida-2-Pto Costos y Gastos'!$E$33+'Salida-2-Pto Costos y Gastos'!$E$43)/12</f>
        <v>2725578</v>
      </c>
      <c r="I25" s="490">
        <f>(+'Salida-2-Pto Costos y Gastos'!$E$23+'Salida-2-Pto Costos y Gastos'!$E$33+'Salida-2-Pto Costos y Gastos'!$E$43)/12</f>
        <v>2725578</v>
      </c>
      <c r="J25" s="490">
        <f>(+'Salida-2-Pto Costos y Gastos'!$E$23+'Salida-2-Pto Costos y Gastos'!$E$33+'Salida-2-Pto Costos y Gastos'!$E$43)/12</f>
        <v>2725578</v>
      </c>
      <c r="K25" s="490">
        <f>(+'Salida-2-Pto Costos y Gastos'!$E$23+'Salida-2-Pto Costos y Gastos'!$E$33+'Salida-2-Pto Costos y Gastos'!$E$43)/12</f>
        <v>2725578</v>
      </c>
      <c r="L25" s="490">
        <f>(+'Salida-2-Pto Costos y Gastos'!$E$23+'Salida-2-Pto Costos y Gastos'!$E$33+'Salida-2-Pto Costos y Gastos'!$E$43)/12</f>
        <v>2725578</v>
      </c>
      <c r="M25" s="490">
        <f>(+'Salida-2-Pto Costos y Gastos'!$E$23+'Salida-2-Pto Costos y Gastos'!$E$33+'Salida-2-Pto Costos y Gastos'!$E$43)/12</f>
        <v>2725578</v>
      </c>
      <c r="N25" s="490">
        <f>(+'Salida-2-Pto Costos y Gastos'!$E$23+'Salida-2-Pto Costos y Gastos'!$E$33+'Salida-2-Pto Costos y Gastos'!$E$43)/12</f>
        <v>2725578</v>
      </c>
      <c r="O25" s="507">
        <f>SUM(C25:N25)</f>
        <v>32706936</v>
      </c>
      <c r="T25" s="28"/>
    </row>
    <row r="26" spans="2:20" ht="18" customHeight="1">
      <c r="B26" s="516" t="s">
        <v>136</v>
      </c>
      <c r="C26" s="490">
        <f>(+'Salida-2-Pto Costos y Gastos'!$E$24+'Salida-2-Pto Costos y Gastos'!$E$34+'Salida-2-Pto Costos y Gastos'!$E$44)/12</f>
        <v>109023.12</v>
      </c>
      <c r="D26" s="490">
        <f>(+'Salida-2-Pto Costos y Gastos'!$E$24+'Salida-2-Pto Costos y Gastos'!$E$34+'Salida-2-Pto Costos y Gastos'!$E$44)/12</f>
        <v>109023.12</v>
      </c>
      <c r="E26" s="490">
        <f>(+'Salida-2-Pto Costos y Gastos'!$E$24+'Salida-2-Pto Costos y Gastos'!$E$34+'Salida-2-Pto Costos y Gastos'!$E$44)/12</f>
        <v>109023.12</v>
      </c>
      <c r="F26" s="490">
        <f>(+'Salida-2-Pto Costos y Gastos'!$E$24+'Salida-2-Pto Costos y Gastos'!$E$34+'Salida-2-Pto Costos y Gastos'!$E$44)/12</f>
        <v>109023.12</v>
      </c>
      <c r="G26" s="490">
        <f>(+'Salida-2-Pto Costos y Gastos'!$E$24+'Salida-2-Pto Costos y Gastos'!$E$34+'Salida-2-Pto Costos y Gastos'!$E$44)/12</f>
        <v>109023.12</v>
      </c>
      <c r="H26" s="490">
        <f>(+'Salida-2-Pto Costos y Gastos'!$E$24+'Salida-2-Pto Costos y Gastos'!$E$34+'Salida-2-Pto Costos y Gastos'!$E$44)/12</f>
        <v>109023.12</v>
      </c>
      <c r="I26" s="490">
        <f>(+'Salida-2-Pto Costos y Gastos'!$E$24+'Salida-2-Pto Costos y Gastos'!$E$34+'Salida-2-Pto Costos y Gastos'!$E$44)/12</f>
        <v>109023.12</v>
      </c>
      <c r="J26" s="490">
        <f>(+'Salida-2-Pto Costos y Gastos'!$E$24+'Salida-2-Pto Costos y Gastos'!$E$34+'Salida-2-Pto Costos y Gastos'!$E$44)/12</f>
        <v>109023.12</v>
      </c>
      <c r="K26" s="490">
        <f>(+'Salida-2-Pto Costos y Gastos'!$E$24+'Salida-2-Pto Costos y Gastos'!$E$34+'Salida-2-Pto Costos y Gastos'!$E$44)/12</f>
        <v>109023.12</v>
      </c>
      <c r="L26" s="490">
        <f>(+'Salida-2-Pto Costos y Gastos'!$E$24+'Salida-2-Pto Costos y Gastos'!$E$34+'Salida-2-Pto Costos y Gastos'!$E$44)/12</f>
        <v>109023.12</v>
      </c>
      <c r="M26" s="490">
        <f>(+'Salida-2-Pto Costos y Gastos'!$E$24+'Salida-2-Pto Costos y Gastos'!$E$34+'Salida-2-Pto Costos y Gastos'!$E$44)/12</f>
        <v>109023.12</v>
      </c>
      <c r="N26" s="490">
        <f>(+'Salida-2-Pto Costos y Gastos'!$E$24+'Salida-2-Pto Costos y Gastos'!$E$34+'Salida-2-Pto Costos y Gastos'!$E$44)/12</f>
        <v>109023.12</v>
      </c>
      <c r="O26" s="507">
        <f t="shared" ref="O26:O41" si="4">SUM(C26:N26)</f>
        <v>1308277.44</v>
      </c>
    </row>
    <row r="27" spans="2:20" ht="18" customHeight="1">
      <c r="B27" s="516" t="s">
        <v>137</v>
      </c>
      <c r="C27" s="490">
        <f>((+'Salida-2-Pto Costos y Gastos'!$E$25+'Salida-2-Pto Costos y Gastos'!$E$35+'Salida-2-Pto Costos y Gastos'!$E$45)/12)+(+'Salida-2-Pto Costos y Gastos'!$E$26+'Salida-2-Pto Costos y Gastos'!$E$36+'Salida-2-Pto Costos y Gastos'!$E$46)/12</f>
        <v>227313.09617687998</v>
      </c>
      <c r="D27" s="490">
        <f>((+'Salida-2-Pto Costos y Gastos'!$E$25+'Salida-2-Pto Costos y Gastos'!$E$35+'Salida-2-Pto Costos y Gastos'!$E$45)/12)+(+'Salida-2-Pto Costos y Gastos'!$E$26+'Salida-2-Pto Costos y Gastos'!$E$36+'Salida-2-Pto Costos y Gastos'!$E$46)/12</f>
        <v>227313.09617687998</v>
      </c>
      <c r="E27" s="490">
        <f>((+'Salida-2-Pto Costos y Gastos'!$E$25+'Salida-2-Pto Costos y Gastos'!$E$35+'Salida-2-Pto Costos y Gastos'!$E$45)/12)+(+'Salida-2-Pto Costos y Gastos'!$E$26+'Salida-2-Pto Costos y Gastos'!$E$36+'Salida-2-Pto Costos y Gastos'!$E$46)/12</f>
        <v>227313.09617687998</v>
      </c>
      <c r="F27" s="490">
        <f>((+'Salida-2-Pto Costos y Gastos'!$E$25+'Salida-2-Pto Costos y Gastos'!$E$35+'Salida-2-Pto Costos y Gastos'!$E$45)/12)+(+'Salida-2-Pto Costos y Gastos'!$E$26+'Salida-2-Pto Costos y Gastos'!$E$36+'Salida-2-Pto Costos y Gastos'!$E$46)/12</f>
        <v>227313.09617687998</v>
      </c>
      <c r="G27" s="490">
        <f>((+'Salida-2-Pto Costos y Gastos'!$E$25+'Salida-2-Pto Costos y Gastos'!$E$35+'Salida-2-Pto Costos y Gastos'!$E$45)/12)+(+'Salida-2-Pto Costos y Gastos'!$E$26+'Salida-2-Pto Costos y Gastos'!$E$36+'Salida-2-Pto Costos y Gastos'!$E$46)/12</f>
        <v>227313.09617687998</v>
      </c>
      <c r="H27" s="490">
        <f>((+'Salida-2-Pto Costos y Gastos'!$E$25+'Salida-2-Pto Costos y Gastos'!$E$35+'Salida-2-Pto Costos y Gastos'!$E$45)/12)+(+'Salida-2-Pto Costos y Gastos'!$E$26+'Salida-2-Pto Costos y Gastos'!$E$36+'Salida-2-Pto Costos y Gastos'!$E$46)/12</f>
        <v>227313.09617687998</v>
      </c>
      <c r="I27" s="490">
        <f>((+'Salida-2-Pto Costos y Gastos'!$E$25+'Salida-2-Pto Costos y Gastos'!$E$35+'Salida-2-Pto Costos y Gastos'!$E$45)/12)+(+'Salida-2-Pto Costos y Gastos'!$E$26+'Salida-2-Pto Costos y Gastos'!$E$36+'Salida-2-Pto Costos y Gastos'!$E$46)/12</f>
        <v>227313.09617687998</v>
      </c>
      <c r="J27" s="490">
        <f>((+'Salida-2-Pto Costos y Gastos'!$E$25+'Salida-2-Pto Costos y Gastos'!$E$35+'Salida-2-Pto Costos y Gastos'!$E$45)/12)+(+'Salida-2-Pto Costos y Gastos'!$E$26+'Salida-2-Pto Costos y Gastos'!$E$36+'Salida-2-Pto Costos y Gastos'!$E$46)/12</f>
        <v>227313.09617687998</v>
      </c>
      <c r="K27" s="490">
        <f>((+'Salida-2-Pto Costos y Gastos'!$E$25+'Salida-2-Pto Costos y Gastos'!$E$35+'Salida-2-Pto Costos y Gastos'!$E$45)/12)+(+'Salida-2-Pto Costos y Gastos'!$E$26+'Salida-2-Pto Costos y Gastos'!$E$36+'Salida-2-Pto Costos y Gastos'!$E$46)/12</f>
        <v>227313.09617687998</v>
      </c>
      <c r="L27" s="490">
        <f>((+'Salida-2-Pto Costos y Gastos'!$E$25+'Salida-2-Pto Costos y Gastos'!$E$35+'Salida-2-Pto Costos y Gastos'!$E$45)/12)+(+'Salida-2-Pto Costos y Gastos'!$E$26+'Salida-2-Pto Costos y Gastos'!$E$36+'Salida-2-Pto Costos y Gastos'!$E$46)/12</f>
        <v>227313.09617687998</v>
      </c>
      <c r="M27" s="490">
        <f>((+'Salida-2-Pto Costos y Gastos'!$E$25+'Salida-2-Pto Costos y Gastos'!$E$35+'Salida-2-Pto Costos y Gastos'!$E$45)/12)+(+'Salida-2-Pto Costos y Gastos'!$E$26+'Salida-2-Pto Costos y Gastos'!$E$36+'Salida-2-Pto Costos y Gastos'!$E$46)/12</f>
        <v>227313.09617687998</v>
      </c>
      <c r="N27" s="490">
        <f>((+'Salida-2-Pto Costos y Gastos'!$E$25+'Salida-2-Pto Costos y Gastos'!$E$35+'Salida-2-Pto Costos y Gastos'!$E$45)/12)+(+'Salida-2-Pto Costos y Gastos'!$E$26+'Salida-2-Pto Costos y Gastos'!$E$36+'Salida-2-Pto Costos y Gastos'!$E$46)/12</f>
        <v>227313.09617687998</v>
      </c>
      <c r="O27" s="507">
        <f t="shared" si="4"/>
        <v>2727757.1541225598</v>
      </c>
    </row>
    <row r="28" spans="2:20" ht="18" customHeight="1">
      <c r="B28" s="516" t="s">
        <v>138</v>
      </c>
      <c r="C28" s="450">
        <v>0</v>
      </c>
      <c r="D28" s="450">
        <v>0</v>
      </c>
      <c r="E28" s="450">
        <v>0</v>
      </c>
      <c r="F28" s="450"/>
      <c r="G28" s="450"/>
      <c r="H28" s="490">
        <f>(+'Salida-2-Pto Costos y Gastos'!$E$27+'Salida-2-Pto Costos y Gastos'!$E$37+'Salida-2-Pto Costos y Gastos'!$E$47)/2</f>
        <v>1362243.8843999999</v>
      </c>
      <c r="I28" s="450">
        <v>0</v>
      </c>
      <c r="J28" s="450">
        <v>0</v>
      </c>
      <c r="K28" s="450">
        <v>0</v>
      </c>
      <c r="L28" s="450">
        <v>0</v>
      </c>
      <c r="M28" s="450">
        <v>0</v>
      </c>
      <c r="N28" s="490">
        <f>(+'Salida-2-Pto Costos y Gastos'!$E$27+'Salida-2-Pto Costos y Gastos'!$E$37+'Salida-2-Pto Costos y Gastos'!$E$47)/2</f>
        <v>1362243.8843999999</v>
      </c>
      <c r="O28" s="507">
        <f t="shared" si="4"/>
        <v>2724487.7687999997</v>
      </c>
    </row>
    <row r="29" spans="2:20" ht="18" customHeight="1">
      <c r="B29" s="516" t="s">
        <v>139</v>
      </c>
      <c r="C29" s="450">
        <v>0</v>
      </c>
      <c r="D29" s="450">
        <v>0</v>
      </c>
      <c r="E29" s="450">
        <v>0</v>
      </c>
      <c r="F29" s="450">
        <v>0</v>
      </c>
      <c r="G29" s="450">
        <v>0</v>
      </c>
      <c r="H29" s="450">
        <v>0</v>
      </c>
      <c r="I29" s="450">
        <v>0</v>
      </c>
      <c r="J29" s="450">
        <v>0</v>
      </c>
      <c r="K29" s="450">
        <v>0</v>
      </c>
      <c r="L29" s="450">
        <v>0</v>
      </c>
      <c r="M29" s="450">
        <v>0</v>
      </c>
      <c r="N29" s="490">
        <f>+'Salida-2-Pto Costos y Gastos'!E28+'Salida-2-Pto Costos y Gastos'!E38+'Salida-2-Pto Costos y Gastos'!E48</f>
        <v>1363879.2312</v>
      </c>
      <c r="O29" s="507">
        <f t="shared" si="4"/>
        <v>1363879.2312</v>
      </c>
    </row>
    <row r="30" spans="2:20" ht="18" customHeight="1">
      <c r="B30" s="516" t="s">
        <v>140</v>
      </c>
      <c r="C30" s="490">
        <f>+'4-Pto de Costos y Gastos'!$C$63+'4-Pto de Costos y Gastos'!$F$63+'4-Pto de Costos y Gastos'!$I$63</f>
        <v>150000</v>
      </c>
      <c r="D30" s="490">
        <f>+'4-Pto de Costos y Gastos'!$C$63+'4-Pto de Costos y Gastos'!$F$63+'4-Pto de Costos y Gastos'!$I$63</f>
        <v>150000</v>
      </c>
      <c r="E30" s="490">
        <f>+'4-Pto de Costos y Gastos'!$C$63+'4-Pto de Costos y Gastos'!$F$63+'4-Pto de Costos y Gastos'!$I$63</f>
        <v>150000</v>
      </c>
      <c r="F30" s="490">
        <f>+'4-Pto de Costos y Gastos'!$C$63+'4-Pto de Costos y Gastos'!$F$63+'4-Pto de Costos y Gastos'!$I$63</f>
        <v>150000</v>
      </c>
      <c r="G30" s="490">
        <f>+'4-Pto de Costos y Gastos'!$C$63+'4-Pto de Costos y Gastos'!$F$63+'4-Pto de Costos y Gastos'!$I$63</f>
        <v>150000</v>
      </c>
      <c r="H30" s="490">
        <f>+'4-Pto de Costos y Gastos'!$C$63+'4-Pto de Costos y Gastos'!$F$63+'4-Pto de Costos y Gastos'!$I$63</f>
        <v>150000</v>
      </c>
      <c r="I30" s="490">
        <f>+'4-Pto de Costos y Gastos'!$C$63+'4-Pto de Costos y Gastos'!$F$63+'4-Pto de Costos y Gastos'!$I$63</f>
        <v>150000</v>
      </c>
      <c r="J30" s="490">
        <f>+'4-Pto de Costos y Gastos'!$C$63+'4-Pto de Costos y Gastos'!$F$63+'4-Pto de Costos y Gastos'!$I$63</f>
        <v>150000</v>
      </c>
      <c r="K30" s="490">
        <f>+'4-Pto de Costos y Gastos'!$C$63+'4-Pto de Costos y Gastos'!$F$63+'4-Pto de Costos y Gastos'!$I$63</f>
        <v>150000</v>
      </c>
      <c r="L30" s="490">
        <f>+'4-Pto de Costos y Gastos'!$C$63+'4-Pto de Costos y Gastos'!$F$63+'4-Pto de Costos y Gastos'!$I$63</f>
        <v>150000</v>
      </c>
      <c r="M30" s="490">
        <f>+'4-Pto de Costos y Gastos'!$C$63+'4-Pto de Costos y Gastos'!$F$63+'4-Pto de Costos y Gastos'!$I$63</f>
        <v>150000</v>
      </c>
      <c r="N30" s="490">
        <f>+'4-Pto de Costos y Gastos'!$C$63+'4-Pto de Costos y Gastos'!$F$63+'4-Pto de Costos y Gastos'!$I$63</f>
        <v>150000</v>
      </c>
      <c r="O30" s="507">
        <f t="shared" si="4"/>
        <v>1800000</v>
      </c>
    </row>
    <row r="31" spans="2:20" ht="18" customHeight="1">
      <c r="B31" s="516" t="s">
        <v>141</v>
      </c>
      <c r="C31" s="490">
        <f>+'4-Pto de Costos y Gastos'!$C$65</f>
        <v>0</v>
      </c>
      <c r="D31" s="490">
        <f>+'4-Pto de Costos y Gastos'!$C$65</f>
        <v>0</v>
      </c>
      <c r="E31" s="490">
        <f>+'4-Pto de Costos y Gastos'!$C$65</f>
        <v>0</v>
      </c>
      <c r="F31" s="490">
        <f>+'4-Pto de Costos y Gastos'!$C$65</f>
        <v>0</v>
      </c>
      <c r="G31" s="490">
        <f>+'4-Pto de Costos y Gastos'!$C$65</f>
        <v>0</v>
      </c>
      <c r="H31" s="490">
        <f>+'4-Pto de Costos y Gastos'!$C$65</f>
        <v>0</v>
      </c>
      <c r="I31" s="490">
        <f>+'4-Pto de Costos y Gastos'!$C$65</f>
        <v>0</v>
      </c>
      <c r="J31" s="490">
        <f>+'4-Pto de Costos y Gastos'!$C$65</f>
        <v>0</v>
      </c>
      <c r="K31" s="490">
        <f>+'4-Pto de Costos y Gastos'!$C$65</f>
        <v>0</v>
      </c>
      <c r="L31" s="490">
        <f>+'4-Pto de Costos y Gastos'!$C$65</f>
        <v>0</v>
      </c>
      <c r="M31" s="490">
        <f>+'4-Pto de Costos y Gastos'!$C$65</f>
        <v>0</v>
      </c>
      <c r="N31" s="490">
        <f>+'4-Pto de Costos y Gastos'!$C$65</f>
        <v>0</v>
      </c>
      <c r="O31" s="507">
        <f t="shared" si="4"/>
        <v>0</v>
      </c>
    </row>
    <row r="32" spans="2:20" ht="18" customHeight="1">
      <c r="B32" s="501" t="s">
        <v>142</v>
      </c>
      <c r="C32" s="490">
        <f>+'4-Pto de Costos y Gastos'!$C$57+'4-Pto de Costos y Gastos'!$I$57</f>
        <v>350000</v>
      </c>
      <c r="D32" s="490">
        <f>+'4-Pto de Costos y Gastos'!$C$57+'4-Pto de Costos y Gastos'!$I$57</f>
        <v>350000</v>
      </c>
      <c r="E32" s="490">
        <f>+'4-Pto de Costos y Gastos'!$C$57+'4-Pto de Costos y Gastos'!$I$57</f>
        <v>350000</v>
      </c>
      <c r="F32" s="490">
        <f>+'4-Pto de Costos y Gastos'!$C$57+'4-Pto de Costos y Gastos'!$I$57</f>
        <v>350000</v>
      </c>
      <c r="G32" s="490">
        <f>+'4-Pto de Costos y Gastos'!$C$57+'4-Pto de Costos y Gastos'!$I$57</f>
        <v>350000</v>
      </c>
      <c r="H32" s="490">
        <f>+'4-Pto de Costos y Gastos'!$C$57+'4-Pto de Costos y Gastos'!$I$57</f>
        <v>350000</v>
      </c>
      <c r="I32" s="490">
        <f>+'4-Pto de Costos y Gastos'!$C$57+'4-Pto de Costos y Gastos'!$I$57</f>
        <v>350000</v>
      </c>
      <c r="J32" s="490">
        <f>+'4-Pto de Costos y Gastos'!$C$57+'4-Pto de Costos y Gastos'!$I$57</f>
        <v>350000</v>
      </c>
      <c r="K32" s="490">
        <f>+'4-Pto de Costos y Gastos'!$C$57+'4-Pto de Costos y Gastos'!$I$57</f>
        <v>350000</v>
      </c>
      <c r="L32" s="490">
        <f>+'4-Pto de Costos y Gastos'!$C$57+'4-Pto de Costos y Gastos'!$I$57</f>
        <v>350000</v>
      </c>
      <c r="M32" s="490">
        <f>+'4-Pto de Costos y Gastos'!$C$57+'4-Pto de Costos y Gastos'!$I$57</f>
        <v>350000</v>
      </c>
      <c r="N32" s="490">
        <f>+'4-Pto de Costos y Gastos'!$C$57+'4-Pto de Costos y Gastos'!$I$57</f>
        <v>350000</v>
      </c>
      <c r="O32" s="507">
        <f t="shared" si="4"/>
        <v>4200000</v>
      </c>
    </row>
    <row r="33" spans="2:18" ht="18" customHeight="1">
      <c r="B33" s="501" t="s">
        <v>143</v>
      </c>
      <c r="C33" s="496">
        <f>SUM(C34:C36)</f>
        <v>260000</v>
      </c>
      <c r="D33" s="496">
        <f t="shared" ref="D33:N33" si="5">SUM(D34:D36)</f>
        <v>260000</v>
      </c>
      <c r="E33" s="496">
        <f t="shared" si="5"/>
        <v>260000</v>
      </c>
      <c r="F33" s="496">
        <f t="shared" si="5"/>
        <v>260000</v>
      </c>
      <c r="G33" s="496">
        <f t="shared" si="5"/>
        <v>260000</v>
      </c>
      <c r="H33" s="496">
        <f t="shared" si="5"/>
        <v>260000</v>
      </c>
      <c r="I33" s="496">
        <f t="shared" si="5"/>
        <v>260000</v>
      </c>
      <c r="J33" s="496">
        <f t="shared" si="5"/>
        <v>260000</v>
      </c>
      <c r="K33" s="496">
        <f t="shared" si="5"/>
        <v>260000</v>
      </c>
      <c r="L33" s="496">
        <f t="shared" si="5"/>
        <v>260000</v>
      </c>
      <c r="M33" s="496">
        <f t="shared" si="5"/>
        <v>260000</v>
      </c>
      <c r="N33" s="496">
        <f t="shared" si="5"/>
        <v>260000</v>
      </c>
      <c r="O33" s="510">
        <f t="shared" ref="O33" si="6">SUM(O34:O36)</f>
        <v>3120000</v>
      </c>
    </row>
    <row r="34" spans="2:18" ht="18" customHeight="1">
      <c r="B34" s="516" t="s">
        <v>144</v>
      </c>
      <c r="C34" s="490">
        <f>+'4-Pto de Costos y Gastos'!$C$58+'4-Pto de Costos y Gastos'!$F$58+'4-Pto de Costos y Gastos'!$I$58</f>
        <v>50000</v>
      </c>
      <c r="D34" s="490">
        <f>+'4-Pto de Costos y Gastos'!$C$58+'4-Pto de Costos y Gastos'!$F$58+'4-Pto de Costos y Gastos'!$I$58</f>
        <v>50000</v>
      </c>
      <c r="E34" s="490">
        <f>+'4-Pto de Costos y Gastos'!$C$58+'4-Pto de Costos y Gastos'!$F$58+'4-Pto de Costos y Gastos'!$I$58</f>
        <v>50000</v>
      </c>
      <c r="F34" s="490">
        <f>+'4-Pto de Costos y Gastos'!$C$58+'4-Pto de Costos y Gastos'!$F$58+'4-Pto de Costos y Gastos'!$I$58</f>
        <v>50000</v>
      </c>
      <c r="G34" s="490">
        <f>+'4-Pto de Costos y Gastos'!$C$58+'4-Pto de Costos y Gastos'!$F$58+'4-Pto de Costos y Gastos'!$I$58</f>
        <v>50000</v>
      </c>
      <c r="H34" s="490">
        <f>+'4-Pto de Costos y Gastos'!$C$58+'4-Pto de Costos y Gastos'!$F$58+'4-Pto de Costos y Gastos'!$I$58</f>
        <v>50000</v>
      </c>
      <c r="I34" s="490">
        <f>+'4-Pto de Costos y Gastos'!$C$58+'4-Pto de Costos y Gastos'!$F$58+'4-Pto de Costos y Gastos'!$I$58</f>
        <v>50000</v>
      </c>
      <c r="J34" s="490">
        <f>+'4-Pto de Costos y Gastos'!$C$58+'4-Pto de Costos y Gastos'!$F$58+'4-Pto de Costos y Gastos'!$I$58</f>
        <v>50000</v>
      </c>
      <c r="K34" s="490">
        <f>+'4-Pto de Costos y Gastos'!$C$58+'4-Pto de Costos y Gastos'!$F$58+'4-Pto de Costos y Gastos'!$I$58</f>
        <v>50000</v>
      </c>
      <c r="L34" s="490">
        <f>+'4-Pto de Costos y Gastos'!$C$58+'4-Pto de Costos y Gastos'!$F$58+'4-Pto de Costos y Gastos'!$I$58</f>
        <v>50000</v>
      </c>
      <c r="M34" s="490">
        <f>+'4-Pto de Costos y Gastos'!$C$58+'4-Pto de Costos y Gastos'!$F$58+'4-Pto de Costos y Gastos'!$I$58</f>
        <v>50000</v>
      </c>
      <c r="N34" s="490">
        <f>+'4-Pto de Costos y Gastos'!$C$58+'4-Pto de Costos y Gastos'!$F$58+'4-Pto de Costos y Gastos'!$I$58</f>
        <v>50000</v>
      </c>
      <c r="O34" s="507">
        <f t="shared" si="4"/>
        <v>600000</v>
      </c>
    </row>
    <row r="35" spans="2:18" ht="18" customHeight="1">
      <c r="B35" s="516" t="s">
        <v>145</v>
      </c>
      <c r="C35" s="490">
        <f>+'4-Pto de Costos y Gastos'!$C$59+'4-Pto de Costos y Gastos'!$F$59+'4-Pto de Costos y Gastos'!$I$59</f>
        <v>30000</v>
      </c>
      <c r="D35" s="490">
        <f>+'4-Pto de Costos y Gastos'!$C$59+'4-Pto de Costos y Gastos'!$F$59+'4-Pto de Costos y Gastos'!$I$59</f>
        <v>30000</v>
      </c>
      <c r="E35" s="490">
        <f>+'4-Pto de Costos y Gastos'!$C$59+'4-Pto de Costos y Gastos'!$F$59+'4-Pto de Costos y Gastos'!$I$59</f>
        <v>30000</v>
      </c>
      <c r="F35" s="490">
        <f>+'4-Pto de Costos y Gastos'!$C$59+'4-Pto de Costos y Gastos'!$F$59+'4-Pto de Costos y Gastos'!$I$59</f>
        <v>30000</v>
      </c>
      <c r="G35" s="490">
        <f>+'4-Pto de Costos y Gastos'!$C$59+'4-Pto de Costos y Gastos'!$F$59+'4-Pto de Costos y Gastos'!$I$59</f>
        <v>30000</v>
      </c>
      <c r="H35" s="490">
        <f>+'4-Pto de Costos y Gastos'!$C$59+'4-Pto de Costos y Gastos'!$F$59+'4-Pto de Costos y Gastos'!$I$59</f>
        <v>30000</v>
      </c>
      <c r="I35" s="490">
        <f>+'4-Pto de Costos y Gastos'!$C$59+'4-Pto de Costos y Gastos'!$F$59+'4-Pto de Costos y Gastos'!$I$59</f>
        <v>30000</v>
      </c>
      <c r="J35" s="490">
        <f>+'4-Pto de Costos y Gastos'!$C$59+'4-Pto de Costos y Gastos'!$F$59+'4-Pto de Costos y Gastos'!$I$59</f>
        <v>30000</v>
      </c>
      <c r="K35" s="490">
        <f>+'4-Pto de Costos y Gastos'!$C$59+'4-Pto de Costos y Gastos'!$F$59+'4-Pto de Costos y Gastos'!$I$59</f>
        <v>30000</v>
      </c>
      <c r="L35" s="490">
        <f>+'4-Pto de Costos y Gastos'!$C$59+'4-Pto de Costos y Gastos'!$F$59+'4-Pto de Costos y Gastos'!$I$59</f>
        <v>30000</v>
      </c>
      <c r="M35" s="490">
        <f>+'4-Pto de Costos y Gastos'!$C$59+'4-Pto de Costos y Gastos'!$F$59+'4-Pto de Costos y Gastos'!$I$59</f>
        <v>30000</v>
      </c>
      <c r="N35" s="490">
        <f>+'4-Pto de Costos y Gastos'!$C$59+'4-Pto de Costos y Gastos'!$F$59+'4-Pto de Costos y Gastos'!$I$59</f>
        <v>30000</v>
      </c>
      <c r="O35" s="507">
        <f t="shared" si="4"/>
        <v>360000</v>
      </c>
    </row>
    <row r="36" spans="2:18" ht="18" customHeight="1">
      <c r="B36" s="516" t="s">
        <v>146</v>
      </c>
      <c r="C36" s="490">
        <f>+'4-Pto de Costos y Gastos'!$C$60+'4-Pto de Costos y Gastos'!$F$60+'4-Pto de Costos y Gastos'!$I$60</f>
        <v>180000</v>
      </c>
      <c r="D36" s="490">
        <f>+'4-Pto de Costos y Gastos'!$C$60+'4-Pto de Costos y Gastos'!$F$60+'4-Pto de Costos y Gastos'!$I$60</f>
        <v>180000</v>
      </c>
      <c r="E36" s="490">
        <f>+'4-Pto de Costos y Gastos'!$C$60+'4-Pto de Costos y Gastos'!$F$60+'4-Pto de Costos y Gastos'!$I$60</f>
        <v>180000</v>
      </c>
      <c r="F36" s="490">
        <f>+'4-Pto de Costos y Gastos'!$C$60+'4-Pto de Costos y Gastos'!$F$60+'4-Pto de Costos y Gastos'!$I$60</f>
        <v>180000</v>
      </c>
      <c r="G36" s="490">
        <f>+'4-Pto de Costos y Gastos'!$C$60+'4-Pto de Costos y Gastos'!$F$60+'4-Pto de Costos y Gastos'!$I$60</f>
        <v>180000</v>
      </c>
      <c r="H36" s="490">
        <f>+'4-Pto de Costos y Gastos'!$C$60+'4-Pto de Costos y Gastos'!$F$60+'4-Pto de Costos y Gastos'!$I$60</f>
        <v>180000</v>
      </c>
      <c r="I36" s="490">
        <f>+'4-Pto de Costos y Gastos'!$C$60+'4-Pto de Costos y Gastos'!$F$60+'4-Pto de Costos y Gastos'!$I$60</f>
        <v>180000</v>
      </c>
      <c r="J36" s="490">
        <f>+'4-Pto de Costos y Gastos'!$C$60+'4-Pto de Costos y Gastos'!$F$60+'4-Pto de Costos y Gastos'!$I$60</f>
        <v>180000</v>
      </c>
      <c r="K36" s="490">
        <f>+'4-Pto de Costos y Gastos'!$C$60+'4-Pto de Costos y Gastos'!$F$60+'4-Pto de Costos y Gastos'!$I$60</f>
        <v>180000</v>
      </c>
      <c r="L36" s="490">
        <f>+'4-Pto de Costos y Gastos'!$C$60+'4-Pto de Costos y Gastos'!$F$60+'4-Pto de Costos y Gastos'!$I$60</f>
        <v>180000</v>
      </c>
      <c r="M36" s="490">
        <f>+'4-Pto de Costos y Gastos'!$C$60+'4-Pto de Costos y Gastos'!$F$60+'4-Pto de Costos y Gastos'!$I$60</f>
        <v>180000</v>
      </c>
      <c r="N36" s="490">
        <f>+'4-Pto de Costos y Gastos'!$C$60+'4-Pto de Costos y Gastos'!$F$60+'4-Pto de Costos y Gastos'!$I$60</f>
        <v>180000</v>
      </c>
      <c r="O36" s="507">
        <f t="shared" si="4"/>
        <v>2160000</v>
      </c>
    </row>
    <row r="37" spans="2:18" ht="18" customHeight="1">
      <c r="B37" s="501" t="s">
        <v>147</v>
      </c>
      <c r="C37" s="490">
        <f>+'4-Pto de Costos y Gastos'!$C$62</f>
        <v>2000</v>
      </c>
      <c r="D37" s="490">
        <f>+'4-Pto de Costos y Gastos'!$C$62</f>
        <v>2000</v>
      </c>
      <c r="E37" s="490">
        <f>+'4-Pto de Costos y Gastos'!$C$62</f>
        <v>2000</v>
      </c>
      <c r="F37" s="490">
        <f>+'4-Pto de Costos y Gastos'!$C$62</f>
        <v>2000</v>
      </c>
      <c r="G37" s="490">
        <f>+'4-Pto de Costos y Gastos'!$C$62</f>
        <v>2000</v>
      </c>
      <c r="H37" s="490">
        <f>+'4-Pto de Costos y Gastos'!$C$62</f>
        <v>2000</v>
      </c>
      <c r="I37" s="490">
        <f>+'4-Pto de Costos y Gastos'!$C$62</f>
        <v>2000</v>
      </c>
      <c r="J37" s="490">
        <f>+'4-Pto de Costos y Gastos'!$C$62</f>
        <v>2000</v>
      </c>
      <c r="K37" s="490">
        <f>+'4-Pto de Costos y Gastos'!$C$62</f>
        <v>2000</v>
      </c>
      <c r="L37" s="490">
        <f>+'4-Pto de Costos y Gastos'!$C$62</f>
        <v>2000</v>
      </c>
      <c r="M37" s="490">
        <f>+'4-Pto de Costos y Gastos'!$C$62</f>
        <v>2000</v>
      </c>
      <c r="N37" s="490">
        <f>+'4-Pto de Costos y Gastos'!$C$62</f>
        <v>2000</v>
      </c>
      <c r="O37" s="507">
        <f t="shared" si="4"/>
        <v>24000</v>
      </c>
    </row>
    <row r="38" spans="2:18" ht="18" customHeight="1">
      <c r="B38" s="501" t="s">
        <v>148</v>
      </c>
      <c r="C38" s="490">
        <f>+'4-Pto de Costos y Gastos'!$I$62</f>
        <v>0</v>
      </c>
      <c r="D38" s="490">
        <f>+'4-Pto de Costos y Gastos'!$I$62</f>
        <v>0</v>
      </c>
      <c r="E38" s="490">
        <f>+'4-Pto de Costos y Gastos'!$I$62</f>
        <v>0</v>
      </c>
      <c r="F38" s="490">
        <f>+'4-Pto de Costos y Gastos'!$I$62</f>
        <v>0</v>
      </c>
      <c r="G38" s="490">
        <f>+'4-Pto de Costos y Gastos'!$I$62</f>
        <v>0</v>
      </c>
      <c r="H38" s="490">
        <f>+'4-Pto de Costos y Gastos'!$I$62</f>
        <v>0</v>
      </c>
      <c r="I38" s="490">
        <f>+'4-Pto de Costos y Gastos'!$I$62</f>
        <v>0</v>
      </c>
      <c r="J38" s="490">
        <f>+'4-Pto de Costos y Gastos'!$I$62</f>
        <v>0</v>
      </c>
      <c r="K38" s="490">
        <f>+'4-Pto de Costos y Gastos'!$I$62</f>
        <v>0</v>
      </c>
      <c r="L38" s="490">
        <f>+'4-Pto de Costos y Gastos'!$I$62</f>
        <v>0</v>
      </c>
      <c r="M38" s="490">
        <f>+'4-Pto de Costos y Gastos'!$I$62</f>
        <v>0</v>
      </c>
      <c r="N38" s="490">
        <f>+'4-Pto de Costos y Gastos'!$I$62</f>
        <v>0</v>
      </c>
      <c r="O38" s="507">
        <f t="shared" si="4"/>
        <v>0</v>
      </c>
    </row>
    <row r="39" spans="2:18" ht="18" customHeight="1">
      <c r="B39" s="501" t="s">
        <v>149</v>
      </c>
      <c r="C39" s="490">
        <f>+'4-Pto de Costos y Gastos'!$C$64+'4-Pto de Costos y Gastos'!$I$64</f>
        <v>60000</v>
      </c>
      <c r="D39" s="490">
        <f>+'4-Pto de Costos y Gastos'!$C$64+'4-Pto de Costos y Gastos'!$I$64</f>
        <v>60000</v>
      </c>
      <c r="E39" s="490">
        <f>+'4-Pto de Costos y Gastos'!$C$64+'4-Pto de Costos y Gastos'!$I$64</f>
        <v>60000</v>
      </c>
      <c r="F39" s="490">
        <f>+'4-Pto de Costos y Gastos'!$C$64+'4-Pto de Costos y Gastos'!$I$64</f>
        <v>60000</v>
      </c>
      <c r="G39" s="490">
        <f>+'4-Pto de Costos y Gastos'!$C$64+'4-Pto de Costos y Gastos'!$I$64</f>
        <v>60000</v>
      </c>
      <c r="H39" s="490">
        <f>+'4-Pto de Costos y Gastos'!$C$64+'4-Pto de Costos y Gastos'!$I$64</f>
        <v>60000</v>
      </c>
      <c r="I39" s="490">
        <f>+'4-Pto de Costos y Gastos'!$C$64+'4-Pto de Costos y Gastos'!$I$64</f>
        <v>60000</v>
      </c>
      <c r="J39" s="490">
        <f>+'4-Pto de Costos y Gastos'!$C$64+'4-Pto de Costos y Gastos'!$I$64</f>
        <v>60000</v>
      </c>
      <c r="K39" s="490">
        <f>+'4-Pto de Costos y Gastos'!$C$64+'4-Pto de Costos y Gastos'!$I$64</f>
        <v>60000</v>
      </c>
      <c r="L39" s="490">
        <f>+'4-Pto de Costos y Gastos'!$C$64+'4-Pto de Costos y Gastos'!$I$64</f>
        <v>60000</v>
      </c>
      <c r="M39" s="490">
        <f>+'4-Pto de Costos y Gastos'!$C$64+'4-Pto de Costos y Gastos'!$I$64</f>
        <v>60000</v>
      </c>
      <c r="N39" s="490">
        <f>+'4-Pto de Costos y Gastos'!$C$64+'4-Pto de Costos y Gastos'!$I$64</f>
        <v>60000</v>
      </c>
      <c r="O39" s="507">
        <f t="shared" si="4"/>
        <v>720000</v>
      </c>
    </row>
    <row r="40" spans="2:18" ht="18" customHeight="1">
      <c r="B40" s="501" t="s">
        <v>150</v>
      </c>
      <c r="C40"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D40"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E40"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F40"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G40"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H40"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I40"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J40"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K40"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L40"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M40"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N40"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O40" s="507">
        <f t="shared" si="4"/>
        <v>480000</v>
      </c>
      <c r="R40" s="28"/>
    </row>
    <row r="41" spans="2:18" ht="18" customHeight="1">
      <c r="B41" s="501" t="s">
        <v>164</v>
      </c>
      <c r="C41" s="490">
        <f>+'Salida-3-Plan de Inversión'!J25</f>
        <v>0</v>
      </c>
      <c r="D41" s="490">
        <v>0</v>
      </c>
      <c r="E41" s="490">
        <v>0</v>
      </c>
      <c r="F41" s="490">
        <v>0</v>
      </c>
      <c r="G41" s="490">
        <v>0</v>
      </c>
      <c r="H41" s="490">
        <v>0</v>
      </c>
      <c r="I41" s="490">
        <v>0</v>
      </c>
      <c r="J41" s="490">
        <v>0</v>
      </c>
      <c r="K41" s="490">
        <v>0</v>
      </c>
      <c r="L41" s="490">
        <v>0</v>
      </c>
      <c r="M41" s="490">
        <v>0</v>
      </c>
      <c r="N41" s="490">
        <v>0</v>
      </c>
      <c r="O41" s="507">
        <f t="shared" si="4"/>
        <v>0</v>
      </c>
      <c r="R41" s="28"/>
    </row>
    <row r="42" spans="2:18" s="492" customFormat="1" ht="25.5" customHeight="1">
      <c r="B42" s="502" t="s">
        <v>29</v>
      </c>
      <c r="C42" s="491">
        <f>+C24+C32+C33+C37+C38+C39+C40+C41</f>
        <v>3923914.2161768801</v>
      </c>
      <c r="D42" s="491">
        <f t="shared" ref="D42:N42" si="7">+D24+D32+D33+D37+D38+D39+D40+D41</f>
        <v>3923914.2161768801</v>
      </c>
      <c r="E42" s="491">
        <f t="shared" si="7"/>
        <v>3923914.2161768801</v>
      </c>
      <c r="F42" s="491">
        <f t="shared" si="7"/>
        <v>3923914.2161768801</v>
      </c>
      <c r="G42" s="491">
        <f t="shared" si="7"/>
        <v>3923914.2161768801</v>
      </c>
      <c r="H42" s="491">
        <f t="shared" si="7"/>
        <v>5286158.1005768795</v>
      </c>
      <c r="I42" s="491">
        <f t="shared" si="7"/>
        <v>3923914.2161768801</v>
      </c>
      <c r="J42" s="491">
        <f t="shared" si="7"/>
        <v>3923914.2161768801</v>
      </c>
      <c r="K42" s="491">
        <f t="shared" si="7"/>
        <v>3923914.2161768801</v>
      </c>
      <c r="L42" s="491">
        <f t="shared" si="7"/>
        <v>3923914.2161768801</v>
      </c>
      <c r="M42" s="491">
        <f t="shared" si="7"/>
        <v>3923914.2161768801</v>
      </c>
      <c r="N42" s="491">
        <f t="shared" si="7"/>
        <v>6650037.3317768797</v>
      </c>
      <c r="O42" s="509">
        <f>+O24+O32+O33+O37+O38+O39+O40</f>
        <v>51175337.594122559</v>
      </c>
      <c r="Q42" s="493"/>
      <c r="R42" s="493"/>
    </row>
    <row r="43" spans="2:18" s="492" customFormat="1" ht="25.5" customHeight="1">
      <c r="B43" s="503" t="s">
        <v>129</v>
      </c>
      <c r="C43" s="471"/>
      <c r="D43" s="471"/>
      <c r="E43" s="471"/>
      <c r="F43" s="471"/>
      <c r="G43" s="471"/>
      <c r="H43" s="471"/>
      <c r="I43" s="471"/>
      <c r="J43" s="471"/>
      <c r="K43" s="471"/>
      <c r="L43" s="471"/>
      <c r="M43" s="471"/>
      <c r="N43" s="471"/>
      <c r="O43" s="511"/>
      <c r="Q43" s="494"/>
      <c r="R43" s="493"/>
    </row>
    <row r="44" spans="2:18" s="492" customFormat="1" ht="18" customHeight="1">
      <c r="B44" s="501" t="s">
        <v>151</v>
      </c>
      <c r="C44" s="490">
        <f>IF('5-Plan de Inversion'!$D$40&lt;=30,((1-('5-Plan de Inversion'!$D$40/30))*C14),0)</f>
        <v>0</v>
      </c>
      <c r="D44" s="490">
        <f>IF('5-Plan de Inversion'!$D$40&lt;=30,((1-('5-Plan de Inversion'!$D$40/30))*D14),0)</f>
        <v>0</v>
      </c>
      <c r="E44" s="490">
        <f>IF('5-Plan de Inversion'!$D$40&lt;=30,((1-('5-Plan de Inversion'!$D$40/30))*E14),0)</f>
        <v>0</v>
      </c>
      <c r="F44" s="490">
        <f>IF('5-Plan de Inversion'!$D$40&lt;=30,((1-('5-Plan de Inversion'!$D$40/30))*F14),0)</f>
        <v>0</v>
      </c>
      <c r="G44" s="490">
        <f>IF('5-Plan de Inversion'!$D$40&lt;=30,((1-('5-Plan de Inversion'!$D$40/30))*G14),0)</f>
        <v>0</v>
      </c>
      <c r="H44" s="490">
        <f>IF('5-Plan de Inversion'!$D$40&lt;=30,((1-('5-Plan de Inversion'!$D$40/30))*H14),0)</f>
        <v>0</v>
      </c>
      <c r="I44" s="490">
        <f>IF('5-Plan de Inversion'!$D$40&lt;=30,((1-('5-Plan de Inversion'!$D$40/30))*I14),0)</f>
        <v>0</v>
      </c>
      <c r="J44" s="490">
        <f>IF('5-Plan de Inversion'!$D$40&lt;=30,((1-('5-Plan de Inversion'!$D$40/30))*J14),0)</f>
        <v>0</v>
      </c>
      <c r="K44" s="490">
        <f>IF('5-Plan de Inversion'!$D$40&lt;=30,((1-('5-Plan de Inversion'!$D$40/30))*K14),0)</f>
        <v>0</v>
      </c>
      <c r="L44" s="490">
        <f>IF('5-Plan de Inversion'!$D$40&lt;=30,((1-('5-Plan de Inversion'!$D$40/30))*L14),0)</f>
        <v>0</v>
      </c>
      <c r="M44" s="490">
        <f>IF('5-Plan de Inversion'!$D$40&lt;=30,((1-('5-Plan de Inversion'!$D$40/30))*M14),0)</f>
        <v>0</v>
      </c>
      <c r="N44" s="490">
        <f>IF('5-Plan de Inversion'!$D$40&lt;=30,((1-('5-Plan de Inversion'!$D$40/30))*N14),0)</f>
        <v>0</v>
      </c>
      <c r="O44" s="507">
        <f t="shared" ref="O44:O73" si="8">SUM(C44:N44)</f>
        <v>0</v>
      </c>
      <c r="Q44" s="494"/>
      <c r="R44" s="494"/>
    </row>
    <row r="45" spans="2:18" s="492" customFormat="1" ht="18" customHeight="1">
      <c r="B45" s="501" t="s">
        <v>152</v>
      </c>
      <c r="C45" s="490">
        <f>C14-C44</f>
        <v>0</v>
      </c>
      <c r="D45" s="490">
        <f t="shared" ref="D45:N45" si="9">D14-D44</f>
        <v>0</v>
      </c>
      <c r="E45" s="490">
        <f t="shared" si="9"/>
        <v>0</v>
      </c>
      <c r="F45" s="490">
        <f t="shared" si="9"/>
        <v>0</v>
      </c>
      <c r="G45" s="490">
        <f t="shared" si="9"/>
        <v>0</v>
      </c>
      <c r="H45" s="490">
        <f t="shared" si="9"/>
        <v>0</v>
      </c>
      <c r="I45" s="490">
        <f t="shared" si="9"/>
        <v>0</v>
      </c>
      <c r="J45" s="490">
        <f t="shared" si="9"/>
        <v>0</v>
      </c>
      <c r="K45" s="490">
        <f t="shared" si="9"/>
        <v>0</v>
      </c>
      <c r="L45" s="490">
        <f t="shared" si="9"/>
        <v>0</v>
      </c>
      <c r="M45" s="490">
        <f t="shared" si="9"/>
        <v>0</v>
      </c>
      <c r="N45" s="490">
        <f t="shared" si="9"/>
        <v>0</v>
      </c>
      <c r="O45" s="507">
        <f t="shared" si="8"/>
        <v>0</v>
      </c>
    </row>
    <row r="46" spans="2:18" s="492" customFormat="1" ht="18" customHeight="1">
      <c r="B46" s="501" t="s">
        <v>201</v>
      </c>
      <c r="C46" s="490">
        <v>0</v>
      </c>
      <c r="D46" s="490">
        <f>(IF('5-Plan de Inversion'!$D$40&lt;=30,(C45),0))+(IF('5-Plan de Inversion'!$D$40&gt;30,((1-(('5-Plan de Inversion'!$D$40-30)/30))*C45),0))</f>
        <v>0</v>
      </c>
      <c r="E46" s="490">
        <f>(IF('5-Plan de Inversion'!$D$40&lt;=30,(D45),0))+(IF('5-Plan de Inversion'!$D$40&gt;30,((1-(('5-Plan de Inversion'!$D$40-30)/30))*D45),0))+(IF('5-Plan de Inversion'!$D$40&gt;30,(((('5-Plan de Inversion'!$D$40-30)/30))*C45),0))</f>
        <v>0</v>
      </c>
      <c r="F46" s="490">
        <f>(IF('5-Plan de Inversion'!$D$40&lt;=30,(E45),0))+(IF('5-Plan de Inversion'!$D$40&gt;30,((1-(('5-Plan de Inversion'!$D$40-30)/30))*E45),0))+(IF('5-Plan de Inversion'!$D$40&gt;30,(((('5-Plan de Inversion'!$D$40-30)/30))*D45),0))</f>
        <v>0</v>
      </c>
      <c r="G46" s="490">
        <f>(IF('5-Plan de Inversion'!$D$40&lt;=30,(F45),0))+(IF('5-Plan de Inversion'!$D$40&gt;30,((1-(('5-Plan de Inversion'!$D$40-30)/30))*F45),0))+(IF('5-Plan de Inversion'!$D$40&gt;30,(((('5-Plan de Inversion'!$D$40-30)/30))*E45),0))</f>
        <v>0</v>
      </c>
      <c r="H46" s="490">
        <f>(IF('5-Plan de Inversion'!$D$40&lt;=30,(G45),0))+(IF('5-Plan de Inversion'!$D$40&gt;30,((1-(('5-Plan de Inversion'!$D$40-30)/30))*G45),0))+(IF('5-Plan de Inversion'!$D$40&gt;30,(((('5-Plan de Inversion'!$D$40-30)/30))*F45),0))</f>
        <v>0</v>
      </c>
      <c r="I46" s="490">
        <f>(IF('5-Plan de Inversion'!$D$40&lt;=30,(H45),0))+(IF('5-Plan de Inversion'!$D$40&gt;30,((1-(('5-Plan de Inversion'!$D$40-30)/30))*H45),0))+(IF('5-Plan de Inversion'!$D$40&gt;30,(((('5-Plan de Inversion'!$D$40-30)/30))*G45),0))</f>
        <v>0</v>
      </c>
      <c r="J46" s="490">
        <f>(IF('5-Plan de Inversion'!$D$40&lt;=30,(I45),0))+(IF('5-Plan de Inversion'!$D$40&gt;30,((1-(('5-Plan de Inversion'!$D$40-30)/30))*I45),0))+(IF('5-Plan de Inversion'!$D$40&gt;30,(((('5-Plan de Inversion'!$D$40-30)/30))*H45),0))</f>
        <v>0</v>
      </c>
      <c r="K46" s="490">
        <f>(IF('5-Plan de Inversion'!$D$40&lt;=30,(J45),0))+(IF('5-Plan de Inversion'!$D$40&gt;30,((1-(('5-Plan de Inversion'!$D$40-30)/30))*J45),0))+(IF('5-Plan de Inversion'!$D$40&gt;30,(((('5-Plan de Inversion'!$D$40-30)/30))*I45),0))</f>
        <v>0</v>
      </c>
      <c r="L46" s="490">
        <f>(IF('5-Plan de Inversion'!$D$40&lt;=30,(K45),0))+(IF('5-Plan de Inversion'!$D$40&gt;30,((1-(('5-Plan de Inversion'!$D$40-30)/30))*K45),0))+(IF('5-Plan de Inversion'!$D$40&gt;30,(((('5-Plan de Inversion'!$D$40-30)/30))*J45),0))</f>
        <v>0</v>
      </c>
      <c r="M46" s="490">
        <f>(IF('5-Plan de Inversion'!$D$40&lt;=30,(L45),0))+(IF('5-Plan de Inversion'!$D$40&gt;30,((1-(('5-Plan de Inversion'!$D$40-30)/30))*L45),0))+(IF('5-Plan de Inversion'!$D$40&gt;30,(((('5-Plan de Inversion'!$D$40-30)/30))*K45),0))</f>
        <v>0</v>
      </c>
      <c r="N46" s="490">
        <f>(IF('5-Plan de Inversion'!$D$40&lt;=30,(M45),0))+(IF('5-Plan de Inversion'!$D$40&gt;30,((1-(('5-Plan de Inversion'!$D$40-30)/30))*M45),0))+(IF('5-Plan de Inversion'!$D$40&gt;30,(((('5-Plan de Inversion'!$D$40-30)/30))*L45),0))</f>
        <v>0</v>
      </c>
      <c r="O46" s="507">
        <f t="shared" si="8"/>
        <v>0</v>
      </c>
    </row>
    <row r="47" spans="2:18" s="492" customFormat="1" ht="25.5" customHeight="1">
      <c r="B47" s="502" t="s">
        <v>29</v>
      </c>
      <c r="C47" s="491">
        <f t="shared" ref="C47:N47" si="10">SUM(C44:C46)</f>
        <v>0</v>
      </c>
      <c r="D47" s="491">
        <f t="shared" si="10"/>
        <v>0</v>
      </c>
      <c r="E47" s="491">
        <f t="shared" si="10"/>
        <v>0</v>
      </c>
      <c r="F47" s="491">
        <f t="shared" si="10"/>
        <v>0</v>
      </c>
      <c r="G47" s="491">
        <f t="shared" si="10"/>
        <v>0</v>
      </c>
      <c r="H47" s="491">
        <f t="shared" si="10"/>
        <v>0</v>
      </c>
      <c r="I47" s="491">
        <f t="shared" si="10"/>
        <v>0</v>
      </c>
      <c r="J47" s="491">
        <f t="shared" si="10"/>
        <v>0</v>
      </c>
      <c r="K47" s="491">
        <f t="shared" si="10"/>
        <v>0</v>
      </c>
      <c r="L47" s="491">
        <f t="shared" si="10"/>
        <v>0</v>
      </c>
      <c r="M47" s="491">
        <f t="shared" si="10"/>
        <v>0</v>
      </c>
      <c r="N47" s="491">
        <f t="shared" si="10"/>
        <v>0</v>
      </c>
      <c r="O47" s="509">
        <f>SUM(O44:O46)</f>
        <v>0</v>
      </c>
    </row>
    <row r="48" spans="2:18" s="492" customFormat="1" ht="25.5" customHeight="1">
      <c r="B48" s="502" t="s">
        <v>127</v>
      </c>
      <c r="C48" s="491">
        <f t="shared" ref="C48:N48" si="11">C47+C42</f>
        <v>3923914.2161768801</v>
      </c>
      <c r="D48" s="491">
        <f t="shared" si="11"/>
        <v>3923914.2161768801</v>
      </c>
      <c r="E48" s="491">
        <f t="shared" si="11"/>
        <v>3923914.2161768801</v>
      </c>
      <c r="F48" s="491">
        <f t="shared" si="11"/>
        <v>3923914.2161768801</v>
      </c>
      <c r="G48" s="491">
        <f t="shared" si="11"/>
        <v>3923914.2161768801</v>
      </c>
      <c r="H48" s="491">
        <f t="shared" si="11"/>
        <v>5286158.1005768795</v>
      </c>
      <c r="I48" s="491">
        <f t="shared" si="11"/>
        <v>3923914.2161768801</v>
      </c>
      <c r="J48" s="491">
        <f t="shared" si="11"/>
        <v>3923914.2161768801</v>
      </c>
      <c r="K48" s="491">
        <f t="shared" si="11"/>
        <v>3923914.2161768801</v>
      </c>
      <c r="L48" s="491">
        <f t="shared" si="11"/>
        <v>3923914.2161768801</v>
      </c>
      <c r="M48" s="491">
        <f t="shared" si="11"/>
        <v>3923914.2161768801</v>
      </c>
      <c r="N48" s="491">
        <f t="shared" si="11"/>
        <v>6650037.3317768797</v>
      </c>
      <c r="O48" s="509">
        <f t="shared" si="8"/>
        <v>51175337.594122566</v>
      </c>
    </row>
    <row r="49" spans="2:17" s="492" customFormat="1" ht="25.5" customHeight="1">
      <c r="B49" s="502" t="s">
        <v>130</v>
      </c>
      <c r="C49" s="491">
        <f t="shared" ref="C49:N49" si="12">C21-C48</f>
        <v>5520530.2282675654</v>
      </c>
      <c r="D49" s="491">
        <f t="shared" si="12"/>
        <v>5520530.2282675654</v>
      </c>
      <c r="E49" s="491">
        <f t="shared" si="12"/>
        <v>5520530.2282675654</v>
      </c>
      <c r="F49" s="491">
        <f t="shared" si="12"/>
        <v>5520530.2282675654</v>
      </c>
      <c r="G49" s="491">
        <f t="shared" si="12"/>
        <v>5520530.2282675654</v>
      </c>
      <c r="H49" s="491">
        <f t="shared" si="12"/>
        <v>4158286.3438675664</v>
      </c>
      <c r="I49" s="491">
        <f t="shared" si="12"/>
        <v>11816826.524563862</v>
      </c>
      <c r="J49" s="491">
        <f t="shared" si="12"/>
        <v>11816826.524563862</v>
      </c>
      <c r="K49" s="491">
        <f t="shared" si="12"/>
        <v>11816826.524563862</v>
      </c>
      <c r="L49" s="491">
        <f t="shared" si="12"/>
        <v>18113122.820860159</v>
      </c>
      <c r="M49" s="491">
        <f t="shared" si="12"/>
        <v>18113122.820860159</v>
      </c>
      <c r="N49" s="491">
        <f t="shared" si="12"/>
        <v>15386999.705260158</v>
      </c>
      <c r="O49" s="509">
        <f t="shared" si="8"/>
        <v>118824662.40587746</v>
      </c>
    </row>
    <row r="50" spans="2:17" ht="25.5" customHeight="1">
      <c r="B50" s="500" t="s">
        <v>131</v>
      </c>
      <c r="C50" s="456"/>
      <c r="D50" s="456"/>
      <c r="E50" s="456"/>
      <c r="F50" s="456"/>
      <c r="G50" s="456"/>
      <c r="H50" s="456"/>
      <c r="I50" s="456"/>
      <c r="J50" s="456"/>
      <c r="K50" s="456"/>
      <c r="L50" s="456"/>
      <c r="M50" s="456"/>
      <c r="N50" s="456"/>
      <c r="O50" s="508"/>
    </row>
    <row r="51" spans="2:17" ht="18" customHeight="1">
      <c r="B51" s="501" t="s">
        <v>153</v>
      </c>
      <c r="C51" s="490">
        <f>+'Salida-3-Plan de Inversión'!J30</f>
        <v>0</v>
      </c>
      <c r="D51" s="450">
        <v>0</v>
      </c>
      <c r="E51" s="450">
        <v>0</v>
      </c>
      <c r="F51" s="450">
        <v>0</v>
      </c>
      <c r="G51" s="450">
        <v>0</v>
      </c>
      <c r="H51" s="450">
        <v>0</v>
      </c>
      <c r="I51" s="450">
        <v>0</v>
      </c>
      <c r="J51" s="450">
        <v>0</v>
      </c>
      <c r="K51" s="450">
        <v>0</v>
      </c>
      <c r="L51" s="450">
        <v>0</v>
      </c>
      <c r="M51" s="450">
        <v>0</v>
      </c>
      <c r="N51" s="450">
        <v>0</v>
      </c>
      <c r="O51" s="507">
        <f t="shared" si="8"/>
        <v>0</v>
      </c>
    </row>
    <row r="52" spans="2:17" ht="18" customHeight="1">
      <c r="B52" s="501" t="s">
        <v>154</v>
      </c>
      <c r="C52" s="490">
        <f>+'Salida-3-Plan de Inversión'!J31</f>
        <v>0</v>
      </c>
      <c r="D52" s="450">
        <v>0</v>
      </c>
      <c r="E52" s="450">
        <v>0</v>
      </c>
      <c r="F52" s="450">
        <v>0</v>
      </c>
      <c r="G52" s="450">
        <v>0</v>
      </c>
      <c r="H52" s="450">
        <v>0</v>
      </c>
      <c r="I52" s="450">
        <v>0</v>
      </c>
      <c r="J52" s="450">
        <v>0</v>
      </c>
      <c r="K52" s="450">
        <v>0</v>
      </c>
      <c r="L52" s="450">
        <v>0</v>
      </c>
      <c r="M52" s="450">
        <v>0</v>
      </c>
      <c r="N52" s="450">
        <v>0</v>
      </c>
      <c r="O52" s="507">
        <f t="shared" si="8"/>
        <v>0</v>
      </c>
    </row>
    <row r="53" spans="2:17" ht="18" customHeight="1">
      <c r="B53" s="501" t="s">
        <v>155</v>
      </c>
      <c r="C53" s="490">
        <f>+'Salida-3-Plan de Inversión'!J32</f>
        <v>14781618</v>
      </c>
      <c r="D53" s="450">
        <v>0</v>
      </c>
      <c r="E53" s="450">
        <v>0</v>
      </c>
      <c r="F53" s="450">
        <v>0</v>
      </c>
      <c r="G53" s="450">
        <v>0</v>
      </c>
      <c r="H53" s="450">
        <v>0</v>
      </c>
      <c r="I53" s="450">
        <v>0</v>
      </c>
      <c r="J53" s="450">
        <v>0</v>
      </c>
      <c r="K53" s="450">
        <v>0</v>
      </c>
      <c r="L53" s="450">
        <v>0</v>
      </c>
      <c r="M53" s="450">
        <v>0</v>
      </c>
      <c r="N53" s="450">
        <v>0</v>
      </c>
      <c r="O53" s="507">
        <f t="shared" si="8"/>
        <v>14781618</v>
      </c>
    </row>
    <row r="54" spans="2:17" ht="18" customHeight="1">
      <c r="B54" s="501" t="s">
        <v>156</v>
      </c>
      <c r="C54" s="490">
        <f>+'Salida-3-Plan de Inversión'!J33</f>
        <v>1050000</v>
      </c>
      <c r="D54" s="450">
        <v>0</v>
      </c>
      <c r="E54" s="450">
        <v>0</v>
      </c>
      <c r="F54" s="450">
        <v>0</v>
      </c>
      <c r="G54" s="450">
        <v>0</v>
      </c>
      <c r="H54" s="450">
        <v>0</v>
      </c>
      <c r="I54" s="450">
        <v>0</v>
      </c>
      <c r="J54" s="450">
        <v>0</v>
      </c>
      <c r="K54" s="450">
        <v>0</v>
      </c>
      <c r="L54" s="450">
        <v>0</v>
      </c>
      <c r="M54" s="450">
        <v>0</v>
      </c>
      <c r="N54" s="450">
        <v>0</v>
      </c>
      <c r="O54" s="507">
        <f t="shared" si="8"/>
        <v>1050000</v>
      </c>
    </row>
    <row r="55" spans="2:17" ht="18" customHeight="1">
      <c r="B55" s="501" t="s">
        <v>157</v>
      </c>
      <c r="C55" s="490">
        <f>+'Salida-3-Plan de Inversión'!J34</f>
        <v>0</v>
      </c>
      <c r="D55" s="450">
        <v>0</v>
      </c>
      <c r="E55" s="450">
        <v>0</v>
      </c>
      <c r="F55" s="450">
        <v>0</v>
      </c>
      <c r="G55" s="450">
        <v>0</v>
      </c>
      <c r="H55" s="450">
        <v>0</v>
      </c>
      <c r="I55" s="450">
        <v>0</v>
      </c>
      <c r="J55" s="450">
        <v>0</v>
      </c>
      <c r="K55" s="450">
        <v>0</v>
      </c>
      <c r="L55" s="450">
        <v>0</v>
      </c>
      <c r="M55" s="450">
        <v>0</v>
      </c>
      <c r="N55" s="450">
        <v>0</v>
      </c>
      <c r="O55" s="507">
        <f t="shared" si="8"/>
        <v>0</v>
      </c>
    </row>
    <row r="56" spans="2:17" s="492" customFormat="1" ht="25.5" customHeight="1">
      <c r="B56" s="502" t="s">
        <v>29</v>
      </c>
      <c r="C56" s="491">
        <f t="shared" ref="C56:N56" si="13">SUM(C51:C55)</f>
        <v>15831618</v>
      </c>
      <c r="D56" s="491">
        <f t="shared" si="13"/>
        <v>0</v>
      </c>
      <c r="E56" s="491">
        <f t="shared" si="13"/>
        <v>0</v>
      </c>
      <c r="F56" s="491">
        <f t="shared" si="13"/>
        <v>0</v>
      </c>
      <c r="G56" s="491">
        <f t="shared" si="13"/>
        <v>0</v>
      </c>
      <c r="H56" s="491">
        <f t="shared" si="13"/>
        <v>0</v>
      </c>
      <c r="I56" s="491">
        <f t="shared" si="13"/>
        <v>0</v>
      </c>
      <c r="J56" s="491">
        <f t="shared" si="13"/>
        <v>0</v>
      </c>
      <c r="K56" s="491">
        <f t="shared" si="13"/>
        <v>0</v>
      </c>
      <c r="L56" s="491">
        <f t="shared" si="13"/>
        <v>0</v>
      </c>
      <c r="M56" s="491">
        <f t="shared" si="13"/>
        <v>0</v>
      </c>
      <c r="N56" s="491">
        <f t="shared" si="13"/>
        <v>0</v>
      </c>
      <c r="O56" s="509">
        <f t="shared" si="8"/>
        <v>15831618</v>
      </c>
    </row>
    <row r="57" spans="2:17" ht="25.5" customHeight="1">
      <c r="B57" s="500" t="s">
        <v>198</v>
      </c>
      <c r="C57" s="456"/>
      <c r="D57" s="456"/>
      <c r="E57" s="456"/>
      <c r="F57" s="456"/>
      <c r="G57" s="456"/>
      <c r="H57" s="456"/>
      <c r="I57" s="456"/>
      <c r="J57" s="456"/>
      <c r="K57" s="456"/>
      <c r="L57" s="456"/>
      <c r="M57" s="456"/>
      <c r="N57" s="456"/>
      <c r="O57" s="508"/>
    </row>
    <row r="58" spans="2:17" s="492" customFormat="1" ht="18" customHeight="1">
      <c r="B58" s="501" t="s">
        <v>196</v>
      </c>
      <c r="C58" s="490">
        <f>+'Salida-3-Plan de Inversión'!F36</f>
        <v>-27688382</v>
      </c>
      <c r="D58" s="450"/>
      <c r="E58" s="450"/>
      <c r="F58" s="450"/>
      <c r="G58" s="450"/>
      <c r="H58" s="450"/>
      <c r="I58" s="450"/>
      <c r="J58" s="450"/>
      <c r="K58" s="450"/>
      <c r="L58" s="450"/>
      <c r="M58" s="450"/>
      <c r="N58" s="450"/>
      <c r="O58" s="507"/>
    </row>
    <row r="59" spans="2:17" s="492" customFormat="1" ht="18" customHeight="1">
      <c r="B59" s="501" t="s">
        <v>197</v>
      </c>
      <c r="C59" s="490">
        <f>+'Salida-3-Plan de Inversión'!H36</f>
        <v>43520000</v>
      </c>
      <c r="D59" s="450"/>
      <c r="E59" s="450"/>
      <c r="F59" s="450"/>
      <c r="G59" s="450"/>
      <c r="H59" s="450"/>
      <c r="I59" s="450"/>
      <c r="J59" s="450"/>
      <c r="K59" s="450"/>
      <c r="L59" s="450"/>
      <c r="M59" s="450"/>
      <c r="N59" s="450"/>
      <c r="O59" s="507"/>
    </row>
    <row r="60" spans="2:17" s="492" customFormat="1" ht="25.5" customHeight="1">
      <c r="B60" s="502" t="s">
        <v>29</v>
      </c>
      <c r="C60" s="491">
        <f>SUM(C58:C59)</f>
        <v>15831618</v>
      </c>
      <c r="D60" s="491">
        <f t="shared" ref="D60:N60" si="14">SUM(D58:D59)</f>
        <v>0</v>
      </c>
      <c r="E60" s="491">
        <f t="shared" si="14"/>
        <v>0</v>
      </c>
      <c r="F60" s="491">
        <f t="shared" si="14"/>
        <v>0</v>
      </c>
      <c r="G60" s="491">
        <f t="shared" si="14"/>
        <v>0</v>
      </c>
      <c r="H60" s="491">
        <f t="shared" si="14"/>
        <v>0</v>
      </c>
      <c r="I60" s="491">
        <f t="shared" si="14"/>
        <v>0</v>
      </c>
      <c r="J60" s="491">
        <f t="shared" si="14"/>
        <v>0</v>
      </c>
      <c r="K60" s="491">
        <f t="shared" si="14"/>
        <v>0</v>
      </c>
      <c r="L60" s="491">
        <f t="shared" si="14"/>
        <v>0</v>
      </c>
      <c r="M60" s="491">
        <f t="shared" si="14"/>
        <v>0</v>
      </c>
      <c r="N60" s="491">
        <f t="shared" si="14"/>
        <v>0</v>
      </c>
      <c r="O60" s="509"/>
    </row>
    <row r="61" spans="2:17" ht="25.5" customHeight="1">
      <c r="B61" s="500" t="s">
        <v>194</v>
      </c>
      <c r="C61" s="456"/>
      <c r="D61" s="456"/>
      <c r="E61" s="456"/>
      <c r="F61" s="456"/>
      <c r="G61" s="456"/>
      <c r="H61" s="456"/>
      <c r="I61" s="456"/>
      <c r="J61" s="456"/>
      <c r="K61" s="456"/>
      <c r="L61" s="456"/>
      <c r="M61" s="456"/>
      <c r="N61" s="456"/>
      <c r="O61" s="508">
        <f t="shared" si="8"/>
        <v>0</v>
      </c>
    </row>
    <row r="62" spans="2:17" s="492" customFormat="1" ht="18" customHeight="1">
      <c r="B62" s="501" t="s">
        <v>158</v>
      </c>
      <c r="C62" s="490">
        <f>+'Salida-3-Plan de Inversión'!I74</f>
        <v>-246150.60610555322</v>
      </c>
      <c r="D62" s="490">
        <f>+'Salida-3-Plan de Inversión'!I75</f>
        <v>-250975.15798522218</v>
      </c>
      <c r="E62" s="490">
        <f>+'Salida-3-Plan de Inversión'!I76</f>
        <v>-255894.27108173247</v>
      </c>
      <c r="F62" s="490">
        <f>+'Salida-3-Plan de Inversión'!I77</f>
        <v>-260909.79879493441</v>
      </c>
      <c r="G62" s="490">
        <f>+'Salida-3-Plan de Inversión'!I78</f>
        <v>-266023.6308513151</v>
      </c>
      <c r="H62" s="490">
        <f>+'Salida-3-Plan de Inversión'!I79</f>
        <v>-271237.69401600084</v>
      </c>
      <c r="I62" s="490">
        <f>+'Salida-3-Plan de Inversión'!I80</f>
        <v>-276553.95281871449</v>
      </c>
      <c r="J62" s="490">
        <f>+'Salida-3-Plan de Inversión'!I81</f>
        <v>-281974.41029396123</v>
      </c>
      <c r="K62" s="490">
        <f>+'Salida-3-Plan de Inversión'!I82</f>
        <v>-287501.10873572296</v>
      </c>
      <c r="L62" s="490">
        <f>+'Salida-3-Plan de Inversión'!I83</f>
        <v>-293136.13046694308</v>
      </c>
      <c r="M62" s="490">
        <f>+'Salida-3-Plan de Inversión'!I84</f>
        <v>-298881.59862409515</v>
      </c>
      <c r="N62" s="490">
        <f>+'Salida-3-Plan de Inversión'!I85</f>
        <v>-304739.67795712739</v>
      </c>
      <c r="O62" s="507">
        <f t="shared" si="8"/>
        <v>-3293978.0377313229</v>
      </c>
      <c r="Q62" s="495"/>
    </row>
    <row r="63" spans="2:17" s="492" customFormat="1" ht="18" customHeight="1">
      <c r="B63" s="501" t="s">
        <v>159</v>
      </c>
      <c r="C63" s="490">
        <f>+'Salida-3-Plan de Inversión'!G74</f>
        <v>-542692.28720000002</v>
      </c>
      <c r="D63" s="490">
        <f>+'Salida-3-Plan de Inversión'!G75</f>
        <v>-537867.73532033106</v>
      </c>
      <c r="E63" s="490">
        <f>+'Salida-3-Plan de Inversión'!G76</f>
        <v>-532948.62222382077</v>
      </c>
      <c r="F63" s="490">
        <f>+'Salida-3-Plan de Inversión'!G77</f>
        <v>-527933.09451061883</v>
      </c>
      <c r="G63" s="490">
        <f>+'Salida-3-Plan de Inversión'!G78</f>
        <v>-522819.26245423814</v>
      </c>
      <c r="H63" s="490">
        <f>+'Salida-3-Plan de Inversión'!G79</f>
        <v>-517605.1992895524</v>
      </c>
      <c r="I63" s="490">
        <f>+'Salida-3-Plan de Inversión'!G80</f>
        <v>-512288.94048683875</v>
      </c>
      <c r="J63" s="490">
        <f>+'Salida-3-Plan de Inversión'!G81</f>
        <v>-506868.483011592</v>
      </c>
      <c r="K63" s="490">
        <f>+'Salida-3-Plan de Inversión'!G82</f>
        <v>-501341.78456983028</v>
      </c>
      <c r="L63" s="490">
        <f>+'Salida-3-Plan de Inversión'!G83</f>
        <v>-495706.76283861016</v>
      </c>
      <c r="M63" s="490">
        <f>+'Salida-3-Plan de Inversión'!G84</f>
        <v>-489961.29468145809</v>
      </c>
      <c r="N63" s="490">
        <f>+'Salida-3-Plan de Inversión'!G85</f>
        <v>-484103.21534842585</v>
      </c>
      <c r="O63" s="507">
        <f t="shared" si="8"/>
        <v>-6172136.6819353169</v>
      </c>
    </row>
    <row r="64" spans="2:17" s="492" customFormat="1" ht="25.5" customHeight="1">
      <c r="B64" s="502" t="s">
        <v>29</v>
      </c>
      <c r="C64" s="491">
        <f t="shared" ref="C64:N64" si="15">SUM(C62:C63)</f>
        <v>-788842.89330555324</v>
      </c>
      <c r="D64" s="491">
        <f t="shared" si="15"/>
        <v>-788842.89330555324</v>
      </c>
      <c r="E64" s="491">
        <f t="shared" si="15"/>
        <v>-788842.89330555324</v>
      </c>
      <c r="F64" s="491">
        <f t="shared" si="15"/>
        <v>-788842.89330555324</v>
      </c>
      <c r="G64" s="491">
        <f t="shared" si="15"/>
        <v>-788842.89330555324</v>
      </c>
      <c r="H64" s="491">
        <f t="shared" si="15"/>
        <v>-788842.89330555324</v>
      </c>
      <c r="I64" s="491">
        <f t="shared" si="15"/>
        <v>-788842.89330555324</v>
      </c>
      <c r="J64" s="491">
        <f t="shared" si="15"/>
        <v>-788842.89330555324</v>
      </c>
      <c r="K64" s="491">
        <f t="shared" si="15"/>
        <v>-788842.89330555324</v>
      </c>
      <c r="L64" s="491">
        <f t="shared" si="15"/>
        <v>-788842.89330555324</v>
      </c>
      <c r="M64" s="491">
        <f t="shared" si="15"/>
        <v>-788842.89330555324</v>
      </c>
      <c r="N64" s="491">
        <f t="shared" si="15"/>
        <v>-788842.89330555324</v>
      </c>
      <c r="O64" s="509">
        <f t="shared" si="8"/>
        <v>-9466114.7196666393</v>
      </c>
    </row>
    <row r="65" spans="2:16" s="492" customFormat="1" ht="25.5" customHeight="1">
      <c r="B65" s="502" t="s">
        <v>2783</v>
      </c>
      <c r="C65" s="491">
        <f t="shared" ref="C65:N65" si="16">+C49-C56+C60-C64</f>
        <v>6309373.1215731185</v>
      </c>
      <c r="D65" s="491">
        <f t="shared" si="16"/>
        <v>6309373.1215731185</v>
      </c>
      <c r="E65" s="491">
        <f t="shared" si="16"/>
        <v>6309373.1215731185</v>
      </c>
      <c r="F65" s="491">
        <f t="shared" si="16"/>
        <v>6309373.1215731185</v>
      </c>
      <c r="G65" s="491">
        <f t="shared" si="16"/>
        <v>6309373.1215731185</v>
      </c>
      <c r="H65" s="491">
        <f t="shared" si="16"/>
        <v>4947129.2371731196</v>
      </c>
      <c r="I65" s="491">
        <f t="shared" si="16"/>
        <v>12605669.417869415</v>
      </c>
      <c r="J65" s="491">
        <f t="shared" si="16"/>
        <v>12605669.417869415</v>
      </c>
      <c r="K65" s="491">
        <f t="shared" si="16"/>
        <v>12605669.417869415</v>
      </c>
      <c r="L65" s="491">
        <f t="shared" si="16"/>
        <v>18901965.714165714</v>
      </c>
      <c r="M65" s="491">
        <f t="shared" si="16"/>
        <v>18901965.714165714</v>
      </c>
      <c r="N65" s="491">
        <f t="shared" si="16"/>
        <v>16175842.598565711</v>
      </c>
      <c r="O65" s="509">
        <f t="shared" si="8"/>
        <v>128290777.12554412</v>
      </c>
    </row>
    <row r="66" spans="2:16" ht="25.5" customHeight="1">
      <c r="B66" s="500" t="s">
        <v>195</v>
      </c>
      <c r="C66" s="456"/>
      <c r="D66" s="456"/>
      <c r="E66" s="456"/>
      <c r="F66" s="456"/>
      <c r="G66" s="456"/>
      <c r="H66" s="456"/>
      <c r="I66" s="456"/>
      <c r="J66" s="456"/>
      <c r="K66" s="456"/>
      <c r="L66" s="456"/>
      <c r="M66" s="456"/>
      <c r="N66" s="456"/>
      <c r="O66" s="508">
        <f t="shared" si="8"/>
        <v>0</v>
      </c>
    </row>
    <row r="67" spans="2:16" s="492" customFormat="1" ht="18" customHeight="1">
      <c r="B67" s="501" t="s">
        <v>162</v>
      </c>
      <c r="C67" s="490">
        <f>+C13*'Salida-4-P &amp; G'!$H$36</f>
        <v>1794444.4444444447</v>
      </c>
      <c r="D67" s="490">
        <f>+D13*'Salida-4-P &amp; G'!$H$36</f>
        <v>1794444.4444444447</v>
      </c>
      <c r="E67" s="490">
        <f>+E13*'Salida-4-P &amp; G'!$H$36</f>
        <v>1794444.4444444447</v>
      </c>
      <c r="F67" s="490">
        <f>+F13*'Salida-4-P &amp; G'!$H$36</f>
        <v>1794444.4444444447</v>
      </c>
      <c r="G67" s="490">
        <f>+G13*'Salida-4-P &amp; G'!$H$36</f>
        <v>1794444.4444444447</v>
      </c>
      <c r="H67" s="490">
        <f>+H13*'Salida-4-P &amp; G'!$H$36</f>
        <v>1794444.4444444447</v>
      </c>
      <c r="I67" s="490">
        <f>+I13*'Salida-4-P &amp; G'!$H$36</f>
        <v>2990740.7407407411</v>
      </c>
      <c r="J67" s="490">
        <f>+J13*'Salida-4-P &amp; G'!$H$36</f>
        <v>2990740.7407407411</v>
      </c>
      <c r="K67" s="490">
        <f>+K13*'Salida-4-P &amp; G'!$H$36</f>
        <v>2990740.7407407411</v>
      </c>
      <c r="L67" s="490">
        <f>+L13*'Salida-4-P &amp; G'!$H$36</f>
        <v>4187037.0370370373</v>
      </c>
      <c r="M67" s="490">
        <f>+M13*'Salida-4-P &amp; G'!$H$36</f>
        <v>4187037.0370370373</v>
      </c>
      <c r="N67" s="490">
        <f>+N13*'Salida-4-P &amp; G'!$H$36</f>
        <v>4187037.0370370373</v>
      </c>
      <c r="O67" s="507">
        <f>SUM(C67:N67)</f>
        <v>32300000.000000004</v>
      </c>
    </row>
    <row r="68" spans="2:16" s="492" customFormat="1" ht="18" customHeight="1">
      <c r="B68" s="501" t="s">
        <v>163</v>
      </c>
      <c r="C68" s="490">
        <v>0</v>
      </c>
      <c r="D68" s="490">
        <v>0</v>
      </c>
      <c r="E68" s="490">
        <f>SUM(C67:D67)</f>
        <v>3588888.8888888895</v>
      </c>
      <c r="F68" s="490">
        <v>0</v>
      </c>
      <c r="G68" s="490">
        <f>SUM(E67:F67)</f>
        <v>3588888.8888888895</v>
      </c>
      <c r="H68" s="490">
        <v>0</v>
      </c>
      <c r="I68" s="490">
        <f>SUM(G67:H67)</f>
        <v>3588888.8888888895</v>
      </c>
      <c r="J68" s="490">
        <v>0</v>
      </c>
      <c r="K68" s="490">
        <f>SUM(I67:J67)</f>
        <v>5981481.4814814823</v>
      </c>
      <c r="L68" s="490">
        <v>0</v>
      </c>
      <c r="M68" s="490">
        <f>SUM(K67:L67)</f>
        <v>7177777.777777778</v>
      </c>
      <c r="N68" s="490">
        <v>0</v>
      </c>
      <c r="O68" s="507">
        <f>SUM(C68:N68)</f>
        <v>23925925.925925925</v>
      </c>
      <c r="P68" s="495"/>
    </row>
    <row r="69" spans="2:16" s="492" customFormat="1" ht="18" customHeight="1">
      <c r="B69" s="501" t="s">
        <v>161</v>
      </c>
      <c r="C69" s="490"/>
      <c r="D69" s="490"/>
      <c r="E69" s="490"/>
      <c r="F69" s="490"/>
      <c r="G69" s="490"/>
      <c r="H69" s="490"/>
      <c r="I69" s="490"/>
      <c r="J69" s="490"/>
      <c r="K69" s="490"/>
      <c r="L69" s="490"/>
      <c r="M69" s="490"/>
      <c r="N69" s="490"/>
      <c r="O69" s="507"/>
    </row>
    <row r="70" spans="2:16" s="492" customFormat="1" ht="25.5" customHeight="1">
      <c r="B70" s="502" t="s">
        <v>29</v>
      </c>
      <c r="C70" s="491"/>
      <c r="D70" s="491"/>
      <c r="E70" s="491"/>
      <c r="F70" s="491"/>
      <c r="G70" s="491"/>
      <c r="H70" s="491"/>
      <c r="I70" s="491"/>
      <c r="J70" s="491"/>
      <c r="K70" s="491"/>
      <c r="L70" s="491"/>
      <c r="M70" s="491"/>
      <c r="N70" s="491"/>
      <c r="O70" s="509">
        <f t="shared" si="8"/>
        <v>0</v>
      </c>
    </row>
    <row r="71" spans="2:16" s="492" customFormat="1" ht="25.5" customHeight="1">
      <c r="B71" s="502" t="s">
        <v>2784</v>
      </c>
      <c r="C71" s="491">
        <f>+C65+C67-C68-C69</f>
        <v>8103817.5660175635</v>
      </c>
      <c r="D71" s="491">
        <f t="shared" ref="D71:N71" si="17">+D65+D67-D68-D69</f>
        <v>8103817.5660175635</v>
      </c>
      <c r="E71" s="491">
        <f t="shared" si="17"/>
        <v>4514928.6771286745</v>
      </c>
      <c r="F71" s="491">
        <f t="shared" si="17"/>
        <v>8103817.5660175635</v>
      </c>
      <c r="G71" s="491">
        <f t="shared" si="17"/>
        <v>4514928.6771286745</v>
      </c>
      <c r="H71" s="491">
        <f t="shared" si="17"/>
        <v>6741573.6816175645</v>
      </c>
      <c r="I71" s="491">
        <f t="shared" si="17"/>
        <v>12007521.269721266</v>
      </c>
      <c r="J71" s="491">
        <f t="shared" si="17"/>
        <v>15596410.158610156</v>
      </c>
      <c r="K71" s="491">
        <f t="shared" si="17"/>
        <v>9614928.6771286726</v>
      </c>
      <c r="L71" s="491">
        <f t="shared" si="17"/>
        <v>23089002.751202751</v>
      </c>
      <c r="M71" s="491">
        <f t="shared" si="17"/>
        <v>15911224.973424973</v>
      </c>
      <c r="N71" s="491">
        <f t="shared" si="17"/>
        <v>20362879.63560275</v>
      </c>
      <c r="O71" s="509">
        <f t="shared" si="8"/>
        <v>136664851.19961816</v>
      </c>
    </row>
    <row r="72" spans="2:16" ht="18" customHeight="1">
      <c r="B72" s="504" t="s">
        <v>7</v>
      </c>
      <c r="C72" s="490"/>
      <c r="D72" s="490">
        <f>+C73</f>
        <v>8103817.5660175635</v>
      </c>
      <c r="E72" s="490">
        <f>+D73</f>
        <v>16207635.132035127</v>
      </c>
      <c r="F72" s="490">
        <f t="shared" ref="F72:M72" si="18">+E73</f>
        <v>20722563.809163801</v>
      </c>
      <c r="G72" s="490">
        <f t="shared" si="18"/>
        <v>28826381.375181366</v>
      </c>
      <c r="H72" s="490">
        <f t="shared" si="18"/>
        <v>33341310.052310042</v>
      </c>
      <c r="I72" s="490">
        <f t="shared" si="18"/>
        <v>40082883.733927608</v>
      </c>
      <c r="J72" s="490">
        <f t="shared" si="18"/>
        <v>52090405.003648877</v>
      </c>
      <c r="K72" s="490">
        <f t="shared" si="18"/>
        <v>67686815.162259027</v>
      </c>
      <c r="L72" s="490">
        <f t="shared" si="18"/>
        <v>77301743.8393877</v>
      </c>
      <c r="M72" s="490">
        <f t="shared" si="18"/>
        <v>100390746.59059045</v>
      </c>
      <c r="N72" s="490">
        <f>+M73</f>
        <v>116301971.56401542</v>
      </c>
      <c r="O72" s="507">
        <f t="shared" si="8"/>
        <v>561056273.82853699</v>
      </c>
    </row>
    <row r="73" spans="2:16" s="492" customFormat="1" ht="25.5" customHeight="1">
      <c r="B73" s="502" t="s">
        <v>2785</v>
      </c>
      <c r="C73" s="491">
        <f t="shared" ref="C73:N73" si="19">C71+C72</f>
        <v>8103817.5660175635</v>
      </c>
      <c r="D73" s="491">
        <f t="shared" si="19"/>
        <v>16207635.132035127</v>
      </c>
      <c r="E73" s="491">
        <f t="shared" si="19"/>
        <v>20722563.809163801</v>
      </c>
      <c r="F73" s="491">
        <f t="shared" si="19"/>
        <v>28826381.375181366</v>
      </c>
      <c r="G73" s="491">
        <f t="shared" si="19"/>
        <v>33341310.052310042</v>
      </c>
      <c r="H73" s="491">
        <f t="shared" si="19"/>
        <v>40082883.733927608</v>
      </c>
      <c r="I73" s="491">
        <f t="shared" si="19"/>
        <v>52090405.003648877</v>
      </c>
      <c r="J73" s="491">
        <f t="shared" si="19"/>
        <v>67686815.162259027</v>
      </c>
      <c r="K73" s="491">
        <f t="shared" si="19"/>
        <v>77301743.8393877</v>
      </c>
      <c r="L73" s="491">
        <f t="shared" si="19"/>
        <v>100390746.59059045</v>
      </c>
      <c r="M73" s="491">
        <f t="shared" si="19"/>
        <v>116301971.56401542</v>
      </c>
      <c r="N73" s="491">
        <f t="shared" si="19"/>
        <v>136664851.19961816</v>
      </c>
      <c r="O73" s="509">
        <f t="shared" si="8"/>
        <v>697721125.02815509</v>
      </c>
    </row>
    <row r="74" spans="2:16">
      <c r="B74" s="822"/>
      <c r="C74" s="823"/>
      <c r="D74" s="823"/>
      <c r="E74" s="823"/>
      <c r="F74" s="823"/>
      <c r="G74" s="823"/>
      <c r="H74" s="823"/>
      <c r="I74" s="823"/>
      <c r="J74" s="823"/>
      <c r="K74" s="823"/>
      <c r="L74" s="823"/>
      <c r="M74" s="823"/>
      <c r="N74" s="823"/>
      <c r="O74" s="823"/>
      <c r="P74" s="28"/>
    </row>
    <row r="75" spans="2:16" s="492" customFormat="1" ht="30" customHeight="1">
      <c r="B75" s="502" t="s">
        <v>165</v>
      </c>
      <c r="C75" s="491">
        <f>+C71</f>
        <v>8103817.5660175635</v>
      </c>
      <c r="D75" s="491">
        <f t="shared" ref="D75:N75" si="20">+D71</f>
        <v>8103817.5660175635</v>
      </c>
      <c r="E75" s="491">
        <f t="shared" si="20"/>
        <v>4514928.6771286745</v>
      </c>
      <c r="F75" s="491">
        <f t="shared" si="20"/>
        <v>8103817.5660175635</v>
      </c>
      <c r="G75" s="491">
        <f t="shared" si="20"/>
        <v>4514928.6771286745</v>
      </c>
      <c r="H75" s="491">
        <f t="shared" si="20"/>
        <v>6741573.6816175645</v>
      </c>
      <c r="I75" s="491">
        <f t="shared" si="20"/>
        <v>12007521.269721266</v>
      </c>
      <c r="J75" s="491">
        <f t="shared" si="20"/>
        <v>15596410.158610156</v>
      </c>
      <c r="K75" s="491">
        <f t="shared" si="20"/>
        <v>9614928.6771286726</v>
      </c>
      <c r="L75" s="491">
        <f t="shared" si="20"/>
        <v>23089002.751202751</v>
      </c>
      <c r="M75" s="491">
        <f t="shared" si="20"/>
        <v>15911224.973424973</v>
      </c>
      <c r="N75" s="491">
        <f t="shared" si="20"/>
        <v>20362879.63560275</v>
      </c>
      <c r="O75" s="509"/>
    </row>
    <row r="76" spans="2:16">
      <c r="B76" s="430"/>
      <c r="C76" s="53"/>
      <c r="D76" s="53"/>
      <c r="E76" s="53"/>
      <c r="F76" s="53"/>
      <c r="G76" s="53"/>
      <c r="H76" s="53"/>
      <c r="I76" s="53"/>
      <c r="J76" s="53"/>
      <c r="K76" s="53"/>
      <c r="L76" s="53"/>
      <c r="M76" s="53"/>
      <c r="N76" s="53"/>
      <c r="O76" s="512"/>
    </row>
    <row r="77" spans="2:16">
      <c r="B77" s="430"/>
      <c r="C77" s="53"/>
      <c r="D77" s="53"/>
      <c r="E77" s="53"/>
      <c r="F77" s="53"/>
      <c r="G77" s="53"/>
      <c r="H77" s="53"/>
      <c r="I77" s="53"/>
      <c r="J77" s="53"/>
      <c r="K77" s="53"/>
      <c r="L77" s="53"/>
      <c r="M77" s="53"/>
      <c r="N77" s="53"/>
      <c r="O77" s="443"/>
    </row>
    <row r="78" spans="2:16">
      <c r="B78" s="820" t="s">
        <v>213</v>
      </c>
      <c r="C78" s="821"/>
      <c r="D78" s="821"/>
      <c r="E78" s="821"/>
      <c r="F78" s="821"/>
      <c r="G78" s="821"/>
      <c r="H78" s="821"/>
      <c r="I78" s="821"/>
      <c r="J78" s="821"/>
      <c r="K78" s="821"/>
      <c r="L78" s="821"/>
      <c r="M78" s="821"/>
      <c r="N78" s="821"/>
      <c r="O78" s="443"/>
    </row>
    <row r="79" spans="2:16">
      <c r="B79" s="505">
        <f>-'5-Plan de Inversion'!F81</f>
        <v>-15831618</v>
      </c>
      <c r="C79" s="490">
        <f>+C75</f>
        <v>8103817.5660175635</v>
      </c>
      <c r="D79" s="490">
        <f t="shared" ref="D79:N79" si="21">+D75</f>
        <v>8103817.5660175635</v>
      </c>
      <c r="E79" s="490">
        <f t="shared" si="21"/>
        <v>4514928.6771286745</v>
      </c>
      <c r="F79" s="490">
        <f t="shared" si="21"/>
        <v>8103817.5660175635</v>
      </c>
      <c r="G79" s="490">
        <f t="shared" si="21"/>
        <v>4514928.6771286745</v>
      </c>
      <c r="H79" s="490">
        <f t="shared" si="21"/>
        <v>6741573.6816175645</v>
      </c>
      <c r="I79" s="490">
        <f t="shared" si="21"/>
        <v>12007521.269721266</v>
      </c>
      <c r="J79" s="490">
        <f t="shared" si="21"/>
        <v>15596410.158610156</v>
      </c>
      <c r="K79" s="490">
        <f t="shared" si="21"/>
        <v>9614928.6771286726</v>
      </c>
      <c r="L79" s="490">
        <f t="shared" si="21"/>
        <v>23089002.751202751</v>
      </c>
      <c r="M79" s="490">
        <f t="shared" si="21"/>
        <v>15911224.973424973</v>
      </c>
      <c r="N79" s="490">
        <f t="shared" si="21"/>
        <v>20362879.63560275</v>
      </c>
      <c r="O79" s="443"/>
    </row>
    <row r="80" spans="2:16">
      <c r="B80" s="820" t="s">
        <v>214</v>
      </c>
      <c r="C80" s="821"/>
      <c r="D80" s="821"/>
      <c r="E80" s="821"/>
      <c r="F80" s="821"/>
      <c r="G80" s="821"/>
      <c r="H80" s="821"/>
      <c r="I80" s="821"/>
      <c r="J80" s="821"/>
      <c r="K80" s="821"/>
      <c r="L80" s="821"/>
      <c r="M80" s="821"/>
      <c r="N80" s="821"/>
      <c r="O80" s="443"/>
    </row>
    <row r="81" spans="2:18">
      <c r="B81" s="505">
        <f>-'5-Plan de Inversion'!F81</f>
        <v>-15831618</v>
      </c>
      <c r="C81" s="490">
        <f t="shared" ref="C81:N81" si="22">+C75</f>
        <v>8103817.5660175635</v>
      </c>
      <c r="D81" s="490">
        <f t="shared" si="22"/>
        <v>8103817.5660175635</v>
      </c>
      <c r="E81" s="490">
        <f t="shared" si="22"/>
        <v>4514928.6771286745</v>
      </c>
      <c r="F81" s="490">
        <f t="shared" si="22"/>
        <v>8103817.5660175635</v>
      </c>
      <c r="G81" s="490">
        <f t="shared" si="22"/>
        <v>4514928.6771286745</v>
      </c>
      <c r="H81" s="490">
        <f t="shared" si="22"/>
        <v>6741573.6816175645</v>
      </c>
      <c r="I81" s="490">
        <f t="shared" si="22"/>
        <v>12007521.269721266</v>
      </c>
      <c r="J81" s="490">
        <f t="shared" si="22"/>
        <v>15596410.158610156</v>
      </c>
      <c r="K81" s="490">
        <f t="shared" si="22"/>
        <v>9614928.6771286726</v>
      </c>
      <c r="L81" s="490">
        <f t="shared" si="22"/>
        <v>23089002.751202751</v>
      </c>
      <c r="M81" s="490">
        <f t="shared" si="22"/>
        <v>15911224.973424973</v>
      </c>
      <c r="N81" s="490">
        <f t="shared" si="22"/>
        <v>20362879.63560275</v>
      </c>
      <c r="O81" s="443"/>
    </row>
    <row r="82" spans="2:18">
      <c r="B82" s="430"/>
      <c r="C82" s="53"/>
      <c r="D82" s="53"/>
      <c r="E82" s="53"/>
      <c r="F82" s="53"/>
      <c r="G82" s="53"/>
      <c r="H82" s="53"/>
      <c r="I82" s="53"/>
      <c r="J82" s="53"/>
      <c r="K82" s="53"/>
      <c r="L82" s="53"/>
      <c r="M82" s="53"/>
      <c r="N82" s="53"/>
      <c r="O82" s="443"/>
    </row>
    <row r="83" spans="2:18" customFormat="1" ht="15" customHeight="1">
      <c r="B83" s="407"/>
      <c r="C83" s="3"/>
      <c r="D83" s="3"/>
      <c r="E83" s="3"/>
      <c r="F83" s="3"/>
      <c r="G83" s="3"/>
      <c r="H83" s="3"/>
      <c r="I83" s="3"/>
      <c r="J83" s="3"/>
      <c r="K83" s="3"/>
      <c r="L83" s="3"/>
      <c r="M83" s="3"/>
      <c r="N83" s="3"/>
      <c r="O83" s="413"/>
    </row>
    <row r="84" spans="2:18" customFormat="1" ht="15" customHeight="1">
      <c r="B84" s="407"/>
      <c r="C84" s="3"/>
      <c r="D84" s="3"/>
      <c r="E84" s="3"/>
      <c r="F84" s="3"/>
      <c r="G84" s="3"/>
      <c r="H84" s="3"/>
      <c r="I84" s="3"/>
      <c r="J84" s="3"/>
      <c r="K84" s="3"/>
      <c r="L84" s="3"/>
      <c r="M84" s="3"/>
      <c r="N84" s="3"/>
      <c r="O84" s="413"/>
    </row>
    <row r="85" spans="2:18" s="63" customFormat="1" ht="15" customHeight="1" thickBot="1">
      <c r="B85" s="376"/>
      <c r="C85" s="241"/>
      <c r="D85" s="241"/>
      <c r="E85" s="241"/>
      <c r="F85" s="241"/>
      <c r="G85" s="241"/>
      <c r="H85" s="241"/>
      <c r="I85" s="241"/>
      <c r="J85" s="241"/>
      <c r="K85" s="241"/>
      <c r="L85" s="241"/>
      <c r="M85" s="241"/>
      <c r="N85" s="241"/>
      <c r="O85" s="380"/>
    </row>
    <row r="86" spans="2:18" s="56" customFormat="1" ht="14.25" thickTop="1" thickBot="1">
      <c r="B86" s="269"/>
      <c r="C86" s="270"/>
      <c r="D86" s="270"/>
      <c r="E86" s="270"/>
      <c r="F86" s="270"/>
      <c r="G86" s="270"/>
      <c r="H86" s="270"/>
      <c r="I86" s="270"/>
      <c r="J86" s="270"/>
      <c r="K86" s="270"/>
      <c r="L86" s="270"/>
      <c r="M86" s="270"/>
      <c r="N86" s="270"/>
      <c r="O86" s="271"/>
      <c r="P86" s="65"/>
      <c r="Q86" s="65"/>
      <c r="R86" s="65"/>
    </row>
    <row r="87" spans="2:18" s="84" customFormat="1" ht="21" hidden="1" thickTop="1"/>
    <row r="88" spans="2:18" s="84" customFormat="1" ht="21" thickTop="1"/>
  </sheetData>
  <sheetProtection algorithmName="SHA-512" hashValue="ttgXAz/s9HldWI07+hgXN1KsCmUsirrhwoVAWptf5DZhX1qLth+9wLEhpuyxMsDJTT4Y0HqJwSmfZV2lsVNztQ==" saltValue="J9apEgg3Lil1hRaCStOMMA==" spinCount="100000" sheet="1" objects="1" scenarios="1" selectLockedCells="1"/>
  <mergeCells count="7">
    <mergeCell ref="B80:N80"/>
    <mergeCell ref="B3:O3"/>
    <mergeCell ref="I5:L5"/>
    <mergeCell ref="I7:L7"/>
    <mergeCell ref="B10:O10"/>
    <mergeCell ref="B78:N78"/>
    <mergeCell ref="B74:O74"/>
  </mergeCells>
  <phoneticPr fontId="9" type="noConversion"/>
  <dataValidations count="4">
    <dataValidation type="whole" operator="greaterThan" allowBlank="1" showInputMessage="1" showErrorMessage="1" errorTitle="ERROR EN DIGITACION" error="Este campo es unicamente unicamente_x000a_" sqref="Z11 W84" xr:uid="{00000000-0002-0000-0E00-000000000000}">
      <formula1>0</formula1>
    </dataValidation>
    <dataValidation type="list" allowBlank="1" showInputMessage="1" showErrorMessage="1" sqref="V11:X11" xr:uid="{00000000-0002-0000-0E00-000001000000}">
      <formula1>$E$64:$E$66</formula1>
    </dataValidation>
    <dataValidation type="list" operator="greaterThan" allowBlank="1" showInputMessage="1" showErrorMessage="1" errorTitle="ERROR EN DIGITACION" error="Este campo es unicamente unicamente_x000a_" sqref="Z10" xr:uid="{00000000-0002-0000-0E00-000002000000}">
      <formula1>$I$121:$I$124</formula1>
    </dataValidation>
    <dataValidation operator="greaterThan" allowBlank="1" showInputMessage="1" showErrorMessage="1" errorTitle="ERROR EN DIGITACION" error="Este campo es unicamente unicamente_x000a_" sqref="Z86 AD86 V86" xr:uid="{00000000-0002-0000-0E00-000003000000}"/>
  </dataValidations>
  <pageMargins left="0.75" right="0.75" top="1" bottom="1" header="0" footer="0"/>
  <pageSetup orientation="portrait" horizontalDpi="300" verticalDpi="300" r:id="rId1"/>
  <headerFooter alignWithMargins="0"/>
  <colBreaks count="1" manualBreakCount="1">
    <brk id="16" max="1048575" man="1"/>
  </colBreaks>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6">
    <pageSetUpPr fitToPage="1"/>
  </sheetPr>
  <dimension ref="A1:DA80"/>
  <sheetViews>
    <sheetView showGridLines="0" showRowColHeaders="0" zoomScale="75" zoomScaleNormal="75" zoomScaleSheetLayoutView="25" workbookViewId="0"/>
  </sheetViews>
  <sheetFormatPr baseColWidth="10" defaultColWidth="0" defaultRowHeight="20.25" zeroHeight="1"/>
  <cols>
    <col min="1" max="1" width="2.28515625" style="84" customWidth="1"/>
    <col min="2" max="2" width="45.7109375" style="84" customWidth="1"/>
    <col min="3" max="15" width="14.28515625" style="84" customWidth="1"/>
    <col min="16" max="16" width="11.42578125" style="84" customWidth="1"/>
    <col min="17" max="19" width="11.42578125" style="84" hidden="1" customWidth="1"/>
    <col min="20" max="20" width="16.42578125" style="84" hidden="1" customWidth="1"/>
    <col min="21" max="21" width="25.5703125" style="84" hidden="1" customWidth="1"/>
    <col min="22" max="22" width="12.7109375" style="84" hidden="1" customWidth="1"/>
    <col min="23" max="24" width="11.42578125" style="84" hidden="1" customWidth="1"/>
    <col min="25" max="25" width="16.85546875" style="84" hidden="1" customWidth="1"/>
    <col min="26" max="26" width="16.140625" style="84" hidden="1" customWidth="1"/>
    <col min="27" max="27" width="16" style="84" hidden="1" customWidth="1"/>
    <col min="28" max="28" width="13.5703125" style="84" hidden="1" customWidth="1"/>
    <col min="29" max="29" width="13.7109375" style="84" hidden="1" customWidth="1"/>
    <col min="30" max="30" width="17.42578125" style="84" hidden="1" customWidth="1"/>
    <col min="31" max="105" width="0" style="84" hidden="1" customWidth="1"/>
    <col min="106" max="16384" width="11.42578125" style="84" hidden="1"/>
  </cols>
  <sheetData>
    <row r="1" spans="1:17" s="63" customFormat="1" ht="13.5" thickBot="1">
      <c r="A1" s="246"/>
      <c r="B1" s="56"/>
      <c r="C1" s="56"/>
      <c r="D1" s="56"/>
      <c r="E1" s="56"/>
      <c r="F1" s="56"/>
      <c r="H1" s="56"/>
      <c r="I1" s="56"/>
      <c r="J1" s="56"/>
      <c r="K1" s="56"/>
      <c r="L1" s="56"/>
      <c r="M1" s="64"/>
    </row>
    <row r="2" spans="1:17" s="63" customFormat="1" ht="7.5" customHeight="1" thickTop="1">
      <c r="A2" s="56"/>
      <c r="B2" s="37"/>
      <c r="C2" s="38"/>
      <c r="D2" s="233"/>
      <c r="E2" s="233"/>
      <c r="F2" s="233"/>
      <c r="G2" s="233"/>
      <c r="H2" s="233"/>
      <c r="I2" s="233"/>
      <c r="J2" s="233"/>
      <c r="K2" s="233"/>
      <c r="L2" s="233"/>
      <c r="M2" s="233"/>
      <c r="N2" s="233"/>
      <c r="O2" s="234"/>
      <c r="P2" s="56"/>
      <c r="Q2" s="64"/>
    </row>
    <row r="3" spans="1:17" s="63" customFormat="1">
      <c r="A3" s="56"/>
      <c r="B3" s="618" t="s">
        <v>2790</v>
      </c>
      <c r="C3" s="619"/>
      <c r="D3" s="619"/>
      <c r="E3" s="619"/>
      <c r="F3" s="619"/>
      <c r="G3" s="619"/>
      <c r="H3" s="619"/>
      <c r="I3" s="619"/>
      <c r="J3" s="619"/>
      <c r="K3" s="619"/>
      <c r="L3" s="619"/>
      <c r="M3" s="619"/>
      <c r="N3" s="619"/>
      <c r="O3" s="620"/>
      <c r="P3" s="56"/>
      <c r="Q3" s="64"/>
    </row>
    <row r="4" spans="1:17" s="63" customFormat="1" ht="13.5" thickBot="1">
      <c r="A4" s="56"/>
      <c r="B4" s="201"/>
      <c r="C4" s="65"/>
      <c r="D4" s="65"/>
      <c r="E4" s="65"/>
      <c r="F4" s="65"/>
      <c r="G4" s="65"/>
      <c r="H4" s="65"/>
      <c r="I4" s="65"/>
      <c r="J4" s="65"/>
      <c r="K4" s="65"/>
      <c r="L4" s="65"/>
      <c r="M4" s="65"/>
      <c r="N4" s="65"/>
      <c r="O4" s="274"/>
      <c r="P4" s="56"/>
      <c r="Q4" s="64"/>
    </row>
    <row r="5" spans="1:17" s="63" customFormat="1" ht="14.25" thickTop="1" thickBot="1">
      <c r="B5" s="210"/>
      <c r="E5" s="393" t="s">
        <v>2579</v>
      </c>
      <c r="F5" s="393"/>
      <c r="G5" s="393"/>
      <c r="H5" s="280"/>
      <c r="I5" s="621" t="str">
        <f>+'1-Datos Generales'!$H$5</f>
        <v>SEGI</v>
      </c>
      <c r="J5" s="622"/>
      <c r="K5" s="622"/>
      <c r="L5" s="623"/>
      <c r="M5" s="388"/>
      <c r="N5" s="388"/>
      <c r="O5" s="202"/>
      <c r="Q5" s="64"/>
    </row>
    <row r="6" spans="1:17" s="56" customFormat="1" ht="4.5" customHeight="1" thickTop="1" thickBot="1">
      <c r="B6" s="201" t="s">
        <v>212</v>
      </c>
      <c r="E6" s="65"/>
      <c r="F6" s="65" t="s">
        <v>7</v>
      </c>
      <c r="G6" s="196"/>
      <c r="H6" s="196"/>
      <c r="I6" s="196"/>
      <c r="J6" s="65"/>
      <c r="K6" s="65"/>
      <c r="L6" s="65"/>
      <c r="M6" s="65"/>
      <c r="N6" s="65"/>
      <c r="O6" s="202"/>
      <c r="P6" s="65"/>
      <c r="Q6" s="65"/>
    </row>
    <row r="7" spans="1:17" s="63" customFormat="1" ht="14.25" thickTop="1" thickBot="1">
      <c r="B7" s="210"/>
      <c r="C7" s="64"/>
      <c r="D7" s="64"/>
      <c r="E7" s="393" t="s">
        <v>2576</v>
      </c>
      <c r="F7" s="393"/>
      <c r="G7" s="393"/>
      <c r="H7" s="280"/>
      <c r="I7" s="621">
        <f>+'1-Datos Generales'!$D$11</f>
        <v>0</v>
      </c>
      <c r="J7" s="622"/>
      <c r="K7" s="622"/>
      <c r="L7" s="623"/>
      <c r="M7" s="388"/>
      <c r="N7" s="388"/>
      <c r="O7" s="202"/>
      <c r="Q7" s="64"/>
    </row>
    <row r="8" spans="1:17" s="2" customFormat="1" ht="13.5" thickTop="1">
      <c r="B8" s="391"/>
      <c r="C8" s="47"/>
      <c r="D8" s="47"/>
      <c r="E8" s="47"/>
      <c r="F8" s="47"/>
      <c r="G8" s="47"/>
      <c r="H8" s="47"/>
      <c r="I8" s="47"/>
      <c r="J8" s="78"/>
      <c r="K8" s="78"/>
      <c r="L8" s="78"/>
      <c r="M8" s="78"/>
      <c r="N8" s="78"/>
      <c r="O8" s="392"/>
      <c r="P8" s="76"/>
    </row>
    <row r="9" spans="1:17" ht="21" thickBot="1">
      <c r="B9" s="467"/>
      <c r="C9" s="88"/>
      <c r="D9" s="88"/>
      <c r="E9" s="88"/>
      <c r="F9" s="88"/>
      <c r="G9" s="88"/>
      <c r="H9" s="88"/>
      <c r="I9" s="88"/>
      <c r="J9" s="88"/>
      <c r="K9" s="88"/>
      <c r="L9" s="88"/>
      <c r="M9" s="88"/>
      <c r="N9" s="88"/>
      <c r="O9" s="468"/>
    </row>
    <row r="10" spans="1:17" s="56" customFormat="1" ht="25.5" customHeight="1" thickBot="1">
      <c r="B10" s="765"/>
      <c r="C10" s="766"/>
      <c r="D10" s="766"/>
      <c r="E10" s="766"/>
      <c r="F10" s="766"/>
      <c r="G10" s="766"/>
      <c r="H10" s="766"/>
      <c r="I10" s="766"/>
      <c r="J10" s="766"/>
      <c r="K10" s="766"/>
      <c r="L10" s="766"/>
      <c r="M10" s="766"/>
      <c r="N10" s="766"/>
      <c r="O10" s="767"/>
    </row>
    <row r="11" spans="1:17" ht="18.75" customHeight="1">
      <c r="B11" s="467"/>
      <c r="C11" s="88"/>
      <c r="D11" s="88"/>
      <c r="E11" s="88"/>
      <c r="F11" s="88"/>
      <c r="G11" s="88"/>
      <c r="H11" s="88"/>
      <c r="I11" s="88"/>
      <c r="J11" s="88"/>
      <c r="K11" s="88"/>
      <c r="L11" s="88"/>
      <c r="M11" s="88"/>
      <c r="N11" s="88"/>
      <c r="O11" s="468"/>
    </row>
    <row r="12" spans="1:17" ht="30" customHeight="1">
      <c r="B12" s="499" t="s">
        <v>2707</v>
      </c>
      <c r="C12" s="517" t="s">
        <v>2741</v>
      </c>
      <c r="D12" s="517" t="s">
        <v>2742</v>
      </c>
      <c r="E12" s="517" t="s">
        <v>2743</v>
      </c>
      <c r="F12" s="517" t="s">
        <v>2744</v>
      </c>
      <c r="G12" s="517" t="s">
        <v>2745</v>
      </c>
      <c r="H12" s="517" t="s">
        <v>2746</v>
      </c>
      <c r="I12" s="517" t="s">
        <v>2747</v>
      </c>
      <c r="J12" s="517" t="s">
        <v>2748</v>
      </c>
      <c r="K12" s="517" t="s">
        <v>2749</v>
      </c>
      <c r="L12" s="517" t="s">
        <v>2750</v>
      </c>
      <c r="M12" s="517" t="s">
        <v>2751</v>
      </c>
      <c r="N12" s="517" t="s">
        <v>2752</v>
      </c>
      <c r="O12" s="517" t="s">
        <v>2753</v>
      </c>
      <c r="P12" s="85"/>
    </row>
    <row r="13" spans="1:17" s="518" customFormat="1" ht="18" customHeight="1">
      <c r="B13" s="500" t="s">
        <v>11</v>
      </c>
      <c r="C13" s="490">
        <f>+'Salida-1-Pto ingresos-insumos'!E39</f>
        <v>9444444.4444444459</v>
      </c>
      <c r="D13" s="490">
        <f>+'Salida-1-Pto ingresos-insumos'!E40</f>
        <v>9444444.4444444459</v>
      </c>
      <c r="E13" s="490">
        <f>+'Salida-1-Pto ingresos-insumos'!E41</f>
        <v>9444444.4444444459</v>
      </c>
      <c r="F13" s="490">
        <f>+'Salida-1-Pto ingresos-insumos'!E42</f>
        <v>9444444.4444444459</v>
      </c>
      <c r="G13" s="490">
        <f>+'Salida-1-Pto ingresos-insumos'!E43</f>
        <v>9444444.4444444459</v>
      </c>
      <c r="H13" s="490">
        <f>+'Salida-1-Pto ingresos-insumos'!E44</f>
        <v>9444444.4444444459</v>
      </c>
      <c r="I13" s="490">
        <f>+'Salida-1-Pto ingresos-insumos'!E45</f>
        <v>15740740.740740743</v>
      </c>
      <c r="J13" s="490">
        <f>+'Salida-1-Pto ingresos-insumos'!E46</f>
        <v>15740740.740740743</v>
      </c>
      <c r="K13" s="490">
        <f>+'Salida-1-Pto ingresos-insumos'!E47</f>
        <v>15740740.740740743</v>
      </c>
      <c r="L13" s="490">
        <f>+'Salida-1-Pto ingresos-insumos'!E48</f>
        <v>22037037.037037037</v>
      </c>
      <c r="M13" s="490">
        <f>+'Salida-1-Pto ingresos-insumos'!E49</f>
        <v>22037037.037037037</v>
      </c>
      <c r="N13" s="490">
        <f>+'Salida-1-Pto ingresos-insumos'!E50</f>
        <v>22037037.037037037</v>
      </c>
      <c r="O13" s="490">
        <f>SUM(C13:N13)</f>
        <v>170000000.00000003</v>
      </c>
      <c r="P13" s="519"/>
    </row>
    <row r="14" spans="1:17" s="518" customFormat="1" ht="18" customHeight="1">
      <c r="B14" s="500" t="s">
        <v>2770</v>
      </c>
      <c r="C14" s="490">
        <f>+'3-Pto Compras'!$I120</f>
        <v>0</v>
      </c>
      <c r="D14" s="490">
        <f>+'3-Pto Compras'!$I121</f>
        <v>0</v>
      </c>
      <c r="E14" s="490">
        <f>+'3-Pto Compras'!$I122</f>
        <v>0</v>
      </c>
      <c r="F14" s="490">
        <f>+'3-Pto Compras'!$I123</f>
        <v>0</v>
      </c>
      <c r="G14" s="490">
        <f>+'3-Pto Compras'!$I124</f>
        <v>0</v>
      </c>
      <c r="H14" s="490">
        <f>+'3-Pto Compras'!$I125</f>
        <v>0</v>
      </c>
      <c r="I14" s="490">
        <f>+'3-Pto Compras'!$I126</f>
        <v>0</v>
      </c>
      <c r="J14" s="490">
        <f>+'3-Pto Compras'!$I127</f>
        <v>0</v>
      </c>
      <c r="K14" s="490">
        <f>+'3-Pto Compras'!$I128</f>
        <v>0</v>
      </c>
      <c r="L14" s="490">
        <f>+'3-Pto Compras'!$I129</f>
        <v>0</v>
      </c>
      <c r="M14" s="490">
        <f>+'3-Pto Compras'!$I130</f>
        <v>0</v>
      </c>
      <c r="N14" s="490">
        <f>+'3-Pto Compras'!$I131</f>
        <v>0</v>
      </c>
      <c r="O14" s="490">
        <f>SUM(C14:N14)</f>
        <v>0</v>
      </c>
      <c r="P14" s="519"/>
    </row>
    <row r="15" spans="1:17" ht="21" customHeight="1">
      <c r="B15" s="515"/>
      <c r="C15" s="466"/>
      <c r="D15" s="466"/>
      <c r="E15" s="466"/>
      <c r="F15" s="466"/>
      <c r="G15" s="466"/>
      <c r="H15" s="466"/>
      <c r="I15" s="466"/>
      <c r="J15" s="466"/>
      <c r="K15" s="466"/>
      <c r="L15" s="466"/>
      <c r="M15" s="466"/>
      <c r="N15" s="466"/>
      <c r="O15" s="469"/>
      <c r="P15" s="85"/>
    </row>
    <row r="16" spans="1:17" ht="25.5" customHeight="1">
      <c r="B16" s="500" t="s">
        <v>124</v>
      </c>
      <c r="C16" s="456"/>
      <c r="D16" s="456"/>
      <c r="E16" s="456"/>
      <c r="F16" s="456"/>
      <c r="G16" s="456"/>
      <c r="H16" s="456"/>
      <c r="I16" s="456"/>
      <c r="J16" s="456"/>
      <c r="K16" s="456"/>
      <c r="L16" s="456"/>
      <c r="M16" s="456"/>
      <c r="N16" s="456"/>
      <c r="O16" s="508"/>
    </row>
    <row r="17" spans="2:105" ht="18" customHeight="1">
      <c r="B17" s="524" t="s">
        <v>228</v>
      </c>
      <c r="C17" s="490">
        <f>IF('5-Plan de Inversion'!$C$26&lt;30,(IF(0&lt;='5-Plan de Inversion'!$C$26,((1-('5-Plan de Inversion'!$C$26/30))*C13),0)),0)</f>
        <v>9444444.4444444459</v>
      </c>
      <c r="D17" s="490">
        <f>IF('5-Plan de Inversion'!$C$26&lt;30,(IF(0&lt;='5-Plan de Inversion'!$C$26,((1-('5-Plan de Inversion'!$C$26/30))*D13),0)),0)</f>
        <v>9444444.4444444459</v>
      </c>
      <c r="E17" s="490">
        <f>IF('5-Plan de Inversion'!$C$26&lt;30,(IF(0&lt;='5-Plan de Inversion'!$C$26,((1-('5-Plan de Inversion'!$C$26/30))*E13),0)),0)</f>
        <v>9444444.4444444459</v>
      </c>
      <c r="F17" s="490">
        <f>IF('5-Plan de Inversion'!$C$26&lt;30,(IF(0&lt;='5-Plan de Inversion'!$C$26,((1-('5-Plan de Inversion'!$C$26/30))*F13),0)),0)</f>
        <v>9444444.4444444459</v>
      </c>
      <c r="G17" s="490">
        <f>IF('5-Plan de Inversion'!$C$26&lt;30,(IF(0&lt;='5-Plan de Inversion'!$C$26,((1-('5-Plan de Inversion'!$C$26/30))*G13),0)),0)</f>
        <v>9444444.4444444459</v>
      </c>
      <c r="H17" s="490">
        <f>IF('5-Plan de Inversion'!$C$26&lt;30,(IF(0&lt;='5-Plan de Inversion'!$C$26,((1-('5-Plan de Inversion'!$C$26/30))*H13),0)),0)</f>
        <v>9444444.4444444459</v>
      </c>
      <c r="I17" s="490">
        <f>IF('5-Plan de Inversion'!$C$26&lt;30,(IF(0&lt;='5-Plan de Inversion'!$C$26,((1-('5-Plan de Inversion'!$C$26/30))*I13),0)),0)</f>
        <v>15740740.740740743</v>
      </c>
      <c r="J17" s="490">
        <f>IF('5-Plan de Inversion'!$C$26&lt;30,(IF(0&lt;='5-Plan de Inversion'!$C$26,((1-('5-Plan de Inversion'!$C$26/30))*J13),0)),0)</f>
        <v>15740740.740740743</v>
      </c>
      <c r="K17" s="490">
        <f>IF('5-Plan de Inversion'!$C$26&lt;30,(IF(0&lt;='5-Plan de Inversion'!$C$26,((1-('5-Plan de Inversion'!$C$26/30))*K13),0)),0)</f>
        <v>15740740.740740743</v>
      </c>
      <c r="L17" s="490">
        <f>IF('5-Plan de Inversion'!$C$26&lt;30,(IF(0&lt;='5-Plan de Inversion'!$C$26,((1-('5-Plan de Inversion'!$C$26/30))*L13),0)),0)</f>
        <v>22037037.037037037</v>
      </c>
      <c r="M17" s="490">
        <f>IF('5-Plan de Inversion'!$C$26&lt;30,(IF(0&lt;='5-Plan de Inversion'!$C$26,((1-('5-Plan de Inversion'!$C$26/30))*M13),0)),0)</f>
        <v>22037037.037037037</v>
      </c>
      <c r="N17" s="490">
        <f>IF('5-Plan de Inversion'!$C$26&lt;30,(IF(0&lt;='5-Plan de Inversion'!$C$26,((1-('5-Plan de Inversion'!$C$26/30))*N13),0)),0)</f>
        <v>22037037.037037037</v>
      </c>
      <c r="O17" s="490">
        <f>SUM(C17:N17)</f>
        <v>170000000.00000003</v>
      </c>
    </row>
    <row r="18" spans="2:105" s="86" customFormat="1" ht="18" customHeight="1">
      <c r="B18" s="524" t="s">
        <v>229</v>
      </c>
      <c r="C18" s="490">
        <f t="shared" ref="C18:O18" si="0">+C13-C17</f>
        <v>0</v>
      </c>
      <c r="D18" s="490">
        <f t="shared" si="0"/>
        <v>0</v>
      </c>
      <c r="E18" s="490">
        <f t="shared" si="0"/>
        <v>0</v>
      </c>
      <c r="F18" s="490">
        <f t="shared" si="0"/>
        <v>0</v>
      </c>
      <c r="G18" s="490">
        <f t="shared" si="0"/>
        <v>0</v>
      </c>
      <c r="H18" s="490">
        <f t="shared" si="0"/>
        <v>0</v>
      </c>
      <c r="I18" s="490">
        <f t="shared" si="0"/>
        <v>0</v>
      </c>
      <c r="J18" s="490">
        <f t="shared" si="0"/>
        <v>0</v>
      </c>
      <c r="K18" s="490">
        <f t="shared" si="0"/>
        <v>0</v>
      </c>
      <c r="L18" s="490">
        <f t="shared" si="0"/>
        <v>0</v>
      </c>
      <c r="M18" s="490">
        <f t="shared" si="0"/>
        <v>0</v>
      </c>
      <c r="N18" s="490">
        <f t="shared" si="0"/>
        <v>0</v>
      </c>
      <c r="O18" s="490">
        <f t="shared" si="0"/>
        <v>0</v>
      </c>
      <c r="U18" s="84"/>
      <c r="V18" s="84"/>
      <c r="W18" s="84"/>
      <c r="X18" s="84"/>
      <c r="Y18" s="84"/>
      <c r="Z18" s="84"/>
      <c r="AA18" s="84"/>
      <c r="AB18" s="84"/>
      <c r="AC18" s="84"/>
      <c r="AD18" s="84"/>
      <c r="CX18" s="87"/>
    </row>
    <row r="19" spans="2:105" ht="18" customHeight="1">
      <c r="B19" s="524" t="s">
        <v>230</v>
      </c>
      <c r="C19" s="490"/>
      <c r="D19" s="490">
        <f>(IF('5-Plan de Inversion'!$C$26&lt;=30,(C18),0))+(IF('5-Plan de Inversion'!$C$26&gt;30,((1-(('5-Plan de Inversion'!$C$26-30)/30))*C18),0))+(IF('5-Plan de Inversion'!$C$26&gt;30,(((('5-Plan de Inversion'!$C$26-30)/30))*B18),0))</f>
        <v>0</v>
      </c>
      <c r="E19" s="490">
        <f>(IF('5-Plan de Inversion'!$C$26&lt;=30,(D18),0))+(IF('5-Plan de Inversion'!$C$26&gt;30,((1-(('5-Plan de Inversion'!$C$26-30)/30))*D18),0))+(IF('5-Plan de Inversion'!$C$26&gt;30,(((('5-Plan de Inversion'!$C$26-30)/30))*C18),0))</f>
        <v>0</v>
      </c>
      <c r="F19" s="490">
        <f>(IF('5-Plan de Inversion'!$C$26&lt;=30,(E18),0))+(IF('5-Plan de Inversion'!$C$26&gt;30,((1-(('5-Plan de Inversion'!$C$26-30)/30))*E18),0))+(IF('5-Plan de Inversion'!$C$26&gt;30,(((('5-Plan de Inversion'!$C$26-30)/30))*D18),0))</f>
        <v>0</v>
      </c>
      <c r="G19" s="490">
        <f>(IF('5-Plan de Inversion'!$C$26&lt;=30,(F18),0))+(IF('5-Plan de Inversion'!$C$26&gt;30,((1-(('5-Plan de Inversion'!$C$26-30)/30))*F18),0))+(IF('5-Plan de Inversion'!$C$26&gt;30,(((('5-Plan de Inversion'!$C$26-30)/30))*E18),0))</f>
        <v>0</v>
      </c>
      <c r="H19" s="490">
        <f>(IF('5-Plan de Inversion'!$C$26&lt;=30,(G18),0))+(IF('5-Plan de Inversion'!$C$26&gt;30,((1-(('5-Plan de Inversion'!$C$26-30)/30))*G18),0))+(IF('5-Plan de Inversion'!$C$26&gt;30,(((('5-Plan de Inversion'!$C$26-30)/30))*F18),0))</f>
        <v>0</v>
      </c>
      <c r="I19" s="490">
        <f>(IF('5-Plan de Inversion'!$C$26&lt;=30,(H18),0))+(IF('5-Plan de Inversion'!$C$26&gt;30,((1-(('5-Plan de Inversion'!$C$26-30)/30))*H18),0))+(IF('5-Plan de Inversion'!$C$26&gt;30,(((('5-Plan de Inversion'!$C$26-30)/30))*G18),0))</f>
        <v>0</v>
      </c>
      <c r="J19" s="490">
        <f>(IF('5-Plan de Inversion'!$C$26&lt;=30,(I18),0))+(IF('5-Plan de Inversion'!$C$26&gt;30,((1-(('5-Plan de Inversion'!$C$26-30)/30))*I18),0))+(IF('5-Plan de Inversion'!$C$26&gt;30,(((('5-Plan de Inversion'!$C$26-30)/30))*H18),0))</f>
        <v>0</v>
      </c>
      <c r="K19" s="490">
        <f>(IF('5-Plan de Inversion'!$C$26&lt;=30,(J18),0))+(IF('5-Plan de Inversion'!$C$26&gt;30,((1-(('5-Plan de Inversion'!$C$26-30)/30))*J18),0))+(IF('5-Plan de Inversion'!$C$26&gt;30,(((('5-Plan de Inversion'!$C$26-30)/30))*I18),0))</f>
        <v>0</v>
      </c>
      <c r="L19" s="490">
        <f>(IF('5-Plan de Inversion'!$C$26&lt;=30,(K18),0))+(IF('5-Plan de Inversion'!$C$26&gt;30,((1-(('5-Plan de Inversion'!$C$26-30)/30))*K18),0))+(IF('5-Plan de Inversion'!$C$26&gt;30,(((('5-Plan de Inversion'!$C$26-30)/30))*J18),0))</f>
        <v>0</v>
      </c>
      <c r="M19" s="490">
        <f>(IF('5-Plan de Inversion'!$C$26&lt;=30,(L18),0))+(IF('5-Plan de Inversion'!$C$26&gt;30,((1-(('5-Plan de Inversion'!$C$26-30)/30))*L18),0))+(IF('5-Plan de Inversion'!$C$26&gt;30,(((('5-Plan de Inversion'!$C$26-30)/30))*K18),0))</f>
        <v>0</v>
      </c>
      <c r="N19" s="490">
        <f>(IF('5-Plan de Inversion'!$C$26&lt;=30,(M18),0))+(IF('5-Plan de Inversion'!$C$26&gt;30,((1-(('5-Plan de Inversion'!$C$26-30)/30))*M18),0))+(IF('5-Plan de Inversion'!$C$26&gt;30,(((('5-Plan de Inversion'!$C$26-30)/30))*L18),0))</f>
        <v>0</v>
      </c>
      <c r="O19" s="490">
        <f>SUM(C19:N19)</f>
        <v>0</v>
      </c>
      <c r="P19" s="88"/>
      <c r="Q19" s="88"/>
      <c r="R19" s="88"/>
      <c r="S19" s="88"/>
      <c r="T19" s="88"/>
      <c r="AE19" s="88"/>
      <c r="AF19" s="88"/>
      <c r="AG19" s="88"/>
      <c r="AH19" s="88"/>
      <c r="AI19" s="88"/>
      <c r="AJ19" s="88"/>
      <c r="AK19" s="88"/>
      <c r="AL19" s="88"/>
      <c r="AM19" s="88"/>
      <c r="AN19" s="88"/>
      <c r="AO19" s="88"/>
      <c r="AP19" s="88"/>
      <c r="AQ19" s="88"/>
      <c r="AR19" s="88"/>
      <c r="AS19" s="88"/>
      <c r="AT19" s="88"/>
      <c r="AU19" s="88"/>
      <c r="AV19" s="88"/>
      <c r="AW19" s="88"/>
      <c r="AX19" s="88"/>
      <c r="AY19" s="88"/>
      <c r="AZ19" s="88"/>
      <c r="BA19" s="88"/>
      <c r="BB19" s="88"/>
      <c r="BC19" s="88"/>
      <c r="BD19" s="88"/>
      <c r="BE19" s="88"/>
      <c r="BF19" s="88"/>
      <c r="BG19" s="88"/>
      <c r="BH19" s="88"/>
      <c r="BI19" s="88"/>
      <c r="BJ19" s="88"/>
      <c r="BK19" s="88"/>
      <c r="BL19" s="88"/>
      <c r="BM19" s="88"/>
      <c r="BN19" s="88"/>
      <c r="BO19" s="88"/>
      <c r="BP19" s="88"/>
      <c r="BQ19" s="88"/>
      <c r="BR19" s="88"/>
      <c r="BS19" s="88"/>
      <c r="BT19" s="88"/>
      <c r="BU19" s="88"/>
      <c r="BV19" s="88"/>
      <c r="BW19" s="88"/>
      <c r="BX19" s="88"/>
      <c r="BY19" s="88"/>
      <c r="BZ19" s="88"/>
      <c r="CA19" s="88"/>
      <c r="CB19" s="88"/>
      <c r="CC19" s="88"/>
      <c r="CD19" s="88"/>
      <c r="CE19" s="88"/>
      <c r="CF19" s="88"/>
      <c r="CG19" s="88"/>
      <c r="CH19" s="88"/>
      <c r="CI19" s="88"/>
      <c r="CJ19" s="88"/>
      <c r="CK19" s="88"/>
      <c r="CL19" s="88"/>
      <c r="CM19" s="88"/>
      <c r="CN19" s="88"/>
      <c r="CO19" s="88"/>
      <c r="CP19" s="88"/>
      <c r="CQ19" s="88"/>
      <c r="CR19" s="88"/>
      <c r="CS19" s="88"/>
      <c r="CT19" s="88"/>
      <c r="CU19" s="88"/>
      <c r="CV19" s="88"/>
      <c r="CW19" s="88"/>
      <c r="CX19" s="88"/>
      <c r="CY19" s="88"/>
      <c r="CZ19" s="88"/>
      <c r="DA19" s="88"/>
    </row>
    <row r="20" spans="2:105" ht="25.5" customHeight="1">
      <c r="B20" s="502" t="s">
        <v>126</v>
      </c>
      <c r="C20" s="491">
        <f t="shared" ref="C20:N20" si="1">+C17+C19</f>
        <v>9444444.4444444459</v>
      </c>
      <c r="D20" s="491">
        <f t="shared" si="1"/>
        <v>9444444.4444444459</v>
      </c>
      <c r="E20" s="491">
        <f t="shared" si="1"/>
        <v>9444444.4444444459</v>
      </c>
      <c r="F20" s="491">
        <f t="shared" si="1"/>
        <v>9444444.4444444459</v>
      </c>
      <c r="G20" s="491">
        <f t="shared" si="1"/>
        <v>9444444.4444444459</v>
      </c>
      <c r="H20" s="491">
        <f t="shared" si="1"/>
        <v>9444444.4444444459</v>
      </c>
      <c r="I20" s="491">
        <f t="shared" si="1"/>
        <v>15740740.740740743</v>
      </c>
      <c r="J20" s="491">
        <f t="shared" si="1"/>
        <v>15740740.740740743</v>
      </c>
      <c r="K20" s="491">
        <f t="shared" si="1"/>
        <v>15740740.740740743</v>
      </c>
      <c r="L20" s="491">
        <f t="shared" si="1"/>
        <v>22037037.037037037</v>
      </c>
      <c r="M20" s="491">
        <f t="shared" si="1"/>
        <v>22037037.037037037</v>
      </c>
      <c r="N20" s="491">
        <f t="shared" si="1"/>
        <v>22037037.037037037</v>
      </c>
      <c r="O20" s="491">
        <f>SUM(O17:O19)</f>
        <v>170000000.00000003</v>
      </c>
    </row>
    <row r="21" spans="2:105" ht="25.5" customHeight="1">
      <c r="B21" s="525" t="s">
        <v>125</v>
      </c>
      <c r="C21" s="456"/>
      <c r="D21" s="456"/>
      <c r="E21" s="456"/>
      <c r="F21" s="456"/>
      <c r="G21" s="456"/>
      <c r="H21" s="456"/>
      <c r="I21" s="456"/>
      <c r="J21" s="456"/>
      <c r="K21" s="456"/>
      <c r="L21" s="456"/>
      <c r="M21" s="456"/>
      <c r="N21" s="456"/>
      <c r="O21" s="508"/>
      <c r="P21" s="86"/>
    </row>
    <row r="22" spans="2:105" ht="25.5" customHeight="1">
      <c r="B22" s="526" t="s">
        <v>128</v>
      </c>
      <c r="C22" s="456"/>
      <c r="D22" s="456"/>
      <c r="E22" s="456"/>
      <c r="F22" s="456"/>
      <c r="G22" s="456"/>
      <c r="H22" s="456"/>
      <c r="I22" s="456"/>
      <c r="J22" s="456"/>
      <c r="K22" s="456"/>
      <c r="L22" s="456"/>
      <c r="M22" s="456"/>
      <c r="N22" s="456"/>
      <c r="O22" s="508"/>
      <c r="P22" s="86"/>
    </row>
    <row r="23" spans="2:105" ht="18" customHeight="1">
      <c r="B23" s="527" t="s">
        <v>236</v>
      </c>
      <c r="C23" s="496">
        <f t="shared" ref="C23:O23" si="2">SUM(C24:C30)</f>
        <v>3211914.2161768801</v>
      </c>
      <c r="D23" s="496">
        <f t="shared" si="2"/>
        <v>3211914.2161768801</v>
      </c>
      <c r="E23" s="496">
        <f t="shared" si="2"/>
        <v>3211914.2161768801</v>
      </c>
      <c r="F23" s="496">
        <f t="shared" si="2"/>
        <v>3211914.2161768801</v>
      </c>
      <c r="G23" s="496">
        <f t="shared" si="2"/>
        <v>3211914.2161768801</v>
      </c>
      <c r="H23" s="496">
        <f t="shared" si="2"/>
        <v>4574158.1005768795</v>
      </c>
      <c r="I23" s="496">
        <f t="shared" si="2"/>
        <v>3211914.2161768801</v>
      </c>
      <c r="J23" s="496">
        <f t="shared" si="2"/>
        <v>3211914.2161768801</v>
      </c>
      <c r="K23" s="496">
        <f t="shared" si="2"/>
        <v>3211914.2161768801</v>
      </c>
      <c r="L23" s="496">
        <f t="shared" si="2"/>
        <v>3211914.2161768801</v>
      </c>
      <c r="M23" s="496">
        <f t="shared" si="2"/>
        <v>3211914.2161768801</v>
      </c>
      <c r="N23" s="496">
        <f t="shared" si="2"/>
        <v>4574158.1005768795</v>
      </c>
      <c r="O23" s="496">
        <f t="shared" si="2"/>
        <v>41267458.362922557</v>
      </c>
      <c r="P23" s="86"/>
    </row>
    <row r="24" spans="2:105" ht="18" customHeight="1">
      <c r="B24" s="528" t="s">
        <v>2647</v>
      </c>
      <c r="C24" s="490">
        <f>(+'Salida-2-Pto Costos y Gastos'!$E$23+'Salida-2-Pto Costos y Gastos'!$E$33+'Salida-2-Pto Costos y Gastos'!$E$43)/12</f>
        <v>2725578</v>
      </c>
      <c r="D24" s="490">
        <f>(+'Salida-2-Pto Costos y Gastos'!$E$23+'Salida-2-Pto Costos y Gastos'!$E$33+'Salida-2-Pto Costos y Gastos'!$E$43)/12</f>
        <v>2725578</v>
      </c>
      <c r="E24" s="490">
        <f>(+'Salida-2-Pto Costos y Gastos'!$E$23+'Salida-2-Pto Costos y Gastos'!$E$33+'Salida-2-Pto Costos y Gastos'!$E$43)/12</f>
        <v>2725578</v>
      </c>
      <c r="F24" s="490">
        <f>(+'Salida-2-Pto Costos y Gastos'!$E$23+'Salida-2-Pto Costos y Gastos'!$E$33+'Salida-2-Pto Costos y Gastos'!$E$43)/12</f>
        <v>2725578</v>
      </c>
      <c r="G24" s="490">
        <f>(+'Salida-2-Pto Costos y Gastos'!$E$23+'Salida-2-Pto Costos y Gastos'!$E$33+'Salida-2-Pto Costos y Gastos'!$E$43)/12</f>
        <v>2725578</v>
      </c>
      <c r="H24" s="490">
        <f>(+'Salida-2-Pto Costos y Gastos'!$E$23+'Salida-2-Pto Costos y Gastos'!$E$33+'Salida-2-Pto Costos y Gastos'!$E$43)/12</f>
        <v>2725578</v>
      </c>
      <c r="I24" s="490">
        <f>(+'Salida-2-Pto Costos y Gastos'!$E$23+'Salida-2-Pto Costos y Gastos'!$E$33+'Salida-2-Pto Costos y Gastos'!$E$43)/12</f>
        <v>2725578</v>
      </c>
      <c r="J24" s="490">
        <f>(+'Salida-2-Pto Costos y Gastos'!$E$23+'Salida-2-Pto Costos y Gastos'!$E$33+'Salida-2-Pto Costos y Gastos'!$E$43)/12</f>
        <v>2725578</v>
      </c>
      <c r="K24" s="490">
        <f>(+'Salida-2-Pto Costos y Gastos'!$E$23+'Salida-2-Pto Costos y Gastos'!$E$33+'Salida-2-Pto Costos y Gastos'!$E$43)/12</f>
        <v>2725578</v>
      </c>
      <c r="L24" s="490">
        <f>(+'Salida-2-Pto Costos y Gastos'!$E$23+'Salida-2-Pto Costos y Gastos'!$E$33+'Salida-2-Pto Costos y Gastos'!$E$43)/12</f>
        <v>2725578</v>
      </c>
      <c r="M24" s="490">
        <f>(+'Salida-2-Pto Costos y Gastos'!$E$23+'Salida-2-Pto Costos y Gastos'!$E$33+'Salida-2-Pto Costos y Gastos'!$E$43)/12</f>
        <v>2725578</v>
      </c>
      <c r="N24" s="490">
        <f>(+'Salida-2-Pto Costos y Gastos'!$E$23+'Salida-2-Pto Costos y Gastos'!$E$33+'Salida-2-Pto Costos y Gastos'!$E$43)/12</f>
        <v>2725578</v>
      </c>
      <c r="O24" s="490">
        <f>SUM(C24:N24)</f>
        <v>32706936</v>
      </c>
      <c r="P24" s="86"/>
      <c r="T24" s="89"/>
    </row>
    <row r="25" spans="2:105" ht="18" customHeight="1">
      <c r="B25" s="528" t="s">
        <v>136</v>
      </c>
      <c r="C25" s="490">
        <f>(+'Salida-2-Pto Costos y Gastos'!$E$24+'Salida-2-Pto Costos y Gastos'!$E$34+'Salida-2-Pto Costos y Gastos'!$E$44)/12</f>
        <v>109023.12</v>
      </c>
      <c r="D25" s="490">
        <f>(+'Salida-2-Pto Costos y Gastos'!$E$24+'Salida-2-Pto Costos y Gastos'!$E$34+'Salida-2-Pto Costos y Gastos'!$E$44)/12</f>
        <v>109023.12</v>
      </c>
      <c r="E25" s="490">
        <f>(+'Salida-2-Pto Costos y Gastos'!$E$24+'Salida-2-Pto Costos y Gastos'!$E$34+'Salida-2-Pto Costos y Gastos'!$E$44)/12</f>
        <v>109023.12</v>
      </c>
      <c r="F25" s="490">
        <f>(+'Salida-2-Pto Costos y Gastos'!$E$24+'Salida-2-Pto Costos y Gastos'!$E$34+'Salida-2-Pto Costos y Gastos'!$E$44)/12</f>
        <v>109023.12</v>
      </c>
      <c r="G25" s="490">
        <f>(+'Salida-2-Pto Costos y Gastos'!$E$24+'Salida-2-Pto Costos y Gastos'!$E$34+'Salida-2-Pto Costos y Gastos'!$E$44)/12</f>
        <v>109023.12</v>
      </c>
      <c r="H25" s="490">
        <f>(+'Salida-2-Pto Costos y Gastos'!$E$24+'Salida-2-Pto Costos y Gastos'!$E$34+'Salida-2-Pto Costos y Gastos'!$E$44)/12</f>
        <v>109023.12</v>
      </c>
      <c r="I25" s="490">
        <f>(+'Salida-2-Pto Costos y Gastos'!$E$24+'Salida-2-Pto Costos y Gastos'!$E$34+'Salida-2-Pto Costos y Gastos'!$E$44)/12</f>
        <v>109023.12</v>
      </c>
      <c r="J25" s="490">
        <f>(+'Salida-2-Pto Costos y Gastos'!$E$24+'Salida-2-Pto Costos y Gastos'!$E$34+'Salida-2-Pto Costos y Gastos'!$E$44)/12</f>
        <v>109023.12</v>
      </c>
      <c r="K25" s="490">
        <f>(+'Salida-2-Pto Costos y Gastos'!$E$24+'Salida-2-Pto Costos y Gastos'!$E$34+'Salida-2-Pto Costos y Gastos'!$E$44)/12</f>
        <v>109023.12</v>
      </c>
      <c r="L25" s="490">
        <f>(+'Salida-2-Pto Costos y Gastos'!$E$24+'Salida-2-Pto Costos y Gastos'!$E$34+'Salida-2-Pto Costos y Gastos'!$E$44)/12</f>
        <v>109023.12</v>
      </c>
      <c r="M25" s="490">
        <f>(+'Salida-2-Pto Costos y Gastos'!$E$24+'Salida-2-Pto Costos y Gastos'!$E$34+'Salida-2-Pto Costos y Gastos'!$E$44)/12</f>
        <v>109023.12</v>
      </c>
      <c r="N25" s="490">
        <f>(+'Salida-2-Pto Costos y Gastos'!$E$24+'Salida-2-Pto Costos y Gastos'!$E$34+'Salida-2-Pto Costos y Gastos'!$E$44)/12</f>
        <v>109023.12</v>
      </c>
      <c r="O25" s="490">
        <f t="shared" ref="O25:O40" si="3">SUM(C25:N25)</f>
        <v>1308277.44</v>
      </c>
      <c r="P25" s="86"/>
    </row>
    <row r="26" spans="2:105" ht="18" customHeight="1">
      <c r="B26" s="528" t="s">
        <v>137</v>
      </c>
      <c r="C26" s="490">
        <f>((+'Salida-2-Pto Costos y Gastos'!$E$25+'Salida-2-Pto Costos y Gastos'!$E$35+'Salida-2-Pto Costos y Gastos'!$E$45)/12)+((+'Salida-2-Pto Costos y Gastos'!$E$26+'Salida-2-Pto Costos y Gastos'!$E$36+'Salida-2-Pto Costos y Gastos'!$E$46)/12)</f>
        <v>227313.09617687998</v>
      </c>
      <c r="D26" s="490">
        <f>((+'Salida-2-Pto Costos y Gastos'!$E$25+'Salida-2-Pto Costos y Gastos'!$E$35+'Salida-2-Pto Costos y Gastos'!$E$45)/12)+((+'Salida-2-Pto Costos y Gastos'!$E$26+'Salida-2-Pto Costos y Gastos'!$E$36+'Salida-2-Pto Costos y Gastos'!$E$46)/12)</f>
        <v>227313.09617687998</v>
      </c>
      <c r="E26" s="490">
        <f>((+'Salida-2-Pto Costos y Gastos'!$E$25+'Salida-2-Pto Costos y Gastos'!$E$35+'Salida-2-Pto Costos y Gastos'!$E$45)/12)+((+'Salida-2-Pto Costos y Gastos'!$E$26+'Salida-2-Pto Costos y Gastos'!$E$36+'Salida-2-Pto Costos y Gastos'!$E$46)/12)</f>
        <v>227313.09617687998</v>
      </c>
      <c r="F26" s="490">
        <f>((+'Salida-2-Pto Costos y Gastos'!$E$25+'Salida-2-Pto Costos y Gastos'!$E$35+'Salida-2-Pto Costos y Gastos'!$E$45)/12)+((+'Salida-2-Pto Costos y Gastos'!$E$26+'Salida-2-Pto Costos y Gastos'!$E$36+'Salida-2-Pto Costos y Gastos'!$E$46)/12)</f>
        <v>227313.09617687998</v>
      </c>
      <c r="G26" s="490">
        <f>((+'Salida-2-Pto Costos y Gastos'!$E$25+'Salida-2-Pto Costos y Gastos'!$E$35+'Salida-2-Pto Costos y Gastos'!$E$45)/12)+((+'Salida-2-Pto Costos y Gastos'!$E$26+'Salida-2-Pto Costos y Gastos'!$E$36+'Salida-2-Pto Costos y Gastos'!$E$46)/12)</f>
        <v>227313.09617687998</v>
      </c>
      <c r="H26" s="490">
        <f>((+'Salida-2-Pto Costos y Gastos'!$E$25+'Salida-2-Pto Costos y Gastos'!$E$35+'Salida-2-Pto Costos y Gastos'!$E$45)/12)+((+'Salida-2-Pto Costos y Gastos'!$E$26+'Salida-2-Pto Costos y Gastos'!$E$36+'Salida-2-Pto Costos y Gastos'!$E$46)/12)</f>
        <v>227313.09617687998</v>
      </c>
      <c r="I26" s="490">
        <f>((+'Salida-2-Pto Costos y Gastos'!$E$25+'Salida-2-Pto Costos y Gastos'!$E$35+'Salida-2-Pto Costos y Gastos'!$E$45)/12)+((+'Salida-2-Pto Costos y Gastos'!$E$26+'Salida-2-Pto Costos y Gastos'!$E$36+'Salida-2-Pto Costos y Gastos'!$E$46)/12)</f>
        <v>227313.09617687998</v>
      </c>
      <c r="J26" s="490">
        <f>((+'Salida-2-Pto Costos y Gastos'!$E$25+'Salida-2-Pto Costos y Gastos'!$E$35+'Salida-2-Pto Costos y Gastos'!$E$45)/12)+((+'Salida-2-Pto Costos y Gastos'!$E$26+'Salida-2-Pto Costos y Gastos'!$E$36+'Salida-2-Pto Costos y Gastos'!$E$46)/12)</f>
        <v>227313.09617687998</v>
      </c>
      <c r="K26" s="490">
        <f>((+'Salida-2-Pto Costos y Gastos'!$E$25+'Salida-2-Pto Costos y Gastos'!$E$35+'Salida-2-Pto Costos y Gastos'!$E$45)/12)+((+'Salida-2-Pto Costos y Gastos'!$E$26+'Salida-2-Pto Costos y Gastos'!$E$36+'Salida-2-Pto Costos y Gastos'!$E$46)/12)</f>
        <v>227313.09617687998</v>
      </c>
      <c r="L26" s="490">
        <f>((+'Salida-2-Pto Costos y Gastos'!$E$25+'Salida-2-Pto Costos y Gastos'!$E$35+'Salida-2-Pto Costos y Gastos'!$E$45)/12)+((+'Salida-2-Pto Costos y Gastos'!$E$26+'Salida-2-Pto Costos y Gastos'!$E$36+'Salida-2-Pto Costos y Gastos'!$E$46)/12)</f>
        <v>227313.09617687998</v>
      </c>
      <c r="M26" s="490">
        <f>((+'Salida-2-Pto Costos y Gastos'!$E$25+'Salida-2-Pto Costos y Gastos'!$E$35+'Salida-2-Pto Costos y Gastos'!$E$45)/12)+((+'Salida-2-Pto Costos y Gastos'!$E$26+'Salida-2-Pto Costos y Gastos'!$E$36+'Salida-2-Pto Costos y Gastos'!$E$46)/12)</f>
        <v>227313.09617687998</v>
      </c>
      <c r="N26" s="490">
        <f>((+'Salida-2-Pto Costos y Gastos'!$E$25+'Salida-2-Pto Costos y Gastos'!$E$35+'Salida-2-Pto Costos y Gastos'!$E$45)/12)+((+'Salida-2-Pto Costos y Gastos'!$E$26+'Salida-2-Pto Costos y Gastos'!$E$36+'Salida-2-Pto Costos y Gastos'!$E$46)/12)</f>
        <v>227313.09617687998</v>
      </c>
      <c r="O26" s="490">
        <f t="shared" si="3"/>
        <v>2727757.1541225598</v>
      </c>
      <c r="P26" s="86"/>
    </row>
    <row r="27" spans="2:105" ht="18" customHeight="1">
      <c r="B27" s="528" t="s">
        <v>138</v>
      </c>
      <c r="C27" s="450"/>
      <c r="D27" s="450"/>
      <c r="E27" s="450"/>
      <c r="F27" s="450"/>
      <c r="G27" s="450"/>
      <c r="H27" s="490">
        <f>(+'Salida-2-Pto Costos y Gastos'!$E$27+'Salida-2-Pto Costos y Gastos'!$E$37+'Salida-2-Pto Costos y Gastos'!$E$47)/2</f>
        <v>1362243.8843999999</v>
      </c>
      <c r="I27" s="450"/>
      <c r="J27" s="450"/>
      <c r="K27" s="450"/>
      <c r="L27" s="450"/>
      <c r="M27" s="450"/>
      <c r="N27" s="490">
        <f>(+'Salida-2-Pto Costos y Gastos'!$E$27+'Salida-2-Pto Costos y Gastos'!$E$37+'Salida-2-Pto Costos y Gastos'!$E$47)/2</f>
        <v>1362243.8843999999</v>
      </c>
      <c r="O27" s="490">
        <f t="shared" si="3"/>
        <v>2724487.7687999997</v>
      </c>
      <c r="P27" s="86"/>
    </row>
    <row r="28" spans="2:105" ht="18" customHeight="1">
      <c r="B28" s="528" t="s">
        <v>139</v>
      </c>
      <c r="C28" s="450"/>
      <c r="D28" s="450"/>
      <c r="E28" s="450"/>
      <c r="F28" s="450"/>
      <c r="G28" s="450"/>
      <c r="H28" s="450"/>
      <c r="I28" s="450"/>
      <c r="J28" s="450"/>
      <c r="K28" s="450"/>
      <c r="L28" s="450"/>
      <c r="M28" s="450"/>
      <c r="N28" s="490">
        <f>(+'Salida-2-Pto Costos y Gastos'!$E$2+'Salida-2-Pto Costos y Gastos'!$E$38+'Salida-2-Pto Costos y Gastos'!$E$48)</f>
        <v>0</v>
      </c>
      <c r="O28" s="490">
        <f t="shared" si="3"/>
        <v>0</v>
      </c>
      <c r="P28" s="86"/>
    </row>
    <row r="29" spans="2:105" ht="18" customHeight="1">
      <c r="B29" s="528" t="s">
        <v>140</v>
      </c>
      <c r="C29" s="490">
        <f>+'4-Pto de Costos y Gastos'!$C$63+'4-Pto de Costos y Gastos'!$F$63+'4-Pto de Costos y Gastos'!$I$63</f>
        <v>150000</v>
      </c>
      <c r="D29" s="490">
        <f>+'4-Pto de Costos y Gastos'!$C$63+'4-Pto de Costos y Gastos'!$F$63+'4-Pto de Costos y Gastos'!$I$63</f>
        <v>150000</v>
      </c>
      <c r="E29" s="490">
        <f>+'4-Pto de Costos y Gastos'!$C$63+'4-Pto de Costos y Gastos'!$F$63+'4-Pto de Costos y Gastos'!$I$63</f>
        <v>150000</v>
      </c>
      <c r="F29" s="490">
        <f>+'4-Pto de Costos y Gastos'!$C$63+'4-Pto de Costos y Gastos'!$F$63+'4-Pto de Costos y Gastos'!$I$63</f>
        <v>150000</v>
      </c>
      <c r="G29" s="490">
        <f>+'4-Pto de Costos y Gastos'!$C$63+'4-Pto de Costos y Gastos'!$F$63+'4-Pto de Costos y Gastos'!$I$63</f>
        <v>150000</v>
      </c>
      <c r="H29" s="490">
        <f>+'4-Pto de Costos y Gastos'!$C$63+'4-Pto de Costos y Gastos'!$F$63+'4-Pto de Costos y Gastos'!$I$63</f>
        <v>150000</v>
      </c>
      <c r="I29" s="490">
        <f>+'4-Pto de Costos y Gastos'!$C$63+'4-Pto de Costos y Gastos'!$F$63+'4-Pto de Costos y Gastos'!$I$63</f>
        <v>150000</v>
      </c>
      <c r="J29" s="490">
        <f>+'4-Pto de Costos y Gastos'!$C$63+'4-Pto de Costos y Gastos'!$F$63+'4-Pto de Costos y Gastos'!$I$63</f>
        <v>150000</v>
      </c>
      <c r="K29" s="490">
        <f>+'4-Pto de Costos y Gastos'!$C$63+'4-Pto de Costos y Gastos'!$F$63+'4-Pto de Costos y Gastos'!$I$63</f>
        <v>150000</v>
      </c>
      <c r="L29" s="490">
        <f>+'4-Pto de Costos y Gastos'!$C$63+'4-Pto de Costos y Gastos'!$F$63+'4-Pto de Costos y Gastos'!$I$63</f>
        <v>150000</v>
      </c>
      <c r="M29" s="490">
        <f>+'4-Pto de Costos y Gastos'!$C$63+'4-Pto de Costos y Gastos'!$F$63+'4-Pto de Costos y Gastos'!$I$63</f>
        <v>150000</v>
      </c>
      <c r="N29" s="490">
        <f>+'4-Pto de Costos y Gastos'!$C$63+'4-Pto de Costos y Gastos'!$F$63+'4-Pto de Costos y Gastos'!$I$63</f>
        <v>150000</v>
      </c>
      <c r="O29" s="490">
        <f t="shared" si="3"/>
        <v>1800000</v>
      </c>
      <c r="P29" s="86"/>
    </row>
    <row r="30" spans="2:105" ht="18" customHeight="1">
      <c r="B30" s="528" t="s">
        <v>141</v>
      </c>
      <c r="C30" s="490">
        <f>+'4-Pto de Costos y Gastos'!$C$65+'4-Pto de Costos y Gastos'!$F$65+'4-Pto de Costos y Gastos'!$I$65</f>
        <v>0</v>
      </c>
      <c r="D30" s="490">
        <f>+'4-Pto de Costos y Gastos'!$C$65+'4-Pto de Costos y Gastos'!$F$65+'4-Pto de Costos y Gastos'!$I$65</f>
        <v>0</v>
      </c>
      <c r="E30" s="490">
        <f>+'4-Pto de Costos y Gastos'!$C$65+'4-Pto de Costos y Gastos'!$F$65+'4-Pto de Costos y Gastos'!$I$65</f>
        <v>0</v>
      </c>
      <c r="F30" s="490">
        <f>+'4-Pto de Costos y Gastos'!$C$65+'4-Pto de Costos y Gastos'!$F$65+'4-Pto de Costos y Gastos'!$I$65</f>
        <v>0</v>
      </c>
      <c r="G30" s="490">
        <f>+'4-Pto de Costos y Gastos'!$C$65+'4-Pto de Costos y Gastos'!$F$65+'4-Pto de Costos y Gastos'!$I$65</f>
        <v>0</v>
      </c>
      <c r="H30" s="490">
        <f>+'4-Pto de Costos y Gastos'!$C$65+'4-Pto de Costos y Gastos'!$F$65+'4-Pto de Costos y Gastos'!$I$65</f>
        <v>0</v>
      </c>
      <c r="I30" s="490">
        <f>+'4-Pto de Costos y Gastos'!$C$65+'4-Pto de Costos y Gastos'!$F$65+'4-Pto de Costos y Gastos'!$I$65</f>
        <v>0</v>
      </c>
      <c r="J30" s="490">
        <f>+'4-Pto de Costos y Gastos'!$C$65+'4-Pto de Costos y Gastos'!$F$65+'4-Pto de Costos y Gastos'!$I$65</f>
        <v>0</v>
      </c>
      <c r="K30" s="490">
        <f>+'4-Pto de Costos y Gastos'!$C$65+'4-Pto de Costos y Gastos'!$F$65+'4-Pto de Costos y Gastos'!$I$65</f>
        <v>0</v>
      </c>
      <c r="L30" s="490">
        <f>+'4-Pto de Costos y Gastos'!$C$65+'4-Pto de Costos y Gastos'!$F$65+'4-Pto de Costos y Gastos'!$I$65</f>
        <v>0</v>
      </c>
      <c r="M30" s="490">
        <f>+'4-Pto de Costos y Gastos'!$C$65+'4-Pto de Costos y Gastos'!$F$65+'4-Pto de Costos y Gastos'!$I$65</f>
        <v>0</v>
      </c>
      <c r="N30" s="490">
        <f>+'4-Pto de Costos y Gastos'!$C$65+'4-Pto de Costos y Gastos'!$F$65+'4-Pto de Costos y Gastos'!$I$65</f>
        <v>0</v>
      </c>
      <c r="O30" s="490">
        <f t="shared" si="3"/>
        <v>0</v>
      </c>
      <c r="P30" s="86"/>
    </row>
    <row r="31" spans="2:105" ht="18" customHeight="1">
      <c r="B31" s="527" t="s">
        <v>237</v>
      </c>
      <c r="C31" s="490">
        <f>+'4-Pto de Costos y Gastos'!$C$57+'4-Pto de Costos y Gastos'!$F$57+'4-Pto de Costos y Gastos'!$I$57</f>
        <v>350000</v>
      </c>
      <c r="D31" s="490">
        <f>+'4-Pto de Costos y Gastos'!$C$57+'4-Pto de Costos y Gastos'!$F$57+'4-Pto de Costos y Gastos'!$I$57</f>
        <v>350000</v>
      </c>
      <c r="E31" s="490">
        <f>+'4-Pto de Costos y Gastos'!$C$57+'4-Pto de Costos y Gastos'!$F$57+'4-Pto de Costos y Gastos'!$I$57</f>
        <v>350000</v>
      </c>
      <c r="F31" s="490">
        <f>+'4-Pto de Costos y Gastos'!$C$57+'4-Pto de Costos y Gastos'!$F$57+'4-Pto de Costos y Gastos'!$I$57</f>
        <v>350000</v>
      </c>
      <c r="G31" s="490">
        <f>+'4-Pto de Costos y Gastos'!$C$57+'4-Pto de Costos y Gastos'!$F$57+'4-Pto de Costos y Gastos'!$I$57</f>
        <v>350000</v>
      </c>
      <c r="H31" s="490">
        <f>+'4-Pto de Costos y Gastos'!$C$57+'4-Pto de Costos y Gastos'!$F$57+'4-Pto de Costos y Gastos'!$I$57</f>
        <v>350000</v>
      </c>
      <c r="I31" s="490">
        <f>+'4-Pto de Costos y Gastos'!$C$57+'4-Pto de Costos y Gastos'!$F$57+'4-Pto de Costos y Gastos'!$I$57</f>
        <v>350000</v>
      </c>
      <c r="J31" s="490">
        <f>+'4-Pto de Costos y Gastos'!$C$57+'4-Pto de Costos y Gastos'!$F$57+'4-Pto de Costos y Gastos'!$I$57</f>
        <v>350000</v>
      </c>
      <c r="K31" s="490">
        <f>+'4-Pto de Costos y Gastos'!$C$57+'4-Pto de Costos y Gastos'!$F$57+'4-Pto de Costos y Gastos'!$I$57</f>
        <v>350000</v>
      </c>
      <c r="L31" s="490">
        <f>+'4-Pto de Costos y Gastos'!$C$57+'4-Pto de Costos y Gastos'!$F$57+'4-Pto de Costos y Gastos'!$I$57</f>
        <v>350000</v>
      </c>
      <c r="M31" s="490">
        <f>+'4-Pto de Costos y Gastos'!$C$57+'4-Pto de Costos y Gastos'!$F$57+'4-Pto de Costos y Gastos'!$I$57</f>
        <v>350000</v>
      </c>
      <c r="N31" s="490">
        <f>+'4-Pto de Costos y Gastos'!$C$57+'4-Pto de Costos y Gastos'!$F$57+'4-Pto de Costos y Gastos'!$I$57</f>
        <v>350000</v>
      </c>
      <c r="O31" s="490">
        <f t="shared" si="3"/>
        <v>4200000</v>
      </c>
      <c r="P31" s="86"/>
    </row>
    <row r="32" spans="2:105" ht="18" customHeight="1">
      <c r="B32" s="527" t="s">
        <v>238</v>
      </c>
      <c r="C32" s="496">
        <f t="shared" ref="C32:M32" si="4">SUM(C33:C35)</f>
        <v>260000</v>
      </c>
      <c r="D32" s="496">
        <f t="shared" si="4"/>
        <v>260000</v>
      </c>
      <c r="E32" s="496">
        <f t="shared" si="4"/>
        <v>260000</v>
      </c>
      <c r="F32" s="496">
        <f t="shared" si="4"/>
        <v>260000</v>
      </c>
      <c r="G32" s="496">
        <f t="shared" si="4"/>
        <v>260000</v>
      </c>
      <c r="H32" s="496">
        <f t="shared" si="4"/>
        <v>260000</v>
      </c>
      <c r="I32" s="496">
        <f t="shared" si="4"/>
        <v>260000</v>
      </c>
      <c r="J32" s="496">
        <f t="shared" si="4"/>
        <v>260000</v>
      </c>
      <c r="K32" s="496">
        <f t="shared" si="4"/>
        <v>260000</v>
      </c>
      <c r="L32" s="496">
        <f t="shared" si="4"/>
        <v>260000</v>
      </c>
      <c r="M32" s="496">
        <f t="shared" si="4"/>
        <v>260000</v>
      </c>
      <c r="N32" s="496">
        <f t="shared" ref="N32:O32" si="5">SUM(N33:N35)</f>
        <v>260000</v>
      </c>
      <c r="O32" s="496">
        <f t="shared" si="5"/>
        <v>3120000</v>
      </c>
      <c r="P32" s="86"/>
    </row>
    <row r="33" spans="2:18" ht="18" customHeight="1">
      <c r="B33" s="528" t="s">
        <v>144</v>
      </c>
      <c r="C33" s="490">
        <f>+'4-Pto de Costos y Gastos'!$C$58+'4-Pto de Costos y Gastos'!$F$58+'4-Pto de Costos y Gastos'!$I$58</f>
        <v>50000</v>
      </c>
      <c r="D33" s="490">
        <f>+'4-Pto de Costos y Gastos'!$C$58+'4-Pto de Costos y Gastos'!$F$58+'4-Pto de Costos y Gastos'!$I$58</f>
        <v>50000</v>
      </c>
      <c r="E33" s="490">
        <f>+'4-Pto de Costos y Gastos'!$C$58+'4-Pto de Costos y Gastos'!$F$58+'4-Pto de Costos y Gastos'!$I$58</f>
        <v>50000</v>
      </c>
      <c r="F33" s="490">
        <f>+'4-Pto de Costos y Gastos'!$C$58+'4-Pto de Costos y Gastos'!$F$58+'4-Pto de Costos y Gastos'!$I$58</f>
        <v>50000</v>
      </c>
      <c r="G33" s="490">
        <f>+'4-Pto de Costos y Gastos'!$C$58+'4-Pto de Costos y Gastos'!$F$58+'4-Pto de Costos y Gastos'!$I$58</f>
        <v>50000</v>
      </c>
      <c r="H33" s="490">
        <f>+'4-Pto de Costos y Gastos'!$C$58+'4-Pto de Costos y Gastos'!$F$58+'4-Pto de Costos y Gastos'!$I$58</f>
        <v>50000</v>
      </c>
      <c r="I33" s="490">
        <f>+'4-Pto de Costos y Gastos'!$C$58+'4-Pto de Costos y Gastos'!$F$58+'4-Pto de Costos y Gastos'!$I$58</f>
        <v>50000</v>
      </c>
      <c r="J33" s="490">
        <f>+'4-Pto de Costos y Gastos'!$C$58+'4-Pto de Costos y Gastos'!$F$58+'4-Pto de Costos y Gastos'!$I$58</f>
        <v>50000</v>
      </c>
      <c r="K33" s="490">
        <f>+'4-Pto de Costos y Gastos'!$C$58+'4-Pto de Costos y Gastos'!$F$58+'4-Pto de Costos y Gastos'!$I$58</f>
        <v>50000</v>
      </c>
      <c r="L33" s="490">
        <f>+'4-Pto de Costos y Gastos'!$C$58+'4-Pto de Costos y Gastos'!$F$58+'4-Pto de Costos y Gastos'!$I$58</f>
        <v>50000</v>
      </c>
      <c r="M33" s="490">
        <f>+'4-Pto de Costos y Gastos'!$C$58+'4-Pto de Costos y Gastos'!$F$58+'4-Pto de Costos y Gastos'!$I$58</f>
        <v>50000</v>
      </c>
      <c r="N33" s="490">
        <f>+'4-Pto de Costos y Gastos'!$C$58+'4-Pto de Costos y Gastos'!$F$58+'4-Pto de Costos y Gastos'!$I$58</f>
        <v>50000</v>
      </c>
      <c r="O33" s="490">
        <f t="shared" si="3"/>
        <v>600000</v>
      </c>
      <c r="P33" s="86"/>
    </row>
    <row r="34" spans="2:18" ht="18" customHeight="1">
      <c r="B34" s="528" t="s">
        <v>145</v>
      </c>
      <c r="C34" s="490">
        <f>+'4-Pto de Costos y Gastos'!$C$59+'4-Pto de Costos y Gastos'!$F$59+'4-Pto de Costos y Gastos'!$I$59</f>
        <v>30000</v>
      </c>
      <c r="D34" s="490">
        <f>+'4-Pto de Costos y Gastos'!$C$59+'4-Pto de Costos y Gastos'!$F$59+'4-Pto de Costos y Gastos'!$I$59</f>
        <v>30000</v>
      </c>
      <c r="E34" s="490">
        <f>+'4-Pto de Costos y Gastos'!$C$59+'4-Pto de Costos y Gastos'!$F$59+'4-Pto de Costos y Gastos'!$I$59</f>
        <v>30000</v>
      </c>
      <c r="F34" s="490">
        <f>+'4-Pto de Costos y Gastos'!$C$59+'4-Pto de Costos y Gastos'!$F$59+'4-Pto de Costos y Gastos'!$I$59</f>
        <v>30000</v>
      </c>
      <c r="G34" s="490">
        <f>+'4-Pto de Costos y Gastos'!$C$59+'4-Pto de Costos y Gastos'!$F$59+'4-Pto de Costos y Gastos'!$I$59</f>
        <v>30000</v>
      </c>
      <c r="H34" s="490">
        <f>+'4-Pto de Costos y Gastos'!$C$59+'4-Pto de Costos y Gastos'!$F$59+'4-Pto de Costos y Gastos'!$I$59</f>
        <v>30000</v>
      </c>
      <c r="I34" s="490">
        <f>+'4-Pto de Costos y Gastos'!$C$59+'4-Pto de Costos y Gastos'!$F$59+'4-Pto de Costos y Gastos'!$I$59</f>
        <v>30000</v>
      </c>
      <c r="J34" s="490">
        <f>+'4-Pto de Costos y Gastos'!$C$59+'4-Pto de Costos y Gastos'!$F$59+'4-Pto de Costos y Gastos'!$I$59</f>
        <v>30000</v>
      </c>
      <c r="K34" s="490">
        <f>+'4-Pto de Costos y Gastos'!$C$59+'4-Pto de Costos y Gastos'!$F$59+'4-Pto de Costos y Gastos'!$I$59</f>
        <v>30000</v>
      </c>
      <c r="L34" s="490">
        <f>+'4-Pto de Costos y Gastos'!$C$59+'4-Pto de Costos y Gastos'!$F$59+'4-Pto de Costos y Gastos'!$I$59</f>
        <v>30000</v>
      </c>
      <c r="M34" s="490">
        <f>+'4-Pto de Costos y Gastos'!$C$59+'4-Pto de Costos y Gastos'!$F$59+'4-Pto de Costos y Gastos'!$I$59</f>
        <v>30000</v>
      </c>
      <c r="N34" s="490">
        <f>+'4-Pto de Costos y Gastos'!$C$59+'4-Pto de Costos y Gastos'!$F$59+'4-Pto de Costos y Gastos'!$I$59</f>
        <v>30000</v>
      </c>
      <c r="O34" s="490">
        <f t="shared" si="3"/>
        <v>360000</v>
      </c>
      <c r="P34" s="86"/>
    </row>
    <row r="35" spans="2:18" ht="18" customHeight="1">
      <c r="B35" s="528" t="s">
        <v>146</v>
      </c>
      <c r="C35" s="490">
        <f>+'4-Pto de Costos y Gastos'!$C$60+'4-Pto de Costos y Gastos'!$F$60+'4-Pto de Costos y Gastos'!$I$60</f>
        <v>180000</v>
      </c>
      <c r="D35" s="490">
        <f>+'4-Pto de Costos y Gastos'!$C$60+'4-Pto de Costos y Gastos'!$F$60+'4-Pto de Costos y Gastos'!$I$60</f>
        <v>180000</v>
      </c>
      <c r="E35" s="490">
        <f>+'4-Pto de Costos y Gastos'!$C$60+'4-Pto de Costos y Gastos'!$F$60+'4-Pto de Costos y Gastos'!$I$60</f>
        <v>180000</v>
      </c>
      <c r="F35" s="490">
        <f>+'4-Pto de Costos y Gastos'!$C$60+'4-Pto de Costos y Gastos'!$F$60+'4-Pto de Costos y Gastos'!$I$60</f>
        <v>180000</v>
      </c>
      <c r="G35" s="490">
        <f>+'4-Pto de Costos y Gastos'!$C$60+'4-Pto de Costos y Gastos'!$F$60+'4-Pto de Costos y Gastos'!$I$60</f>
        <v>180000</v>
      </c>
      <c r="H35" s="490">
        <f>+'4-Pto de Costos y Gastos'!$C$60+'4-Pto de Costos y Gastos'!$F$60+'4-Pto de Costos y Gastos'!$I$60</f>
        <v>180000</v>
      </c>
      <c r="I35" s="490">
        <f>+'4-Pto de Costos y Gastos'!$C$60+'4-Pto de Costos y Gastos'!$F$60+'4-Pto de Costos y Gastos'!$I$60</f>
        <v>180000</v>
      </c>
      <c r="J35" s="490">
        <f>+'4-Pto de Costos y Gastos'!$C$60+'4-Pto de Costos y Gastos'!$F$60+'4-Pto de Costos y Gastos'!$I$60</f>
        <v>180000</v>
      </c>
      <c r="K35" s="490">
        <f>+'4-Pto de Costos y Gastos'!$C$60+'4-Pto de Costos y Gastos'!$F$60+'4-Pto de Costos y Gastos'!$I$60</f>
        <v>180000</v>
      </c>
      <c r="L35" s="490">
        <f>+'4-Pto de Costos y Gastos'!$C$60+'4-Pto de Costos y Gastos'!$F$60+'4-Pto de Costos y Gastos'!$I$60</f>
        <v>180000</v>
      </c>
      <c r="M35" s="490">
        <f>+'4-Pto de Costos y Gastos'!$C$60+'4-Pto de Costos y Gastos'!$F$60+'4-Pto de Costos y Gastos'!$I$60</f>
        <v>180000</v>
      </c>
      <c r="N35" s="490">
        <f>+'4-Pto de Costos y Gastos'!$C$60+'4-Pto de Costos y Gastos'!$F$60+'4-Pto de Costos y Gastos'!$I$60</f>
        <v>180000</v>
      </c>
      <c r="O35" s="490">
        <f t="shared" si="3"/>
        <v>2160000</v>
      </c>
      <c r="P35" s="86"/>
    </row>
    <row r="36" spans="2:18" ht="18" customHeight="1">
      <c r="B36" s="527" t="s">
        <v>239</v>
      </c>
      <c r="C36" s="490">
        <f>+'4-Pto de Costos y Gastos'!$C$62</f>
        <v>2000</v>
      </c>
      <c r="D36" s="490">
        <f>+'4-Pto de Costos y Gastos'!$C$62</f>
        <v>2000</v>
      </c>
      <c r="E36" s="490">
        <f>+'4-Pto de Costos y Gastos'!$C$62</f>
        <v>2000</v>
      </c>
      <c r="F36" s="490">
        <f>+'4-Pto de Costos y Gastos'!$C$62</f>
        <v>2000</v>
      </c>
      <c r="G36" s="490">
        <f>+'4-Pto de Costos y Gastos'!$C$62</f>
        <v>2000</v>
      </c>
      <c r="H36" s="490">
        <f>+'4-Pto de Costos y Gastos'!$C$62</f>
        <v>2000</v>
      </c>
      <c r="I36" s="490">
        <f>+'4-Pto de Costos y Gastos'!$C$62</f>
        <v>2000</v>
      </c>
      <c r="J36" s="490">
        <f>+'4-Pto de Costos y Gastos'!$C$62</f>
        <v>2000</v>
      </c>
      <c r="K36" s="490">
        <f>+'4-Pto de Costos y Gastos'!$C$62</f>
        <v>2000</v>
      </c>
      <c r="L36" s="490">
        <f>+'4-Pto de Costos y Gastos'!$C$62</f>
        <v>2000</v>
      </c>
      <c r="M36" s="490">
        <f>+'4-Pto de Costos y Gastos'!$C$62</f>
        <v>2000</v>
      </c>
      <c r="N36" s="490">
        <f>+'4-Pto de Costos y Gastos'!$C$62</f>
        <v>2000</v>
      </c>
      <c r="O36" s="490">
        <f t="shared" si="3"/>
        <v>24000</v>
      </c>
      <c r="P36" s="86"/>
    </row>
    <row r="37" spans="2:18" ht="18" customHeight="1">
      <c r="B37" s="527" t="s">
        <v>240</v>
      </c>
      <c r="C37" s="490">
        <f>+'4-Pto de Costos y Gastos'!$I$62</f>
        <v>0</v>
      </c>
      <c r="D37" s="490">
        <f>+'4-Pto de Costos y Gastos'!$I$62</f>
        <v>0</v>
      </c>
      <c r="E37" s="490">
        <f>+'4-Pto de Costos y Gastos'!$I$62</f>
        <v>0</v>
      </c>
      <c r="F37" s="490">
        <f>+'4-Pto de Costos y Gastos'!$I$62</f>
        <v>0</v>
      </c>
      <c r="G37" s="490">
        <f>+'4-Pto de Costos y Gastos'!$I$62</f>
        <v>0</v>
      </c>
      <c r="H37" s="490">
        <f>+'4-Pto de Costos y Gastos'!$I$62</f>
        <v>0</v>
      </c>
      <c r="I37" s="490">
        <f>+'4-Pto de Costos y Gastos'!$I$62</f>
        <v>0</v>
      </c>
      <c r="J37" s="490">
        <f>+'4-Pto de Costos y Gastos'!$I$62</f>
        <v>0</v>
      </c>
      <c r="K37" s="490">
        <f>+'4-Pto de Costos y Gastos'!$I$62</f>
        <v>0</v>
      </c>
      <c r="L37" s="490">
        <f>+'4-Pto de Costos y Gastos'!$I$62</f>
        <v>0</v>
      </c>
      <c r="M37" s="490">
        <f>+'4-Pto de Costos y Gastos'!$I$62</f>
        <v>0</v>
      </c>
      <c r="N37" s="490">
        <f>+'4-Pto de Costos y Gastos'!$I$62</f>
        <v>0</v>
      </c>
      <c r="O37" s="490">
        <f t="shared" si="3"/>
        <v>0</v>
      </c>
      <c r="P37" s="86"/>
    </row>
    <row r="38" spans="2:18" ht="18" customHeight="1">
      <c r="B38" s="527" t="s">
        <v>241</v>
      </c>
      <c r="C38" s="490">
        <f>+'4-Pto de Costos y Gastos'!$C$64+'4-Pto de Costos y Gastos'!$F$64+'4-Pto de Costos y Gastos'!$I$64</f>
        <v>60000</v>
      </c>
      <c r="D38" s="490">
        <f>+'4-Pto de Costos y Gastos'!$C$64+'4-Pto de Costos y Gastos'!$F$64+'4-Pto de Costos y Gastos'!$I$64</f>
        <v>60000</v>
      </c>
      <c r="E38" s="490">
        <f>+'4-Pto de Costos y Gastos'!$C$64+'4-Pto de Costos y Gastos'!$F$64+'4-Pto de Costos y Gastos'!$I$64</f>
        <v>60000</v>
      </c>
      <c r="F38" s="490">
        <f>+'4-Pto de Costos y Gastos'!$C$64+'4-Pto de Costos y Gastos'!$F$64+'4-Pto de Costos y Gastos'!$I$64</f>
        <v>60000</v>
      </c>
      <c r="G38" s="490">
        <f>+'4-Pto de Costos y Gastos'!$C$64+'4-Pto de Costos y Gastos'!$F$64+'4-Pto de Costos y Gastos'!$I$64</f>
        <v>60000</v>
      </c>
      <c r="H38" s="490">
        <f>+'4-Pto de Costos y Gastos'!$C$64+'4-Pto de Costos y Gastos'!$F$64+'4-Pto de Costos y Gastos'!$I$64</f>
        <v>60000</v>
      </c>
      <c r="I38" s="490">
        <f>+'4-Pto de Costos y Gastos'!$C$64+'4-Pto de Costos y Gastos'!$F$64+'4-Pto de Costos y Gastos'!$I$64</f>
        <v>60000</v>
      </c>
      <c r="J38" s="490">
        <f>+'4-Pto de Costos y Gastos'!$C$64+'4-Pto de Costos y Gastos'!$F$64+'4-Pto de Costos y Gastos'!$I$64</f>
        <v>60000</v>
      </c>
      <c r="K38" s="490">
        <f>+'4-Pto de Costos y Gastos'!$C$64+'4-Pto de Costos y Gastos'!$F$64+'4-Pto de Costos y Gastos'!$I$64</f>
        <v>60000</v>
      </c>
      <c r="L38" s="490">
        <f>+'4-Pto de Costos y Gastos'!$C$64+'4-Pto de Costos y Gastos'!$F$64+'4-Pto de Costos y Gastos'!$I$64</f>
        <v>60000</v>
      </c>
      <c r="M38" s="490">
        <f>+'4-Pto de Costos y Gastos'!$C$64+'4-Pto de Costos y Gastos'!$F$64+'4-Pto de Costos y Gastos'!$I$64</f>
        <v>60000</v>
      </c>
      <c r="N38" s="490">
        <f>+'4-Pto de Costos y Gastos'!$C$64+'4-Pto de Costos y Gastos'!$F$64+'4-Pto de Costos y Gastos'!$I$64</f>
        <v>60000</v>
      </c>
      <c r="O38" s="490">
        <f t="shared" si="3"/>
        <v>720000</v>
      </c>
      <c r="P38" s="86"/>
    </row>
    <row r="39" spans="2:18" ht="18" customHeight="1">
      <c r="B39" s="527" t="s">
        <v>242</v>
      </c>
      <c r="C39"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D39"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E39"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F39"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G39"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H39"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I39"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J39"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K39"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L39"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M39"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N39"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O39" s="490">
        <f t="shared" si="3"/>
        <v>480000</v>
      </c>
      <c r="P39" s="86"/>
      <c r="R39" s="89"/>
    </row>
    <row r="40" spans="2:18" ht="18" customHeight="1">
      <c r="B40" s="527" t="s">
        <v>2786</v>
      </c>
      <c r="C40" s="490">
        <f>+'Salida-3-Plan de Inversión'!$J$25/12</f>
        <v>0</v>
      </c>
      <c r="D40" s="490">
        <f>+'Salida-3-Plan de Inversión'!$J$25/12</f>
        <v>0</v>
      </c>
      <c r="E40" s="490">
        <f>+'Salida-3-Plan de Inversión'!$J$25/12</f>
        <v>0</v>
      </c>
      <c r="F40" s="490">
        <f>+'Salida-3-Plan de Inversión'!$J$25/12</f>
        <v>0</v>
      </c>
      <c r="G40" s="490">
        <f>+'Salida-3-Plan de Inversión'!$J$25/12</f>
        <v>0</v>
      </c>
      <c r="H40" s="490">
        <f>+'Salida-3-Plan de Inversión'!$J$25/12</f>
        <v>0</v>
      </c>
      <c r="I40" s="490">
        <f>+'Salida-3-Plan de Inversión'!$J$25/12</f>
        <v>0</v>
      </c>
      <c r="J40" s="490">
        <f>+'Salida-3-Plan de Inversión'!$J$25/12</f>
        <v>0</v>
      </c>
      <c r="K40" s="490">
        <f>+'Salida-3-Plan de Inversión'!$J$25/12</f>
        <v>0</v>
      </c>
      <c r="L40" s="490">
        <f>+'Salida-3-Plan de Inversión'!$J$25/12</f>
        <v>0</v>
      </c>
      <c r="M40" s="490">
        <f>+'Salida-3-Plan de Inversión'!$J$25/12</f>
        <v>0</v>
      </c>
      <c r="N40" s="490">
        <f>+'Salida-3-Plan de Inversión'!$J$25/12</f>
        <v>0</v>
      </c>
      <c r="O40" s="490">
        <f t="shared" si="3"/>
        <v>0</v>
      </c>
      <c r="P40" s="86"/>
      <c r="R40" s="89"/>
    </row>
    <row r="41" spans="2:18" ht="25.5" customHeight="1">
      <c r="B41" s="502" t="s">
        <v>29</v>
      </c>
      <c r="C41" s="491">
        <f t="shared" ref="C41:N41" si="6">+C23+C31+C32+C36+C37+C38+C39+C40</f>
        <v>3923914.2161768801</v>
      </c>
      <c r="D41" s="491">
        <f t="shared" si="6"/>
        <v>3923914.2161768801</v>
      </c>
      <c r="E41" s="491">
        <f t="shared" si="6"/>
        <v>3923914.2161768801</v>
      </c>
      <c r="F41" s="491">
        <f t="shared" si="6"/>
        <v>3923914.2161768801</v>
      </c>
      <c r="G41" s="491">
        <f t="shared" si="6"/>
        <v>3923914.2161768801</v>
      </c>
      <c r="H41" s="491">
        <f t="shared" si="6"/>
        <v>5286158.1005768795</v>
      </c>
      <c r="I41" s="491">
        <f t="shared" si="6"/>
        <v>3923914.2161768801</v>
      </c>
      <c r="J41" s="491">
        <f t="shared" si="6"/>
        <v>3923914.2161768801</v>
      </c>
      <c r="K41" s="491">
        <f t="shared" si="6"/>
        <v>3923914.2161768801</v>
      </c>
      <c r="L41" s="491">
        <f t="shared" si="6"/>
        <v>3923914.2161768801</v>
      </c>
      <c r="M41" s="491">
        <f t="shared" si="6"/>
        <v>3923914.2161768801</v>
      </c>
      <c r="N41" s="491">
        <f t="shared" si="6"/>
        <v>5286158.1005768795</v>
      </c>
      <c r="O41" s="509">
        <f>+O23+O31+O32+O36+O37+O38+O39</f>
        <v>49811458.362922557</v>
      </c>
      <c r="P41" s="86"/>
      <c r="Q41" s="90"/>
      <c r="R41" s="90"/>
    </row>
    <row r="42" spans="2:18" ht="25.5" customHeight="1">
      <c r="B42" s="503" t="s">
        <v>129</v>
      </c>
      <c r="C42" s="471"/>
      <c r="D42" s="471"/>
      <c r="E42" s="471"/>
      <c r="F42" s="471"/>
      <c r="G42" s="471"/>
      <c r="H42" s="471"/>
      <c r="I42" s="471"/>
      <c r="J42" s="471"/>
      <c r="K42" s="471"/>
      <c r="L42" s="471"/>
      <c r="M42" s="471"/>
      <c r="N42" s="471"/>
      <c r="O42" s="511"/>
      <c r="P42" s="86"/>
      <c r="Q42" s="91"/>
      <c r="R42" s="90"/>
    </row>
    <row r="43" spans="2:18" ht="18" customHeight="1">
      <c r="B43" s="527" t="s">
        <v>243</v>
      </c>
      <c r="C43" s="490">
        <f>IF('5-Plan de Inversion'!$D$40&lt;=30,((1-('5-Plan de Inversion'!$D$40/30))*C14),0)</f>
        <v>0</v>
      </c>
      <c r="D43" s="490">
        <f>IF('5-Plan de Inversion'!$D$40&lt;=30,((1-('5-Plan de Inversion'!$D$40/30))*D14),0)</f>
        <v>0</v>
      </c>
      <c r="E43" s="490">
        <f>IF('5-Plan de Inversion'!$D$40&lt;=30,((1-('5-Plan de Inversion'!$D$40/30))*E14),0)</f>
        <v>0</v>
      </c>
      <c r="F43" s="490">
        <f>IF('5-Plan de Inversion'!$D$40&lt;=30,((1-('5-Plan de Inversion'!$D$40/30))*F14),0)</f>
        <v>0</v>
      </c>
      <c r="G43" s="490">
        <f>IF('5-Plan de Inversion'!$D$40&lt;=30,((1-('5-Plan de Inversion'!$D$40/30))*G14),0)</f>
        <v>0</v>
      </c>
      <c r="H43" s="490">
        <f>IF('5-Plan de Inversion'!$D$40&lt;=30,((1-('5-Plan de Inversion'!$D$40/30))*H14),0)</f>
        <v>0</v>
      </c>
      <c r="I43" s="490">
        <f>IF('5-Plan de Inversion'!$D$40&lt;=30,((1-('5-Plan de Inversion'!$D$40/30))*I14),0)</f>
        <v>0</v>
      </c>
      <c r="J43" s="490">
        <f>IF('5-Plan de Inversion'!$D$40&lt;=30,((1-('5-Plan de Inversion'!$D$40/30))*J14),0)</f>
        <v>0</v>
      </c>
      <c r="K43" s="490">
        <f>IF('5-Plan de Inversion'!$D$40&lt;=30,((1-('5-Plan de Inversion'!$D$40/30))*K14),0)</f>
        <v>0</v>
      </c>
      <c r="L43" s="490">
        <f>IF('5-Plan de Inversion'!$D$40&lt;=30,((1-('5-Plan de Inversion'!$D$40/30))*L14),0)</f>
        <v>0</v>
      </c>
      <c r="M43" s="490">
        <f>IF('5-Plan de Inversion'!$D$40&lt;=30,((1-('5-Plan de Inversion'!$D$40/30))*M14),0)</f>
        <v>0</v>
      </c>
      <c r="N43" s="490">
        <f>IF('5-Plan de Inversion'!$D$40&lt;=30,((1-('5-Plan de Inversion'!$D$40/30))*N14),0)</f>
        <v>0</v>
      </c>
      <c r="O43" s="490">
        <f t="shared" ref="O43:O72" si="7">SUM(C43:N43)</f>
        <v>0</v>
      </c>
      <c r="P43" s="86"/>
      <c r="Q43" s="91"/>
      <c r="R43" s="91"/>
    </row>
    <row r="44" spans="2:18" ht="18" customHeight="1">
      <c r="B44" s="527" t="s">
        <v>244</v>
      </c>
      <c r="C44" s="490">
        <f t="shared" ref="C44:N44" si="8">C14-C43</f>
        <v>0</v>
      </c>
      <c r="D44" s="490">
        <f t="shared" si="8"/>
        <v>0</v>
      </c>
      <c r="E44" s="490">
        <f t="shared" si="8"/>
        <v>0</v>
      </c>
      <c r="F44" s="490">
        <f t="shared" si="8"/>
        <v>0</v>
      </c>
      <c r="G44" s="490">
        <f t="shared" si="8"/>
        <v>0</v>
      </c>
      <c r="H44" s="490">
        <f t="shared" si="8"/>
        <v>0</v>
      </c>
      <c r="I44" s="490">
        <f t="shared" si="8"/>
        <v>0</v>
      </c>
      <c r="J44" s="490">
        <f t="shared" si="8"/>
        <v>0</v>
      </c>
      <c r="K44" s="490">
        <f t="shared" si="8"/>
        <v>0</v>
      </c>
      <c r="L44" s="490">
        <f t="shared" si="8"/>
        <v>0</v>
      </c>
      <c r="M44" s="490">
        <f t="shared" si="8"/>
        <v>0</v>
      </c>
      <c r="N44" s="490">
        <f t="shared" si="8"/>
        <v>0</v>
      </c>
      <c r="O44" s="490">
        <f t="shared" si="7"/>
        <v>0</v>
      </c>
      <c r="P44" s="86"/>
    </row>
    <row r="45" spans="2:18" ht="18" customHeight="1">
      <c r="B45" s="527" t="s">
        <v>231</v>
      </c>
      <c r="C45" s="490"/>
      <c r="D45" s="490">
        <f>(IF('5-Plan de Inversion'!$D$40&lt;=30,(C44),0))+(IF('5-Plan de Inversion'!$D$40&gt;30,((1-(('5-Plan de Inversion'!$D$40-30)/30))*C44),0))+(IF('5-Plan de Inversion'!$D$40&gt;30,(((('5-Plan de Inversion'!$D$40-30)/30))*B44),0))</f>
        <v>0</v>
      </c>
      <c r="E45" s="490">
        <f>(IF('5-Plan de Inversion'!$D$40&lt;=30,(D44),0))+(IF('5-Plan de Inversion'!$D$40&gt;30,((1-(('5-Plan de Inversion'!$D$40-30)/30))*D44),0))+(IF('5-Plan de Inversion'!$D$40&gt;30,(((('5-Plan de Inversion'!$D$40-30)/30))*C44),0))</f>
        <v>0</v>
      </c>
      <c r="F45" s="490">
        <f>(IF('5-Plan de Inversion'!$D$40&lt;=30,(E44),0))+(IF('5-Plan de Inversion'!$D$40&gt;30,((1-(('5-Plan de Inversion'!$D$40-30)/30))*E44),0))+(IF('5-Plan de Inversion'!$D$40&gt;30,(((('5-Plan de Inversion'!$D$40-30)/30))*D44),0))</f>
        <v>0</v>
      </c>
      <c r="G45" s="490">
        <f>(IF('5-Plan de Inversion'!$D$40&lt;=30,(F44),0))+(IF('5-Plan de Inversion'!$D$40&gt;30,((1-(('5-Plan de Inversion'!$D$40-30)/30))*F44),0))+(IF('5-Plan de Inversion'!$D$40&gt;30,(((('5-Plan de Inversion'!$D$40-30)/30))*E44),0))</f>
        <v>0</v>
      </c>
      <c r="H45" s="490">
        <f>(IF('5-Plan de Inversion'!$D$40&lt;=30,(G44),0))+(IF('5-Plan de Inversion'!$D$40&gt;30,((1-(('5-Plan de Inversion'!$D$40-30)/30))*G44),0))+(IF('5-Plan de Inversion'!$D$40&gt;30,(((('5-Plan de Inversion'!$D$40-30)/30))*F44),0))</f>
        <v>0</v>
      </c>
      <c r="I45" s="490">
        <f>(IF('5-Plan de Inversion'!$D$40&lt;=30,(H44),0))+(IF('5-Plan de Inversion'!$D$40&gt;30,((1-(('5-Plan de Inversion'!$D$40-30)/30))*H44),0))+(IF('5-Plan de Inversion'!$D$40&gt;30,(((('5-Plan de Inversion'!$D$40-30)/30))*G44),0))</f>
        <v>0</v>
      </c>
      <c r="J45" s="490">
        <f>(IF('5-Plan de Inversion'!$D$40&lt;=30,(I44),0))+(IF('5-Plan de Inversion'!$D$40&gt;30,((1-(('5-Plan de Inversion'!$D$40-30)/30))*I44),0))+(IF('5-Plan de Inversion'!$D$40&gt;30,(((('5-Plan de Inversion'!$D$40-30)/30))*H44),0))</f>
        <v>0</v>
      </c>
      <c r="K45" s="490">
        <f>(IF('5-Plan de Inversion'!$D$40&lt;=30,(J44),0))+(IF('5-Plan de Inversion'!$D$40&gt;30,((1-(('5-Plan de Inversion'!$D$40-30)/30))*J44),0))+(IF('5-Plan de Inversion'!$D$40&gt;30,(((('5-Plan de Inversion'!$D$40-30)/30))*I44),0))</f>
        <v>0</v>
      </c>
      <c r="L45" s="490">
        <f>(IF('5-Plan de Inversion'!$D$40&lt;=30,(K44),0))+(IF('5-Plan de Inversion'!$D$40&gt;30,((1-(('5-Plan de Inversion'!$D$40-30)/30))*K44),0))+(IF('5-Plan de Inversion'!$D$40&gt;30,(((('5-Plan de Inversion'!$D$40-30)/30))*J44),0))</f>
        <v>0</v>
      </c>
      <c r="M45" s="490">
        <f>(IF('5-Plan de Inversion'!$D$40&lt;=30,(L44),0))+(IF('5-Plan de Inversion'!$D$40&gt;30,((1-(('5-Plan de Inversion'!$D$40-30)/30))*L44),0))+(IF('5-Plan de Inversion'!$D$40&gt;30,(((('5-Plan de Inversion'!$D$40-30)/30))*K44),0))</f>
        <v>0</v>
      </c>
      <c r="N45" s="490">
        <f>(IF('5-Plan de Inversion'!$D$40&lt;=30,(M44),0))+(IF('5-Plan de Inversion'!$D$40&gt;30,((1-(('5-Plan de Inversion'!$D$40-30)/30))*M44),0))+(IF('5-Plan de Inversion'!$D$40&gt;30,(((('5-Plan de Inversion'!$D$40-30)/30))*L44),0))</f>
        <v>0</v>
      </c>
      <c r="O45" s="490">
        <f t="shared" si="7"/>
        <v>0</v>
      </c>
      <c r="P45" s="86"/>
    </row>
    <row r="46" spans="2:18" ht="25.5" customHeight="1">
      <c r="B46" s="502" t="s">
        <v>29</v>
      </c>
      <c r="C46" s="491">
        <f t="shared" ref="C46:O46" si="9">SUM(C43:C45)</f>
        <v>0</v>
      </c>
      <c r="D46" s="491">
        <f t="shared" si="9"/>
        <v>0</v>
      </c>
      <c r="E46" s="491">
        <f t="shared" si="9"/>
        <v>0</v>
      </c>
      <c r="F46" s="491">
        <f t="shared" si="9"/>
        <v>0</v>
      </c>
      <c r="G46" s="491">
        <f t="shared" si="9"/>
        <v>0</v>
      </c>
      <c r="H46" s="491">
        <f t="shared" si="9"/>
        <v>0</v>
      </c>
      <c r="I46" s="491">
        <f t="shared" si="9"/>
        <v>0</v>
      </c>
      <c r="J46" s="491">
        <f t="shared" si="9"/>
        <v>0</v>
      </c>
      <c r="K46" s="491">
        <f t="shared" si="9"/>
        <v>0</v>
      </c>
      <c r="L46" s="491">
        <f t="shared" si="9"/>
        <v>0</v>
      </c>
      <c r="M46" s="491">
        <f t="shared" si="9"/>
        <v>0</v>
      </c>
      <c r="N46" s="491">
        <f t="shared" si="9"/>
        <v>0</v>
      </c>
      <c r="O46" s="509">
        <f t="shared" si="9"/>
        <v>0</v>
      </c>
      <c r="P46" s="86"/>
    </row>
    <row r="47" spans="2:18" ht="25.5" customHeight="1">
      <c r="B47" s="529" t="s">
        <v>127</v>
      </c>
      <c r="C47" s="491">
        <f t="shared" ref="C47:N47" si="10">C46+C41</f>
        <v>3923914.2161768801</v>
      </c>
      <c r="D47" s="491">
        <f t="shared" si="10"/>
        <v>3923914.2161768801</v>
      </c>
      <c r="E47" s="491">
        <f t="shared" si="10"/>
        <v>3923914.2161768801</v>
      </c>
      <c r="F47" s="491">
        <f t="shared" si="10"/>
        <v>3923914.2161768801</v>
      </c>
      <c r="G47" s="491">
        <f t="shared" si="10"/>
        <v>3923914.2161768801</v>
      </c>
      <c r="H47" s="491">
        <f t="shared" si="10"/>
        <v>5286158.1005768795</v>
      </c>
      <c r="I47" s="491">
        <f t="shared" si="10"/>
        <v>3923914.2161768801</v>
      </c>
      <c r="J47" s="491">
        <f t="shared" si="10"/>
        <v>3923914.2161768801</v>
      </c>
      <c r="K47" s="491">
        <f t="shared" si="10"/>
        <v>3923914.2161768801</v>
      </c>
      <c r="L47" s="491">
        <f t="shared" si="10"/>
        <v>3923914.2161768801</v>
      </c>
      <c r="M47" s="491">
        <f t="shared" si="10"/>
        <v>3923914.2161768801</v>
      </c>
      <c r="N47" s="491">
        <f t="shared" si="10"/>
        <v>5286158.1005768795</v>
      </c>
      <c r="O47" s="491">
        <f t="shared" si="7"/>
        <v>49811458.362922564</v>
      </c>
      <c r="P47" s="86"/>
    </row>
    <row r="48" spans="2:18" ht="25.5" customHeight="1">
      <c r="B48" s="529" t="s">
        <v>2787</v>
      </c>
      <c r="C48" s="491">
        <f t="shared" ref="C48:N48" si="11">C20-C47</f>
        <v>5520530.2282675654</v>
      </c>
      <c r="D48" s="491">
        <f t="shared" si="11"/>
        <v>5520530.2282675654</v>
      </c>
      <c r="E48" s="491">
        <f t="shared" si="11"/>
        <v>5520530.2282675654</v>
      </c>
      <c r="F48" s="491">
        <f t="shared" si="11"/>
        <v>5520530.2282675654</v>
      </c>
      <c r="G48" s="491">
        <f t="shared" si="11"/>
        <v>5520530.2282675654</v>
      </c>
      <c r="H48" s="491">
        <f t="shared" si="11"/>
        <v>4158286.3438675664</v>
      </c>
      <c r="I48" s="491">
        <f t="shared" si="11"/>
        <v>11816826.524563862</v>
      </c>
      <c r="J48" s="491">
        <f t="shared" si="11"/>
        <v>11816826.524563862</v>
      </c>
      <c r="K48" s="491">
        <f t="shared" si="11"/>
        <v>11816826.524563862</v>
      </c>
      <c r="L48" s="491">
        <f t="shared" si="11"/>
        <v>18113122.820860159</v>
      </c>
      <c r="M48" s="491">
        <f t="shared" si="11"/>
        <v>18113122.820860159</v>
      </c>
      <c r="N48" s="491">
        <f t="shared" si="11"/>
        <v>16750878.936460158</v>
      </c>
      <c r="O48" s="491">
        <f t="shared" si="7"/>
        <v>120188541.63707745</v>
      </c>
      <c r="P48" s="86"/>
    </row>
    <row r="49" spans="1:17" ht="25.5" customHeight="1">
      <c r="B49" s="530" t="s">
        <v>131</v>
      </c>
      <c r="C49" s="456"/>
      <c r="D49" s="456"/>
      <c r="E49" s="456"/>
      <c r="F49" s="456"/>
      <c r="G49" s="456"/>
      <c r="H49" s="456"/>
      <c r="I49" s="456"/>
      <c r="J49" s="456"/>
      <c r="K49" s="456"/>
      <c r="L49" s="456"/>
      <c r="M49" s="456"/>
      <c r="N49" s="456"/>
      <c r="O49" s="508"/>
      <c r="P49" s="86"/>
    </row>
    <row r="50" spans="1:17" ht="18" customHeight="1">
      <c r="A50" s="84" t="s">
        <v>7</v>
      </c>
      <c r="B50" s="527" t="s">
        <v>245</v>
      </c>
      <c r="C50" s="490">
        <f>+'Salida-3-Plan de Inversión'!J30</f>
        <v>0</v>
      </c>
      <c r="D50" s="450"/>
      <c r="E50" s="450"/>
      <c r="F50" s="450"/>
      <c r="G50" s="450"/>
      <c r="H50" s="450"/>
      <c r="I50" s="450"/>
      <c r="J50" s="450"/>
      <c r="K50" s="450"/>
      <c r="L50" s="450"/>
      <c r="M50" s="450"/>
      <c r="N50" s="450"/>
      <c r="O50" s="490">
        <f t="shared" si="7"/>
        <v>0</v>
      </c>
      <c r="P50" s="86"/>
    </row>
    <row r="51" spans="1:17" ht="18" customHeight="1">
      <c r="B51" s="527" t="s">
        <v>246</v>
      </c>
      <c r="C51" s="490">
        <f>+'Salida-3-Plan de Inversión'!J31</f>
        <v>0</v>
      </c>
      <c r="D51" s="450"/>
      <c r="E51" s="450"/>
      <c r="F51" s="450"/>
      <c r="G51" s="450"/>
      <c r="H51" s="450"/>
      <c r="I51" s="450"/>
      <c r="J51" s="450"/>
      <c r="K51" s="450"/>
      <c r="L51" s="450"/>
      <c r="M51" s="450"/>
      <c r="N51" s="450"/>
      <c r="O51" s="490">
        <f t="shared" si="7"/>
        <v>0</v>
      </c>
      <c r="P51" s="86"/>
    </row>
    <row r="52" spans="1:17" ht="18" customHeight="1">
      <c r="B52" s="527" t="s">
        <v>247</v>
      </c>
      <c r="C52" s="490">
        <f>+'Salida-3-Plan de Inversión'!J32</f>
        <v>14781618</v>
      </c>
      <c r="D52" s="450"/>
      <c r="E52" s="450"/>
      <c r="F52" s="450"/>
      <c r="G52" s="450"/>
      <c r="H52" s="450"/>
      <c r="I52" s="450"/>
      <c r="J52" s="450"/>
      <c r="K52" s="450"/>
      <c r="L52" s="450"/>
      <c r="M52" s="450"/>
      <c r="N52" s="450"/>
      <c r="O52" s="490">
        <f t="shared" si="7"/>
        <v>14781618</v>
      </c>
      <c r="P52" s="86"/>
    </row>
    <row r="53" spans="1:17" ht="18" customHeight="1">
      <c r="B53" s="527" t="s">
        <v>232</v>
      </c>
      <c r="C53" s="490">
        <f>+'Salida-3-Plan de Inversión'!J33</f>
        <v>1050000</v>
      </c>
      <c r="D53" s="450"/>
      <c r="E53" s="450"/>
      <c r="F53" s="450"/>
      <c r="G53" s="450"/>
      <c r="H53" s="450"/>
      <c r="I53" s="450"/>
      <c r="J53" s="450"/>
      <c r="K53" s="450"/>
      <c r="L53" s="450"/>
      <c r="M53" s="450"/>
      <c r="N53" s="450"/>
      <c r="O53" s="490">
        <f t="shared" si="7"/>
        <v>1050000</v>
      </c>
      <c r="P53" s="86"/>
    </row>
    <row r="54" spans="1:17" ht="18" customHeight="1">
      <c r="B54" s="527" t="s">
        <v>233</v>
      </c>
      <c r="C54" s="490">
        <f>+'Salida-3-Plan de Inversión'!J34</f>
        <v>0</v>
      </c>
      <c r="D54" s="450"/>
      <c r="E54" s="450"/>
      <c r="F54" s="450"/>
      <c r="G54" s="450"/>
      <c r="H54" s="450"/>
      <c r="I54" s="450"/>
      <c r="J54" s="450"/>
      <c r="K54" s="450"/>
      <c r="L54" s="450"/>
      <c r="M54" s="450"/>
      <c r="N54" s="450"/>
      <c r="O54" s="490">
        <f t="shared" si="7"/>
        <v>0</v>
      </c>
      <c r="P54" s="86"/>
    </row>
    <row r="55" spans="1:17" ht="25.5" customHeight="1">
      <c r="B55" s="502" t="s">
        <v>29</v>
      </c>
      <c r="C55" s="491">
        <f t="shared" ref="C55" si="12">SUM(C50:C54)</f>
        <v>15831618</v>
      </c>
      <c r="D55" s="491"/>
      <c r="E55" s="491"/>
      <c r="F55" s="491"/>
      <c r="G55" s="491"/>
      <c r="H55" s="491"/>
      <c r="I55" s="491"/>
      <c r="J55" s="491"/>
      <c r="K55" s="491"/>
      <c r="L55" s="491"/>
      <c r="M55" s="491"/>
      <c r="N55" s="491"/>
      <c r="O55" s="509">
        <f t="shared" si="7"/>
        <v>15831618</v>
      </c>
      <c r="P55" s="86"/>
    </row>
    <row r="56" spans="1:17" ht="25.5" customHeight="1">
      <c r="B56" s="530" t="s">
        <v>198</v>
      </c>
      <c r="C56" s="456"/>
      <c r="D56" s="456"/>
      <c r="E56" s="456"/>
      <c r="F56" s="456"/>
      <c r="G56" s="456"/>
      <c r="H56" s="456"/>
      <c r="I56" s="456"/>
      <c r="J56" s="456"/>
      <c r="K56" s="456"/>
      <c r="L56" s="456"/>
      <c r="M56" s="456"/>
      <c r="N56" s="456"/>
      <c r="O56" s="508"/>
      <c r="P56" s="86"/>
    </row>
    <row r="57" spans="1:17" ht="18" customHeight="1">
      <c r="B57" s="527" t="s">
        <v>248</v>
      </c>
      <c r="C57" s="490">
        <f>+'Salida-3-Plan de Inversión'!F36</f>
        <v>-27688382</v>
      </c>
      <c r="D57" s="450"/>
      <c r="E57" s="450"/>
      <c r="F57" s="450"/>
      <c r="G57" s="450"/>
      <c r="H57" s="450"/>
      <c r="I57" s="450"/>
      <c r="J57" s="450"/>
      <c r="K57" s="450"/>
      <c r="L57" s="450"/>
      <c r="M57" s="450"/>
      <c r="N57" s="450"/>
      <c r="O57" s="490">
        <f>C57</f>
        <v>-27688382</v>
      </c>
      <c r="P57" s="86"/>
    </row>
    <row r="58" spans="1:17" ht="18" customHeight="1">
      <c r="B58" s="527" t="s">
        <v>234</v>
      </c>
      <c r="C58" s="490">
        <f>+'Salida-3-Plan de Inversión'!H36</f>
        <v>43520000</v>
      </c>
      <c r="D58" s="450"/>
      <c r="E58" s="450"/>
      <c r="F58" s="450"/>
      <c r="G58" s="450"/>
      <c r="H58" s="450"/>
      <c r="I58" s="450"/>
      <c r="J58" s="450"/>
      <c r="K58" s="450"/>
      <c r="L58" s="450"/>
      <c r="M58" s="450"/>
      <c r="N58" s="450"/>
      <c r="O58" s="490">
        <f>C58</f>
        <v>43520000</v>
      </c>
      <c r="P58" s="86"/>
    </row>
    <row r="59" spans="1:17" ht="25.5" customHeight="1">
      <c r="B59" s="502" t="s">
        <v>29</v>
      </c>
      <c r="C59" s="491">
        <f>SUM(C57:C58)</f>
        <v>15831618</v>
      </c>
      <c r="D59" s="491"/>
      <c r="E59" s="491"/>
      <c r="F59" s="491"/>
      <c r="G59" s="491"/>
      <c r="H59" s="491"/>
      <c r="I59" s="491"/>
      <c r="J59" s="491"/>
      <c r="K59" s="491"/>
      <c r="L59" s="491"/>
      <c r="M59" s="491"/>
      <c r="N59" s="491"/>
      <c r="O59" s="509"/>
      <c r="P59" s="86"/>
    </row>
    <row r="60" spans="1:17" ht="25.5" customHeight="1">
      <c r="B60" s="530" t="s">
        <v>194</v>
      </c>
      <c r="C60" s="456"/>
      <c r="D60" s="456"/>
      <c r="E60" s="456"/>
      <c r="F60" s="456"/>
      <c r="G60" s="456"/>
      <c r="H60" s="456"/>
      <c r="I60" s="456"/>
      <c r="J60" s="456"/>
      <c r="K60" s="456"/>
      <c r="L60" s="456"/>
      <c r="M60" s="456"/>
      <c r="N60" s="456"/>
      <c r="O60" s="508"/>
      <c r="P60" s="86"/>
    </row>
    <row r="61" spans="1:17" ht="18" customHeight="1">
      <c r="B61" s="527" t="s">
        <v>235</v>
      </c>
      <c r="C61" s="490">
        <f>+'Salida-3-Plan de Inversión'!I74</f>
        <v>-246150.60610555322</v>
      </c>
      <c r="D61" s="490">
        <f>+'Salida-3-Plan de Inversión'!I75</f>
        <v>-250975.15798522218</v>
      </c>
      <c r="E61" s="490">
        <f>+'Salida-3-Plan de Inversión'!I76</f>
        <v>-255894.27108173247</v>
      </c>
      <c r="F61" s="490">
        <f>+'Salida-3-Plan de Inversión'!I77</f>
        <v>-260909.79879493441</v>
      </c>
      <c r="G61" s="490">
        <f>+'Salida-3-Plan de Inversión'!I78</f>
        <v>-266023.6308513151</v>
      </c>
      <c r="H61" s="490">
        <f>+'Salida-3-Plan de Inversión'!I79</f>
        <v>-271237.69401600084</v>
      </c>
      <c r="I61" s="490">
        <f>+'Salida-3-Plan de Inversión'!I80</f>
        <v>-276553.95281871449</v>
      </c>
      <c r="J61" s="490">
        <f>+'Salida-3-Plan de Inversión'!I81</f>
        <v>-281974.41029396123</v>
      </c>
      <c r="K61" s="490">
        <f>+'Salida-3-Plan de Inversión'!I82</f>
        <v>-287501.10873572296</v>
      </c>
      <c r="L61" s="490">
        <f>+'Salida-3-Plan de Inversión'!I83</f>
        <v>-293136.13046694308</v>
      </c>
      <c r="M61" s="490">
        <f>+'Salida-3-Plan de Inversión'!I84</f>
        <v>-298881.59862409515</v>
      </c>
      <c r="N61" s="490">
        <f>+'Salida-3-Plan de Inversión'!I85</f>
        <v>-304739.67795712739</v>
      </c>
      <c r="O61" s="490">
        <f t="shared" si="7"/>
        <v>-3293978.0377313229</v>
      </c>
      <c r="P61" s="86"/>
      <c r="Q61" s="89"/>
    </row>
    <row r="62" spans="1:17" ht="18" customHeight="1">
      <c r="B62" s="527" t="s">
        <v>249</v>
      </c>
      <c r="C62" s="490">
        <f>+'Salida-3-Plan de Inversión'!G74</f>
        <v>-542692.28720000002</v>
      </c>
      <c r="D62" s="490">
        <f>+'Salida-3-Plan de Inversión'!G75</f>
        <v>-537867.73532033106</v>
      </c>
      <c r="E62" s="490">
        <f>+'Salida-3-Plan de Inversión'!G76</f>
        <v>-532948.62222382077</v>
      </c>
      <c r="F62" s="490">
        <f>+'Salida-3-Plan de Inversión'!G77</f>
        <v>-527933.09451061883</v>
      </c>
      <c r="G62" s="490">
        <f>+'Salida-3-Plan de Inversión'!G78</f>
        <v>-522819.26245423814</v>
      </c>
      <c r="H62" s="490">
        <f>+'Salida-3-Plan de Inversión'!G79</f>
        <v>-517605.1992895524</v>
      </c>
      <c r="I62" s="490">
        <f>+'Salida-3-Plan de Inversión'!G80</f>
        <v>-512288.94048683875</v>
      </c>
      <c r="J62" s="490">
        <f>+'Salida-3-Plan de Inversión'!G81</f>
        <v>-506868.483011592</v>
      </c>
      <c r="K62" s="490">
        <f>+'Salida-3-Plan de Inversión'!G82</f>
        <v>-501341.78456983028</v>
      </c>
      <c r="L62" s="490">
        <f>+'Salida-3-Plan de Inversión'!G83</f>
        <v>-495706.76283861016</v>
      </c>
      <c r="M62" s="490">
        <f>+'Salida-3-Plan de Inversión'!G84</f>
        <v>-489961.29468145809</v>
      </c>
      <c r="N62" s="490">
        <f>+'Salida-3-Plan de Inversión'!G85</f>
        <v>-484103.21534842585</v>
      </c>
      <c r="O62" s="490">
        <f t="shared" si="7"/>
        <v>-6172136.6819353169</v>
      </c>
      <c r="P62" s="86"/>
    </row>
    <row r="63" spans="1:17" ht="25.5" customHeight="1">
      <c r="B63" s="502" t="s">
        <v>29</v>
      </c>
      <c r="C63" s="491">
        <f t="shared" ref="C63:N63" si="13">SUM(C61:C62)</f>
        <v>-788842.89330555324</v>
      </c>
      <c r="D63" s="491">
        <f t="shared" si="13"/>
        <v>-788842.89330555324</v>
      </c>
      <c r="E63" s="491">
        <f t="shared" si="13"/>
        <v>-788842.89330555324</v>
      </c>
      <c r="F63" s="491">
        <f t="shared" si="13"/>
        <v>-788842.89330555324</v>
      </c>
      <c r="G63" s="491">
        <f t="shared" si="13"/>
        <v>-788842.89330555324</v>
      </c>
      <c r="H63" s="491">
        <f t="shared" si="13"/>
        <v>-788842.89330555324</v>
      </c>
      <c r="I63" s="491">
        <f t="shared" si="13"/>
        <v>-788842.89330555324</v>
      </c>
      <c r="J63" s="491">
        <f t="shared" si="13"/>
        <v>-788842.89330555324</v>
      </c>
      <c r="K63" s="491">
        <f t="shared" si="13"/>
        <v>-788842.89330555324</v>
      </c>
      <c r="L63" s="491">
        <f t="shared" si="13"/>
        <v>-788842.89330555324</v>
      </c>
      <c r="M63" s="491">
        <f t="shared" si="13"/>
        <v>-788842.89330555324</v>
      </c>
      <c r="N63" s="491">
        <f t="shared" si="13"/>
        <v>-788842.89330555324</v>
      </c>
      <c r="O63" s="509">
        <f t="shared" si="7"/>
        <v>-9466114.7196666393</v>
      </c>
      <c r="P63" s="86"/>
    </row>
    <row r="64" spans="1:17" ht="25.5" customHeight="1">
      <c r="B64" s="502" t="s">
        <v>160</v>
      </c>
      <c r="C64" s="491">
        <f t="shared" ref="C64:N64" si="14">+C48-C55+C59-C63</f>
        <v>6309373.1215731185</v>
      </c>
      <c r="D64" s="491">
        <f t="shared" si="14"/>
        <v>6309373.1215731185</v>
      </c>
      <c r="E64" s="491">
        <f t="shared" si="14"/>
        <v>6309373.1215731185</v>
      </c>
      <c r="F64" s="491">
        <f t="shared" si="14"/>
        <v>6309373.1215731185</v>
      </c>
      <c r="G64" s="491">
        <f t="shared" si="14"/>
        <v>6309373.1215731185</v>
      </c>
      <c r="H64" s="491">
        <f t="shared" si="14"/>
        <v>4947129.2371731196</v>
      </c>
      <c r="I64" s="491">
        <f t="shared" si="14"/>
        <v>12605669.417869415</v>
      </c>
      <c r="J64" s="491">
        <f t="shared" si="14"/>
        <v>12605669.417869415</v>
      </c>
      <c r="K64" s="491">
        <f t="shared" si="14"/>
        <v>12605669.417869415</v>
      </c>
      <c r="L64" s="491">
        <f t="shared" si="14"/>
        <v>18901965.714165714</v>
      </c>
      <c r="M64" s="491">
        <f t="shared" si="14"/>
        <v>18901965.714165714</v>
      </c>
      <c r="N64" s="491">
        <f t="shared" si="14"/>
        <v>17539721.829765711</v>
      </c>
      <c r="O64" s="509">
        <f t="shared" si="7"/>
        <v>129654656.35674411</v>
      </c>
      <c r="P64" s="86"/>
    </row>
    <row r="65" spans="2:18" ht="25.5" customHeight="1">
      <c r="B65" s="531" t="s">
        <v>195</v>
      </c>
      <c r="C65" s="456"/>
      <c r="D65" s="456"/>
      <c r="E65" s="456"/>
      <c r="F65" s="456"/>
      <c r="G65" s="456"/>
      <c r="H65" s="456"/>
      <c r="I65" s="456"/>
      <c r="J65" s="456"/>
      <c r="K65" s="456"/>
      <c r="L65" s="456"/>
      <c r="M65" s="456"/>
      <c r="N65" s="456"/>
      <c r="O65" s="508"/>
      <c r="P65" s="86"/>
    </row>
    <row r="66" spans="2:18" ht="18" customHeight="1">
      <c r="B66" s="527" t="s">
        <v>250</v>
      </c>
      <c r="C66" s="490">
        <f>+C13*'Salida-4-P &amp; G'!$H$36</f>
        <v>1794444.4444444447</v>
      </c>
      <c r="D66" s="490">
        <f>+D13*'Salida-4-P &amp; G'!$H$36</f>
        <v>1794444.4444444447</v>
      </c>
      <c r="E66" s="490">
        <f>+E13*'Salida-4-P &amp; G'!$H$36</f>
        <v>1794444.4444444447</v>
      </c>
      <c r="F66" s="490">
        <f>+F13*'Salida-4-P &amp; G'!$H$36</f>
        <v>1794444.4444444447</v>
      </c>
      <c r="G66" s="490">
        <f>+G13*'Salida-4-P &amp; G'!$H$36</f>
        <v>1794444.4444444447</v>
      </c>
      <c r="H66" s="490">
        <f>+H13*'Salida-4-P &amp; G'!$H$36</f>
        <v>1794444.4444444447</v>
      </c>
      <c r="I66" s="490">
        <f>+I13*'Salida-4-P &amp; G'!$H$36</f>
        <v>2990740.7407407411</v>
      </c>
      <c r="J66" s="490">
        <f>+J13*'Salida-4-P &amp; G'!$H$36</f>
        <v>2990740.7407407411</v>
      </c>
      <c r="K66" s="490">
        <f>+K13*'Salida-4-P &amp; G'!$H$36</f>
        <v>2990740.7407407411</v>
      </c>
      <c r="L66" s="490">
        <f>+L13*'Salida-4-P &amp; G'!$H$36</f>
        <v>4187037.0370370373</v>
      </c>
      <c r="M66" s="490">
        <f>+M13*'Salida-4-P &amp; G'!$H$36</f>
        <v>4187037.0370370373</v>
      </c>
      <c r="N66" s="490">
        <f>+N13*'Salida-4-P &amp; G'!$H$36</f>
        <v>4187037.0370370373</v>
      </c>
      <c r="O66" s="490">
        <f>SUM(C66:N66)</f>
        <v>32300000.000000004</v>
      </c>
      <c r="P66" s="86"/>
    </row>
    <row r="67" spans="2:18" ht="18" customHeight="1">
      <c r="B67" s="527" t="s">
        <v>2781</v>
      </c>
      <c r="C67" s="450"/>
      <c r="D67" s="450"/>
      <c r="E67" s="490">
        <f t="shared" ref="E67:M67" si="15">SUM(C66:D66)</f>
        <v>3588888.8888888895</v>
      </c>
      <c r="F67" s="450"/>
      <c r="G67" s="490">
        <f t="shared" si="15"/>
        <v>3588888.8888888895</v>
      </c>
      <c r="H67" s="450"/>
      <c r="I67" s="490">
        <f t="shared" si="15"/>
        <v>3588888.8888888895</v>
      </c>
      <c r="J67" s="450"/>
      <c r="K67" s="490">
        <f t="shared" si="15"/>
        <v>5981481.4814814823</v>
      </c>
      <c r="L67" s="450"/>
      <c r="M67" s="490">
        <f t="shared" si="15"/>
        <v>7177777.777777778</v>
      </c>
      <c r="N67" s="450"/>
      <c r="O67" s="490">
        <f>SUM(C67:N67)</f>
        <v>23925925.925925925</v>
      </c>
      <c r="P67" s="92"/>
    </row>
    <row r="68" spans="2:18" ht="18" customHeight="1">
      <c r="B68" s="527" t="s">
        <v>2782</v>
      </c>
      <c r="C68" s="450"/>
      <c r="D68" s="450"/>
      <c r="E68" s="450"/>
      <c r="F68" s="450"/>
      <c r="G68" s="450"/>
      <c r="H68" s="450"/>
      <c r="I68" s="450"/>
      <c r="J68" s="450"/>
      <c r="K68" s="450"/>
      <c r="L68" s="450"/>
      <c r="M68" s="450"/>
      <c r="N68" s="450"/>
      <c r="O68" s="450"/>
      <c r="P68" s="86"/>
    </row>
    <row r="69" spans="2:18" ht="25.5" customHeight="1">
      <c r="B69" s="502" t="s">
        <v>29</v>
      </c>
      <c r="C69" s="491">
        <f>SUM(C66:C68)</f>
        <v>1794444.4444444447</v>
      </c>
      <c r="D69" s="491">
        <f t="shared" ref="D69:N69" si="16">SUM(D66:D68)</f>
        <v>1794444.4444444447</v>
      </c>
      <c r="E69" s="491">
        <f t="shared" si="16"/>
        <v>5383333.333333334</v>
      </c>
      <c r="F69" s="491">
        <f>SUM(F66:F68)</f>
        <v>1794444.4444444447</v>
      </c>
      <c r="G69" s="491">
        <f t="shared" si="16"/>
        <v>5383333.333333334</v>
      </c>
      <c r="H69" s="491">
        <f t="shared" si="16"/>
        <v>1794444.4444444447</v>
      </c>
      <c r="I69" s="491">
        <f t="shared" si="16"/>
        <v>6579629.6296296306</v>
      </c>
      <c r="J69" s="491">
        <f t="shared" si="16"/>
        <v>2990740.7407407411</v>
      </c>
      <c r="K69" s="491">
        <f t="shared" si="16"/>
        <v>8972222.2222222239</v>
      </c>
      <c r="L69" s="491">
        <f t="shared" si="16"/>
        <v>4187037.0370370373</v>
      </c>
      <c r="M69" s="491">
        <f t="shared" si="16"/>
        <v>11364814.814814815</v>
      </c>
      <c r="N69" s="491">
        <f t="shared" si="16"/>
        <v>4187037.0370370373</v>
      </c>
      <c r="O69" s="509">
        <f>SUM(O66:O68)</f>
        <v>56225925.925925925</v>
      </c>
      <c r="P69" s="86"/>
    </row>
    <row r="70" spans="2:18" ht="25.5" customHeight="1">
      <c r="B70" s="502" t="s">
        <v>2784</v>
      </c>
      <c r="C70" s="491">
        <f>+C64+C66-C67-C68</f>
        <v>8103817.5660175635</v>
      </c>
      <c r="D70" s="491">
        <f t="shared" ref="D70:N70" si="17">+D64+D66-D67-D68</f>
        <v>8103817.5660175635</v>
      </c>
      <c r="E70" s="491">
        <f t="shared" si="17"/>
        <v>4514928.6771286745</v>
      </c>
      <c r="F70" s="491">
        <f>+F64+F66-F67-F68</f>
        <v>8103817.5660175635</v>
      </c>
      <c r="G70" s="491">
        <f t="shared" si="17"/>
        <v>4514928.6771286745</v>
      </c>
      <c r="H70" s="491">
        <f t="shared" si="17"/>
        <v>6741573.6816175645</v>
      </c>
      <c r="I70" s="491">
        <f t="shared" si="17"/>
        <v>12007521.269721266</v>
      </c>
      <c r="J70" s="491">
        <f t="shared" si="17"/>
        <v>15596410.158610156</v>
      </c>
      <c r="K70" s="491">
        <f t="shared" si="17"/>
        <v>9614928.6771286726</v>
      </c>
      <c r="L70" s="491">
        <f t="shared" si="17"/>
        <v>23089002.751202751</v>
      </c>
      <c r="M70" s="491">
        <f t="shared" si="17"/>
        <v>15911224.973424973</v>
      </c>
      <c r="N70" s="491">
        <f t="shared" si="17"/>
        <v>21726758.866802748</v>
      </c>
      <c r="O70" s="509">
        <f t="shared" si="7"/>
        <v>138028730.43081817</v>
      </c>
      <c r="P70" s="86"/>
    </row>
    <row r="71" spans="2:18" ht="18" customHeight="1">
      <c r="B71" s="504" t="s">
        <v>7</v>
      </c>
      <c r="C71" s="490"/>
      <c r="D71" s="490">
        <f>+C72</f>
        <v>8103817.5660175635</v>
      </c>
      <c r="E71" s="490">
        <f>+D72</f>
        <v>16207635.132035127</v>
      </c>
      <c r="F71" s="490">
        <f t="shared" ref="F71:M71" si="18">+E72</f>
        <v>20722563.809163801</v>
      </c>
      <c r="G71" s="490">
        <f t="shared" si="18"/>
        <v>28826381.375181366</v>
      </c>
      <c r="H71" s="490">
        <f t="shared" si="18"/>
        <v>33341310.052310042</v>
      </c>
      <c r="I71" s="490">
        <f t="shared" si="18"/>
        <v>40082883.733927608</v>
      </c>
      <c r="J71" s="490">
        <f t="shared" si="18"/>
        <v>52090405.003648877</v>
      </c>
      <c r="K71" s="490">
        <f t="shared" si="18"/>
        <v>67686815.162259027</v>
      </c>
      <c r="L71" s="490">
        <f t="shared" si="18"/>
        <v>77301743.8393877</v>
      </c>
      <c r="M71" s="490">
        <f t="shared" si="18"/>
        <v>100390746.59059045</v>
      </c>
      <c r="N71" s="490">
        <f>+M72</f>
        <v>116301971.56401542</v>
      </c>
      <c r="O71" s="490">
        <f t="shared" si="7"/>
        <v>561056273.82853699</v>
      </c>
      <c r="P71" s="86"/>
    </row>
    <row r="72" spans="2:18" ht="25.5" customHeight="1">
      <c r="B72" s="502" t="s">
        <v>2785</v>
      </c>
      <c r="C72" s="491">
        <f t="shared" ref="C72:N72" si="19">C70+C71</f>
        <v>8103817.5660175635</v>
      </c>
      <c r="D72" s="491">
        <f t="shared" si="19"/>
        <v>16207635.132035127</v>
      </c>
      <c r="E72" s="491">
        <f t="shared" si="19"/>
        <v>20722563.809163801</v>
      </c>
      <c r="F72" s="491">
        <f t="shared" si="19"/>
        <v>28826381.375181366</v>
      </c>
      <c r="G72" s="491">
        <f t="shared" si="19"/>
        <v>33341310.052310042</v>
      </c>
      <c r="H72" s="491">
        <f t="shared" si="19"/>
        <v>40082883.733927608</v>
      </c>
      <c r="I72" s="491">
        <f t="shared" si="19"/>
        <v>52090405.003648877</v>
      </c>
      <c r="J72" s="491">
        <f t="shared" si="19"/>
        <v>67686815.162259027</v>
      </c>
      <c r="K72" s="491">
        <f t="shared" si="19"/>
        <v>77301743.8393877</v>
      </c>
      <c r="L72" s="491">
        <f t="shared" si="19"/>
        <v>100390746.59059045</v>
      </c>
      <c r="M72" s="491">
        <f t="shared" si="19"/>
        <v>116301971.56401542</v>
      </c>
      <c r="N72" s="491">
        <f t="shared" si="19"/>
        <v>138028730.43081817</v>
      </c>
      <c r="O72" s="509">
        <f t="shared" si="7"/>
        <v>699085004.25935519</v>
      </c>
      <c r="P72" s="86"/>
    </row>
    <row r="73" spans="2:18" ht="12" customHeight="1">
      <c r="B73" s="822"/>
      <c r="C73" s="823"/>
      <c r="D73" s="823"/>
      <c r="E73" s="823"/>
      <c r="F73" s="823"/>
      <c r="G73" s="823"/>
      <c r="H73" s="823"/>
      <c r="I73" s="823"/>
      <c r="J73" s="823"/>
      <c r="K73" s="823"/>
      <c r="L73" s="823"/>
      <c r="M73" s="823"/>
      <c r="N73" s="823"/>
      <c r="O73" s="823"/>
      <c r="P73" s="92"/>
    </row>
    <row r="74" spans="2:18" ht="30" customHeight="1">
      <c r="B74" s="502" t="s">
        <v>165</v>
      </c>
      <c r="C74" s="491">
        <f>+C70</f>
        <v>8103817.5660175635</v>
      </c>
      <c r="D74" s="491">
        <f t="shared" ref="D74:N74" si="20">+D70</f>
        <v>8103817.5660175635</v>
      </c>
      <c r="E74" s="491">
        <f t="shared" si="20"/>
        <v>4514928.6771286745</v>
      </c>
      <c r="F74" s="491">
        <f t="shared" si="20"/>
        <v>8103817.5660175635</v>
      </c>
      <c r="G74" s="491">
        <f t="shared" si="20"/>
        <v>4514928.6771286745</v>
      </c>
      <c r="H74" s="491">
        <f t="shared" si="20"/>
        <v>6741573.6816175645</v>
      </c>
      <c r="I74" s="491">
        <f t="shared" si="20"/>
        <v>12007521.269721266</v>
      </c>
      <c r="J74" s="491">
        <f t="shared" si="20"/>
        <v>15596410.158610156</v>
      </c>
      <c r="K74" s="491">
        <f t="shared" si="20"/>
        <v>9614928.6771286726</v>
      </c>
      <c r="L74" s="491">
        <f t="shared" si="20"/>
        <v>23089002.751202751</v>
      </c>
      <c r="M74" s="491">
        <f t="shared" si="20"/>
        <v>15911224.973424973</v>
      </c>
      <c r="N74" s="491">
        <f t="shared" si="20"/>
        <v>21726758.866802748</v>
      </c>
      <c r="O74" s="509"/>
      <c r="P74" s="86"/>
    </row>
    <row r="75" spans="2:18" customFormat="1" ht="15" customHeight="1">
      <c r="B75" s="407"/>
      <c r="C75" s="3"/>
      <c r="D75" s="3"/>
      <c r="E75" s="3"/>
      <c r="F75" s="3"/>
      <c r="G75" s="3"/>
      <c r="H75" s="3"/>
      <c r="I75" s="3"/>
      <c r="J75" s="3"/>
      <c r="K75" s="3"/>
      <c r="L75" s="3"/>
      <c r="M75" s="3"/>
      <c r="N75" s="3"/>
      <c r="O75" s="413"/>
    </row>
    <row r="76" spans="2:18" customFormat="1" ht="15" customHeight="1">
      <c r="B76" s="407"/>
      <c r="C76" s="3"/>
      <c r="D76" s="3"/>
      <c r="E76" s="3"/>
      <c r="F76" s="3"/>
      <c r="G76" s="3"/>
      <c r="H76" s="3"/>
      <c r="I76" s="3"/>
      <c r="J76" s="3"/>
      <c r="K76" s="3"/>
      <c r="L76" s="3"/>
      <c r="M76" s="3"/>
      <c r="N76" s="3"/>
      <c r="O76" s="413"/>
    </row>
    <row r="77" spans="2:18" s="63" customFormat="1" ht="15" customHeight="1" thickBot="1">
      <c r="B77" s="376"/>
      <c r="C77" s="241"/>
      <c r="D77" s="241"/>
      <c r="E77" s="241"/>
      <c r="F77" s="241"/>
      <c r="G77" s="241"/>
      <c r="H77" s="241"/>
      <c r="I77" s="241"/>
      <c r="J77" s="241"/>
      <c r="K77" s="241"/>
      <c r="L77" s="241"/>
      <c r="M77" s="241"/>
      <c r="N77" s="241"/>
      <c r="O77" s="380"/>
    </row>
    <row r="78" spans="2:18" s="56" customFormat="1" ht="14.25" thickTop="1" thickBot="1">
      <c r="B78" s="269"/>
      <c r="C78" s="270"/>
      <c r="D78" s="270"/>
      <c r="E78" s="270"/>
      <c r="F78" s="270"/>
      <c r="G78" s="270"/>
      <c r="H78" s="270"/>
      <c r="I78" s="270"/>
      <c r="J78" s="270"/>
      <c r="K78" s="270"/>
      <c r="L78" s="270"/>
      <c r="M78" s="270"/>
      <c r="N78" s="270"/>
      <c r="O78" s="271"/>
      <c r="P78" s="65"/>
      <c r="Q78" s="65"/>
      <c r="R78" s="65"/>
    </row>
    <row r="79" spans="2:18" ht="21" hidden="1" thickTop="1"/>
    <row r="80" spans="2:18" ht="21" thickTop="1"/>
  </sheetData>
  <sheetProtection algorithmName="SHA-512" hashValue="l35MTEk0p1cHvg/3fMEJBHfSNnXZaOg1TPuXd474AL/Oq4krr8tNsBjaSFY5RN4uUvUtKugz7P5Uk8QmS7Pgog==" saltValue="6EM0l5kgqPB1nF0jzL54OQ==" spinCount="100000" sheet="1" objects="1" scenarios="1" selectLockedCells="1"/>
  <mergeCells count="5">
    <mergeCell ref="B3:O3"/>
    <mergeCell ref="I5:L5"/>
    <mergeCell ref="I7:L7"/>
    <mergeCell ref="B10:O10"/>
    <mergeCell ref="B73:O73"/>
  </mergeCells>
  <phoneticPr fontId="0" type="noConversion"/>
  <dataValidations count="5">
    <dataValidation type="list" operator="greaterThan" allowBlank="1" showInputMessage="1" showErrorMessage="1" errorTitle="ERROR EN DIGITACION" error="Este campo es unicamente unicamente_x000a_" sqref="Z28" xr:uid="{00000000-0002-0000-0F00-000000000000}">
      <formula1>$I$104:$I$105</formula1>
    </dataValidation>
    <dataValidation type="list" operator="greaterThan" allowBlank="1" showInputMessage="1" showErrorMessage="1" errorTitle="ERROR EN DIGITACION" error="Este campo es unicamente unicamente_x000a_" sqref="Z10" xr:uid="{00000000-0002-0000-0F00-000001000000}">
      <formula1>$I$104:$I$107</formula1>
    </dataValidation>
    <dataValidation type="whole" operator="greaterThan" allowBlank="1" showInputMessage="1" showErrorMessage="1" errorTitle="ERROR EN DIGITACION" error="Este campo es unicamente unicamente_x000a_" sqref="AC30:AC32 Z11:Z14 V18:W19 Z17:AA18 V35:X36 Z35:AA35 AD39:AD41 V46:X46 Z29 W76 AD21:AD22" xr:uid="{00000000-0002-0000-0F00-000002000000}">
      <formula1>0</formula1>
    </dataValidation>
    <dataValidation operator="greaterThan" allowBlank="1" showInputMessage="1" showErrorMessage="1" errorTitle="ERROR EN DIGITACION" error="Este campo es unicamente unicamente_x000a_" sqref="Z78 AD78 V78" xr:uid="{00000000-0002-0000-0F00-000003000000}"/>
    <dataValidation type="list" allowBlank="1" showInputMessage="1" showErrorMessage="1" sqref="V15:X15 V37:X37 Z45:AB45 V33:X33 V17:X17 V29:X29 V11:X11" xr:uid="{00000000-0002-0000-0F00-000004000000}">
      <formula1>#REF!</formula1>
    </dataValidation>
  </dataValidations>
  <printOptions horizontalCentered="1" verticalCentered="1"/>
  <pageMargins left="0" right="0" top="0" bottom="0" header="0" footer="0"/>
  <pageSetup scale="29" orientation="landscape" horizontalDpi="300" r:id="rId1"/>
  <headerFooter alignWithMargins="0"/>
  <colBreaks count="3" manualBreakCount="3">
    <brk id="1" max="1048575" man="1"/>
    <brk id="5" max="1048575" man="1"/>
    <brk id="15" max="1048575" man="1"/>
  </colBreaks>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4">
    <pageSetUpPr autoPageBreaks="0"/>
  </sheetPr>
  <dimension ref="A1:P67"/>
  <sheetViews>
    <sheetView showGridLines="0" showRowColHeaders="0" showZeros="0" showOutlineSymbols="0" workbookViewId="0"/>
  </sheetViews>
  <sheetFormatPr baseColWidth="10" defaultColWidth="0" defaultRowHeight="12" zeroHeight="1"/>
  <cols>
    <col min="1" max="1" width="4.140625" style="23" customWidth="1"/>
    <col min="2" max="2" width="34.28515625" style="23" customWidth="1"/>
    <col min="3" max="4" width="11.5703125" style="23" bestFit="1" customWidth="1"/>
    <col min="5" max="8" width="11.42578125" style="23" customWidth="1"/>
    <col min="9" max="9" width="13" style="23" customWidth="1"/>
    <col min="10" max="10" width="11.42578125" style="23" customWidth="1"/>
    <col min="11" max="11" width="13.28515625" style="23" customWidth="1"/>
    <col min="12" max="14" width="11.42578125" style="23" customWidth="1"/>
    <col min="15" max="16" width="0" style="23" hidden="1" customWidth="1"/>
    <col min="17" max="16384" width="11.42578125" style="23" hidden="1"/>
  </cols>
  <sheetData>
    <row r="1" spans="1:15" s="63" customFormat="1" ht="13.5" thickBot="1">
      <c r="A1" s="246"/>
      <c r="B1" s="56"/>
      <c r="C1" s="56"/>
      <c r="D1" s="56"/>
      <c r="E1" s="56"/>
      <c r="F1" s="56"/>
      <c r="H1" s="56"/>
      <c r="I1" s="56"/>
      <c r="J1" s="56"/>
      <c r="K1" s="56"/>
      <c r="L1" s="56"/>
    </row>
    <row r="2" spans="1:15" s="63" customFormat="1" ht="7.5" customHeight="1" thickTop="1">
      <c r="A2" s="56"/>
      <c r="B2" s="37"/>
      <c r="C2" s="38"/>
      <c r="D2" s="233"/>
      <c r="E2" s="233"/>
      <c r="F2" s="233"/>
      <c r="G2" s="233"/>
      <c r="H2" s="233"/>
      <c r="I2" s="233"/>
      <c r="J2" s="233"/>
      <c r="K2" s="233"/>
      <c r="L2" s="233"/>
      <c r="M2" s="234"/>
      <c r="N2" s="56"/>
      <c r="O2" s="64"/>
    </row>
    <row r="3" spans="1:15" s="63" customFormat="1" ht="20.25">
      <c r="A3" s="56"/>
      <c r="B3" s="618" t="s">
        <v>2789</v>
      </c>
      <c r="C3" s="619"/>
      <c r="D3" s="619"/>
      <c r="E3" s="619"/>
      <c r="F3" s="619"/>
      <c r="G3" s="619"/>
      <c r="H3" s="619"/>
      <c r="I3" s="619"/>
      <c r="J3" s="619"/>
      <c r="K3" s="619"/>
      <c r="L3" s="619"/>
      <c r="M3" s="620"/>
      <c r="N3" s="56"/>
      <c r="O3" s="64"/>
    </row>
    <row r="4" spans="1:15" s="63" customFormat="1" ht="13.5" thickBot="1">
      <c r="A4" s="56"/>
      <c r="B4" s="201"/>
      <c r="C4" s="65"/>
      <c r="D4" s="65"/>
      <c r="E4" s="65"/>
      <c r="F4" s="65"/>
      <c r="G4" s="65"/>
      <c r="H4" s="65"/>
      <c r="I4" s="65"/>
      <c r="J4" s="65"/>
      <c r="K4" s="65"/>
      <c r="L4" s="65"/>
      <c r="M4" s="274"/>
      <c r="N4" s="56"/>
      <c r="O4" s="64"/>
    </row>
    <row r="5" spans="1:15" s="63" customFormat="1" ht="14.25" thickTop="1" thickBot="1">
      <c r="B5" s="210"/>
      <c r="D5" s="393" t="s">
        <v>2579</v>
      </c>
      <c r="E5" s="393"/>
      <c r="F5" s="393"/>
      <c r="G5" s="280"/>
      <c r="H5" s="621" t="str">
        <f>+'1-Datos Generales'!$H$5</f>
        <v>SEGI</v>
      </c>
      <c r="I5" s="622"/>
      <c r="J5" s="622"/>
      <c r="K5" s="623"/>
      <c r="L5" s="388"/>
      <c r="M5" s="202"/>
      <c r="O5" s="64"/>
    </row>
    <row r="6" spans="1:15" s="56" customFormat="1" ht="4.5" customHeight="1" thickTop="1" thickBot="1">
      <c r="B6" s="201" t="s">
        <v>212</v>
      </c>
      <c r="D6" s="65"/>
      <c r="E6" s="65" t="s">
        <v>7</v>
      </c>
      <c r="F6" s="196"/>
      <c r="G6" s="196"/>
      <c r="H6" s="196"/>
      <c r="I6" s="65"/>
      <c r="J6" s="65"/>
      <c r="K6" s="65"/>
      <c r="L6" s="65"/>
      <c r="M6" s="202"/>
      <c r="N6" s="65"/>
      <c r="O6" s="65"/>
    </row>
    <row r="7" spans="1:15" s="63" customFormat="1" ht="14.25" thickTop="1" thickBot="1">
      <c r="B7" s="210"/>
      <c r="D7" s="393" t="s">
        <v>2576</v>
      </c>
      <c r="E7" s="393"/>
      <c r="F7" s="393"/>
      <c r="G7" s="280"/>
      <c r="H7" s="621">
        <f>+'1-Datos Generales'!$D$11</f>
        <v>0</v>
      </c>
      <c r="I7" s="622"/>
      <c r="J7" s="622"/>
      <c r="K7" s="623"/>
      <c r="L7" s="388"/>
      <c r="M7" s="202"/>
      <c r="O7" s="64"/>
    </row>
    <row r="8" spans="1:15" s="2" customFormat="1" ht="13.5" thickTop="1">
      <c r="B8" s="391"/>
      <c r="C8" s="47"/>
      <c r="D8" s="47"/>
      <c r="E8" s="47"/>
      <c r="F8" s="47"/>
      <c r="G8" s="47"/>
      <c r="H8" s="47"/>
      <c r="I8" s="47"/>
      <c r="J8" s="78"/>
      <c r="K8" s="78"/>
      <c r="L8" s="78"/>
      <c r="M8" s="392"/>
      <c r="N8" s="76"/>
    </row>
    <row r="9" spans="1:15" s="56" customFormat="1" ht="4.5" customHeight="1" thickBot="1">
      <c r="B9" s="201" t="s">
        <v>212</v>
      </c>
      <c r="C9" s="65"/>
      <c r="D9" s="65" t="s">
        <v>7</v>
      </c>
      <c r="E9" s="196"/>
      <c r="F9" s="196"/>
      <c r="G9" s="196"/>
      <c r="H9" s="65"/>
      <c r="I9" s="65"/>
      <c r="J9" s="65"/>
      <c r="K9" s="65"/>
      <c r="L9" s="65"/>
      <c r="M9" s="202"/>
      <c r="N9" s="65"/>
      <c r="O9" s="65"/>
    </row>
    <row r="10" spans="1:15" s="56" customFormat="1" ht="25.5" customHeight="1" thickBot="1">
      <c r="B10" s="765" t="s">
        <v>2591</v>
      </c>
      <c r="C10" s="766"/>
      <c r="D10" s="766"/>
      <c r="E10" s="766"/>
      <c r="F10" s="766"/>
      <c r="G10" s="766"/>
      <c r="H10" s="766"/>
      <c r="I10" s="766"/>
      <c r="J10" s="766"/>
      <c r="K10" s="766"/>
      <c r="L10" s="766"/>
      <c r="M10" s="767"/>
    </row>
    <row r="11" spans="1:15" s="63" customFormat="1" ht="16.5" customHeight="1">
      <c r="B11" s="257"/>
      <c r="C11" s="345"/>
      <c r="D11" s="345"/>
      <c r="E11" s="345"/>
      <c r="F11" s="345"/>
      <c r="G11" s="345"/>
      <c r="H11" s="345"/>
      <c r="I11" s="345"/>
      <c r="J11" s="345"/>
      <c r="K11" s="345"/>
      <c r="L11" s="345"/>
      <c r="M11" s="258"/>
      <c r="O11" s="64"/>
    </row>
    <row r="12" spans="1:15" s="2" customFormat="1" ht="15" customHeight="1">
      <c r="A12" s="47"/>
      <c r="B12" s="402"/>
      <c r="C12" s="49"/>
      <c r="D12" s="49"/>
      <c r="E12" s="49"/>
      <c r="F12" s="49"/>
      <c r="G12" s="49"/>
      <c r="H12" s="49"/>
      <c r="I12" s="49"/>
      <c r="J12" s="77"/>
      <c r="K12" s="77"/>
      <c r="L12" s="77"/>
      <c r="M12" s="408"/>
      <c r="N12" s="76"/>
    </row>
    <row r="13" spans="1:15" s="2" customFormat="1" ht="12.75">
      <c r="B13" s="391"/>
      <c r="C13" s="47"/>
      <c r="D13" s="47"/>
      <c r="E13" s="47"/>
      <c r="F13" s="47"/>
      <c r="G13" s="47"/>
      <c r="H13" s="47"/>
      <c r="I13" s="47"/>
      <c r="J13" s="78"/>
      <c r="K13" s="78"/>
      <c r="L13" s="78"/>
      <c r="M13" s="392"/>
      <c r="N13" s="76"/>
    </row>
    <row r="14" spans="1:15" s="2" customFormat="1" ht="12.75">
      <c r="B14" s="391"/>
      <c r="C14" s="47"/>
      <c r="D14" s="47"/>
      <c r="E14" s="47"/>
      <c r="F14" s="47"/>
      <c r="G14" s="47"/>
      <c r="H14" s="47"/>
      <c r="I14" s="47"/>
      <c r="J14" s="78"/>
      <c r="K14" s="78"/>
      <c r="L14" s="78"/>
      <c r="M14" s="392"/>
      <c r="N14" s="76"/>
    </row>
    <row r="15" spans="1:15" s="2" customFormat="1" ht="12.75">
      <c r="B15" s="391"/>
      <c r="C15" s="47"/>
      <c r="D15" s="47"/>
      <c r="E15" s="47"/>
      <c r="F15" s="47"/>
      <c r="G15" s="47"/>
      <c r="H15" s="47"/>
      <c r="I15" s="47"/>
      <c r="J15" s="78"/>
      <c r="K15" s="78"/>
      <c r="L15" s="78"/>
      <c r="M15" s="392"/>
      <c r="N15" s="76"/>
    </row>
    <row r="16" spans="1:15" s="2" customFormat="1" ht="48" customHeight="1">
      <c r="B16" s="391"/>
      <c r="C16" s="47"/>
      <c r="D16" s="47"/>
      <c r="E16" s="47"/>
      <c r="F16" s="47"/>
      <c r="G16" s="47"/>
      <c r="H16" s="47"/>
      <c r="I16" s="47"/>
      <c r="J16" s="78"/>
      <c r="K16" s="78"/>
      <c r="L16" s="78"/>
      <c r="M16" s="392"/>
      <c r="N16" s="76"/>
    </row>
    <row r="17" spans="2:14" s="2" customFormat="1" ht="21" customHeight="1">
      <c r="B17" s="391"/>
      <c r="C17" s="47"/>
      <c r="D17" s="47"/>
      <c r="E17" s="47"/>
      <c r="F17" s="47"/>
      <c r="G17" s="47"/>
      <c r="H17" s="47"/>
      <c r="I17" s="47"/>
      <c r="J17" s="78"/>
      <c r="K17" s="78"/>
      <c r="L17" s="78"/>
      <c r="M17" s="392"/>
      <c r="N17" s="76"/>
    </row>
    <row r="18" spans="2:14" s="47" customFormat="1" ht="25.5" customHeight="1" thickBot="1">
      <c r="B18" s="391"/>
      <c r="M18" s="409"/>
    </row>
    <row r="19" spans="2:14" s="56" customFormat="1" ht="25.5" customHeight="1" thickBot="1">
      <c r="B19" s="765" t="s">
        <v>2755</v>
      </c>
      <c r="C19" s="766"/>
      <c r="D19" s="766"/>
      <c r="E19" s="766"/>
      <c r="F19" s="766"/>
      <c r="G19" s="766"/>
      <c r="H19" s="766"/>
      <c r="I19" s="766"/>
      <c r="J19" s="766"/>
      <c r="K19" s="766"/>
      <c r="L19" s="766"/>
      <c r="M19" s="767"/>
    </row>
    <row r="20" spans="2:14" s="1" customFormat="1" ht="12.75">
      <c r="B20" s="416"/>
      <c r="C20" s="487"/>
      <c r="D20" s="487"/>
      <c r="E20" s="487"/>
      <c r="F20" s="487"/>
      <c r="G20" s="487"/>
      <c r="H20" s="487"/>
      <c r="I20" s="345"/>
      <c r="J20" s="487"/>
      <c r="K20" s="487"/>
      <c r="L20" s="487"/>
      <c r="M20" s="417"/>
    </row>
    <row r="21" spans="2:14">
      <c r="B21" s="430"/>
      <c r="C21" s="53"/>
      <c r="D21" s="53"/>
      <c r="E21" s="53"/>
      <c r="F21" s="53"/>
      <c r="G21" s="53"/>
      <c r="H21" s="53"/>
      <c r="I21" s="53"/>
      <c r="J21" s="53"/>
      <c r="K21" s="53"/>
      <c r="L21" s="53"/>
      <c r="M21" s="443"/>
    </row>
    <row r="22" spans="2:14" ht="25.5" customHeight="1">
      <c r="B22" s="430"/>
      <c r="C22" s="862" t="s">
        <v>199</v>
      </c>
      <c r="D22" s="863"/>
      <c r="E22" s="864"/>
      <c r="F22" s="470" t="s">
        <v>78</v>
      </c>
      <c r="G22" s="470" t="s">
        <v>79</v>
      </c>
      <c r="H22" s="470" t="s">
        <v>60</v>
      </c>
      <c r="I22" s="470" t="s">
        <v>61</v>
      </c>
      <c r="J22" s="470" t="s">
        <v>62</v>
      </c>
      <c r="K22" s="52"/>
      <c r="L22" s="53"/>
      <c r="M22" s="443"/>
    </row>
    <row r="23" spans="2:14" ht="18" customHeight="1">
      <c r="B23" s="430"/>
      <c r="C23" s="865" t="s">
        <v>200</v>
      </c>
      <c r="D23" s="866"/>
      <c r="E23" s="867"/>
      <c r="F23" s="472">
        <f>+'Salida-5-Balance'!F20/'Salida-5-Balance'!F39</f>
        <v>3.2279913346202576</v>
      </c>
      <c r="G23" s="472">
        <f>+'Salida-5-Balance'!G20/'Salida-5-Balance'!G39</f>
        <v>4.9295740231057223</v>
      </c>
      <c r="H23" s="472">
        <f>+'Salida-5-Balance'!H20/'Salida-5-Balance'!H39</f>
        <v>5.0437253020122341</v>
      </c>
      <c r="I23" s="472">
        <f>+'Salida-5-Balance'!I20/'Salida-5-Balance'!I39</f>
        <v>5.0203650655458709</v>
      </c>
      <c r="J23" s="472">
        <f>+'Salida-5-Balance'!J20/'Salida-5-Balance'!J39</f>
        <v>4.4468680024569833</v>
      </c>
      <c r="K23" s="52"/>
      <c r="L23" s="53"/>
      <c r="M23" s="443"/>
    </row>
    <row r="24" spans="2:14" ht="18" customHeight="1">
      <c r="B24" s="430"/>
      <c r="C24" s="850" t="s">
        <v>167</v>
      </c>
      <c r="D24" s="851"/>
      <c r="E24" s="852"/>
      <c r="F24" s="473">
        <f>+'5-Plan de Inversion'!$C$26</f>
        <v>0</v>
      </c>
      <c r="G24" s="473">
        <f>+'5-Plan de Inversion'!$C$26</f>
        <v>0</v>
      </c>
      <c r="H24" s="473">
        <f>+'5-Plan de Inversion'!$C$26</f>
        <v>0</v>
      </c>
      <c r="I24" s="473">
        <f>+'5-Plan de Inversion'!$C$26</f>
        <v>0</v>
      </c>
      <c r="J24" s="473">
        <f>+'5-Plan de Inversion'!$C$26</f>
        <v>0</v>
      </c>
      <c r="K24" s="52"/>
      <c r="L24" s="53"/>
      <c r="M24" s="443"/>
    </row>
    <row r="25" spans="2:14" ht="18" customHeight="1">
      <c r="B25" s="430"/>
      <c r="C25" s="850" t="s">
        <v>171</v>
      </c>
      <c r="D25" s="851"/>
      <c r="E25" s="852"/>
      <c r="F25" s="473">
        <f>+'5-Plan de Inversion'!$D$40</f>
        <v>0</v>
      </c>
      <c r="G25" s="473">
        <f>+'5-Plan de Inversion'!$D$40</f>
        <v>0</v>
      </c>
      <c r="H25" s="473">
        <f>+'5-Plan de Inversion'!$D$40</f>
        <v>0</v>
      </c>
      <c r="I25" s="473">
        <f>+'5-Plan de Inversion'!$D$40</f>
        <v>0</v>
      </c>
      <c r="J25" s="473">
        <f>+'5-Plan de Inversion'!$D$40</f>
        <v>0</v>
      </c>
      <c r="K25" s="52"/>
      <c r="L25" s="53"/>
      <c r="M25" s="443"/>
    </row>
    <row r="26" spans="2:14" ht="18" customHeight="1">
      <c r="B26" s="430"/>
      <c r="C26" s="850" t="s">
        <v>172</v>
      </c>
      <c r="D26" s="851"/>
      <c r="E26" s="852"/>
      <c r="F26" s="473">
        <f>IF('Salida-4-P &amp; G'!F27&lt;&gt;0,('Salida-4-P &amp; G'!F30+'Salida-4-P &amp; G'!F27)/'Salida-4-P &amp; G'!F27,0)</f>
        <v>-18.43647706942825</v>
      </c>
      <c r="G26" s="473">
        <f>IF('Salida-4-P &amp; G'!G27&lt;&gt;0,('Salida-4-P &amp; G'!G30+'Salida-4-P &amp; G'!G27)/'Salida-4-P &amp; G'!G27,0)</f>
        <v>-22.108782720930975</v>
      </c>
      <c r="H26" s="473">
        <f>IF('Salida-4-P &amp; G'!H27&lt;&gt;0,('Salida-4-P &amp; G'!H30+'Salida-4-P &amp; G'!H27)/'Salida-4-P &amp; G'!H27,0)</f>
        <v>-28.696159176312833</v>
      </c>
      <c r="I26" s="473">
        <f>IF('Salida-4-P &amp; G'!I27&lt;&gt;0,('Salida-4-P &amp; G'!I30+'Salida-4-P &amp; G'!I27)/'Salida-4-P &amp; G'!I27,0)</f>
        <v>-45.666545602328078</v>
      </c>
      <c r="J26" s="473">
        <f>IF('Salida-4-P &amp; G'!J27&lt;&gt;0,('Salida-4-P &amp; G'!J30+'Salida-4-P &amp; G'!J27)/'Salida-4-P &amp; G'!J27,0)</f>
        <v>-20.170651157947574</v>
      </c>
      <c r="K26" s="52"/>
      <c r="L26" s="53"/>
      <c r="M26" s="443"/>
    </row>
    <row r="27" spans="2:14" ht="18" customHeight="1">
      <c r="B27" s="430"/>
      <c r="C27" s="850" t="s">
        <v>173</v>
      </c>
      <c r="D27" s="851"/>
      <c r="E27" s="852"/>
      <c r="F27" s="474">
        <f>+'Salida-5-Balance'!F43/'Salida-5-Balance'!F30</f>
        <v>0.25741616563570036</v>
      </c>
      <c r="G27" s="474">
        <f>+'Salida-5-Balance'!G43/'Salida-5-Balance'!G30</f>
        <v>0.17695905234898507</v>
      </c>
      <c r="H27" s="474">
        <f>+'Salida-5-Balance'!H43/'Salida-5-Balance'!H30</f>
        <v>0.17850775112831965</v>
      </c>
      <c r="I27" s="474">
        <f>+'Salida-5-Balance'!I43/'Salida-5-Balance'!I30</f>
        <v>0.18299320063253144</v>
      </c>
      <c r="J27" s="474">
        <f>+'Salida-5-Balance'!J43/'Salida-5-Balance'!J30</f>
        <v>0.21242023642644883</v>
      </c>
      <c r="K27" s="52"/>
      <c r="L27" s="53"/>
      <c r="M27" s="443"/>
    </row>
    <row r="28" spans="2:14" ht="18" customHeight="1">
      <c r="B28" s="430"/>
      <c r="C28" s="850" t="s">
        <v>178</v>
      </c>
      <c r="D28" s="851"/>
      <c r="E28" s="852"/>
      <c r="F28" s="474">
        <f>+'Salida-4-P &amp; G'!F19/'Salida-4-P &amp; G'!F13</f>
        <v>0.66936739062280848</v>
      </c>
      <c r="G28" s="474">
        <f>+'Salida-4-P &amp; G'!G19/'Salida-4-P &amp; G'!G13</f>
        <v>0.67022956183925619</v>
      </c>
      <c r="H28" s="474">
        <f>+'Salida-4-P &amp; G'!H19/'Salida-4-P &amp; G'!H13</f>
        <v>0.67106662127270056</v>
      </c>
      <c r="I28" s="474">
        <f>+'Salida-4-P &amp; G'!I19/'Salida-4-P &amp; G'!I13</f>
        <v>0.698403367833208</v>
      </c>
      <c r="J28" s="474">
        <f>+'Salida-4-P &amp; G'!J19/'Salida-4-P &amp; G'!J13</f>
        <v>0.69841983097556626</v>
      </c>
      <c r="K28" s="52"/>
      <c r="L28" s="53"/>
      <c r="M28" s="443"/>
    </row>
    <row r="29" spans="2:14" ht="18" customHeight="1">
      <c r="B29" s="430"/>
      <c r="C29" s="850" t="s">
        <v>180</v>
      </c>
      <c r="D29" s="851"/>
      <c r="E29" s="852"/>
      <c r="F29" s="474">
        <f>+'Salida-4-P &amp; G'!F26/'Salida-4-P &amp; G'!F13</f>
        <v>0.66936739062280848</v>
      </c>
      <c r="G29" s="474">
        <f>+'Salida-4-P &amp; G'!G26/'Salida-4-P &amp; G'!G13</f>
        <v>0.67022956183925619</v>
      </c>
      <c r="H29" s="474">
        <f>+'Salida-4-P &amp; G'!H26/'Salida-4-P &amp; G'!H13</f>
        <v>0.67106662127270056</v>
      </c>
      <c r="I29" s="474">
        <f>+'Salida-4-P &amp; G'!I26/'Salida-4-P &amp; G'!I13</f>
        <v>0.698403367833208</v>
      </c>
      <c r="J29" s="474">
        <f>+'Salida-4-P &amp; G'!J26/'Salida-4-P &amp; G'!J13</f>
        <v>0.69841983097556626</v>
      </c>
      <c r="K29" s="52"/>
      <c r="L29" s="53"/>
      <c r="M29" s="443"/>
    </row>
    <row r="30" spans="2:14" ht="18" customHeight="1">
      <c r="B30" s="430"/>
      <c r="C30" s="850" t="s">
        <v>176</v>
      </c>
      <c r="D30" s="851"/>
      <c r="E30" s="852"/>
      <c r="F30" s="474">
        <f>+'Salida-4-P &amp; G'!F32/'Salida-4-P &amp; G'!F13</f>
        <v>0.46574489081150838</v>
      </c>
      <c r="G30" s="474">
        <f>+'Salida-4-P &amp; G'!G32/'Salida-4-P &amp; G'!G13</f>
        <v>0.46235946495582231</v>
      </c>
      <c r="H30" s="474">
        <f>+'Salida-4-P &amp; G'!H32/'Salida-4-P &amp; G'!H13</f>
        <v>0.45833822963265902</v>
      </c>
      <c r="I30" s="474">
        <f>+'Salida-4-P &amp; G'!I32/'Salida-4-P &amp; G'!I13</f>
        <v>0.4710399624362348</v>
      </c>
      <c r="J30" s="474">
        <f>+'Salida-4-P &amp; G'!J32/'Salida-4-P &amp; G'!J13</f>
        <v>0.48380994950593459</v>
      </c>
      <c r="K30" s="52"/>
      <c r="L30" s="53"/>
      <c r="M30" s="443"/>
    </row>
    <row r="31" spans="2:14" ht="18" customHeight="1">
      <c r="B31" s="430"/>
      <c r="C31" s="850" t="s">
        <v>179</v>
      </c>
      <c r="D31" s="851"/>
      <c r="E31" s="852"/>
      <c r="F31" s="474">
        <f>(+'Salida-4-P &amp; G'!F13-'Salida-4-P &amp; G'!F14)/'Salida-4-P &amp; G'!F13</f>
        <v>1</v>
      </c>
      <c r="G31" s="474">
        <f>(+'Salida-4-P &amp; G'!G13-'Salida-4-P &amp; G'!G14)/'Salida-4-P &amp; G'!G13</f>
        <v>1</v>
      </c>
      <c r="H31" s="474">
        <f>(+'Salida-4-P &amp; G'!H13-'Salida-4-P &amp; G'!H14)/'Salida-4-P &amp; G'!H13</f>
        <v>1</v>
      </c>
      <c r="I31" s="474">
        <f>(+'Salida-4-P &amp; G'!I13-'Salida-4-P &amp; G'!I14)/'Salida-4-P &amp; G'!I13</f>
        <v>1</v>
      </c>
      <c r="J31" s="474">
        <f>(+'Salida-4-P &amp; G'!J13-'Salida-4-P &amp; G'!J14)/'Salida-4-P &amp; G'!J13</f>
        <v>1</v>
      </c>
      <c r="K31" s="52"/>
      <c r="L31" s="53"/>
      <c r="M31" s="443"/>
    </row>
    <row r="32" spans="2:14" ht="25.5" customHeight="1">
      <c r="B32" s="430"/>
      <c r="C32" s="862" t="s">
        <v>174</v>
      </c>
      <c r="D32" s="863"/>
      <c r="E32" s="864"/>
      <c r="F32" s="471"/>
      <c r="G32" s="471"/>
      <c r="H32" s="471"/>
      <c r="I32" s="471"/>
      <c r="J32" s="471"/>
      <c r="K32" s="52"/>
      <c r="L32" s="53"/>
      <c r="M32" s="443"/>
    </row>
    <row r="33" spans="2:13" ht="18" customHeight="1">
      <c r="B33" s="430"/>
      <c r="C33" s="850" t="s">
        <v>214</v>
      </c>
      <c r="D33" s="851"/>
      <c r="E33" s="852"/>
      <c r="F33" s="532">
        <f>NPV(8%,'Salida-6-Flujo Caja'!C81:N81)</f>
        <v>77160509.164835989</v>
      </c>
      <c r="G33" s="435"/>
      <c r="H33" s="435"/>
      <c r="I33" s="435"/>
      <c r="J33" s="435"/>
      <c r="K33" s="52"/>
      <c r="L33" s="53"/>
      <c r="M33" s="443"/>
    </row>
    <row r="34" spans="2:13" ht="18" customHeight="1">
      <c r="B34" s="430"/>
      <c r="C34" s="850" t="s">
        <v>177</v>
      </c>
      <c r="D34" s="851"/>
      <c r="E34" s="852"/>
      <c r="F34" s="533">
        <f>IRR('Salida-6-Flujo Caja'!B79:N79)</f>
        <v>0.48819502682954585</v>
      </c>
      <c r="G34" s="435"/>
      <c r="H34" s="435"/>
      <c r="I34" s="435"/>
      <c r="J34" s="435"/>
      <c r="K34" s="52"/>
      <c r="L34" s="53"/>
      <c r="M34" s="443"/>
    </row>
    <row r="35" spans="2:13" ht="18" customHeight="1">
      <c r="B35" s="430"/>
      <c r="C35" s="850" t="s">
        <v>175</v>
      </c>
      <c r="D35" s="851"/>
      <c r="E35" s="852"/>
      <c r="F35" s="532">
        <f>+K62</f>
        <v>129168662.40587744</v>
      </c>
      <c r="G35" s="435"/>
      <c r="H35" s="435"/>
      <c r="I35" s="435"/>
      <c r="J35" s="435"/>
      <c r="K35" s="52"/>
      <c r="L35" s="53"/>
      <c r="M35" s="443"/>
    </row>
    <row r="36" spans="2:13" customFormat="1" ht="15" customHeight="1">
      <c r="B36" s="407"/>
      <c r="C36" s="3"/>
      <c r="D36" s="3"/>
      <c r="E36" s="3"/>
      <c r="F36" s="3"/>
      <c r="G36" s="414"/>
      <c r="H36" s="3"/>
      <c r="I36" s="3"/>
      <c r="J36" s="3"/>
      <c r="K36" s="3"/>
      <c r="L36" s="3"/>
      <c r="M36" s="413"/>
    </row>
    <row r="37" spans="2:13" customFormat="1" ht="15" customHeight="1">
      <c r="B37" s="407"/>
      <c r="C37" s="3"/>
      <c r="D37" s="3"/>
      <c r="E37" s="3"/>
      <c r="F37" s="3"/>
      <c r="G37" s="3"/>
      <c r="H37" s="3"/>
      <c r="I37" s="3"/>
      <c r="J37" s="3"/>
      <c r="K37" s="3"/>
      <c r="L37" s="3"/>
      <c r="M37" s="413"/>
    </row>
    <row r="38" spans="2:13" customFormat="1" ht="15" customHeight="1" thickBot="1">
      <c r="B38" s="407"/>
      <c r="C38" s="3"/>
      <c r="D38" s="3"/>
      <c r="E38" s="3"/>
      <c r="F38" s="3"/>
      <c r="G38" s="3"/>
      <c r="H38" s="3"/>
      <c r="I38" s="3"/>
      <c r="J38" s="3"/>
      <c r="K38" s="3"/>
      <c r="L38" s="3"/>
      <c r="M38" s="413"/>
    </row>
    <row r="39" spans="2:13" s="56" customFormat="1" ht="25.5" customHeight="1" thickBot="1">
      <c r="B39" s="765" t="s">
        <v>2756</v>
      </c>
      <c r="C39" s="766"/>
      <c r="D39" s="766"/>
      <c r="E39" s="766"/>
      <c r="F39" s="766"/>
      <c r="G39" s="766"/>
      <c r="H39" s="766"/>
      <c r="I39" s="766"/>
      <c r="J39" s="766"/>
      <c r="K39" s="766"/>
      <c r="L39" s="766"/>
      <c r="M39" s="767"/>
    </row>
    <row r="40" spans="2:13" customFormat="1" ht="12.75">
      <c r="B40" s="407"/>
      <c r="C40" s="3"/>
      <c r="D40" s="3"/>
      <c r="E40" s="3"/>
      <c r="F40" s="65"/>
      <c r="G40" s="3"/>
      <c r="H40" s="3"/>
      <c r="I40" s="3"/>
      <c r="J40" s="3"/>
      <c r="K40" s="3"/>
      <c r="L40" s="3"/>
      <c r="M40" s="418"/>
    </row>
    <row r="41" spans="2:13" ht="30" customHeight="1">
      <c r="B41" s="854" t="s">
        <v>2760</v>
      </c>
      <c r="C41" s="855"/>
      <c r="D41" s="855"/>
      <c r="E41" s="855"/>
      <c r="F41" s="855"/>
      <c r="G41" s="855"/>
      <c r="H41" s="855"/>
      <c r="I41" s="855"/>
      <c r="J41" s="855"/>
      <c r="K41" s="855"/>
      <c r="L41" s="855"/>
      <c r="M41" s="443"/>
    </row>
    <row r="42" spans="2:13" ht="18.75" customHeight="1">
      <c r="B42" s="856" t="s">
        <v>2757</v>
      </c>
      <c r="C42" s="857"/>
      <c r="D42" s="857"/>
      <c r="E42" s="858"/>
      <c r="F42" s="853" t="s">
        <v>2758</v>
      </c>
      <c r="G42" s="853" t="s">
        <v>2596</v>
      </c>
      <c r="H42" s="853" t="s">
        <v>2759</v>
      </c>
      <c r="I42" s="853" t="s">
        <v>2760</v>
      </c>
      <c r="J42" s="853"/>
      <c r="K42" s="853" t="s">
        <v>2761</v>
      </c>
      <c r="L42" s="853" t="s">
        <v>2762</v>
      </c>
      <c r="M42" s="443"/>
    </row>
    <row r="43" spans="2:13" ht="18.75" customHeight="1">
      <c r="B43" s="859"/>
      <c r="C43" s="860"/>
      <c r="D43" s="860"/>
      <c r="E43" s="861"/>
      <c r="F43" s="853"/>
      <c r="G43" s="853"/>
      <c r="H43" s="853"/>
      <c r="I43" s="853"/>
      <c r="J43" s="853"/>
      <c r="K43" s="853"/>
      <c r="L43" s="853"/>
      <c r="M43" s="443"/>
    </row>
    <row r="44" spans="2:13" ht="24.75" customHeight="1">
      <c r="B44" s="834" t="str">
        <f>+'Salida-1-Pto ingresos-insumos'!B23</f>
        <v xml:space="preserve">software para la gestion de horarios  y aulas </v>
      </c>
      <c r="C44" s="835"/>
      <c r="D44" s="835"/>
      <c r="E44" s="836"/>
      <c r="F44" s="475">
        <f>+'2-Pto Ventas'!H51</f>
        <v>1200000</v>
      </c>
      <c r="G44" s="475">
        <f>+'3-Pto Compras'!F40</f>
        <v>0</v>
      </c>
      <c r="H44" s="475">
        <f>+G44</f>
        <v>0</v>
      </c>
      <c r="I44" s="476">
        <f t="shared" ref="I44:I49" si="0">+F44-H44</f>
        <v>1200000</v>
      </c>
      <c r="J44" s="477">
        <f t="shared" ref="J44:J49" si="1">IF(F44=0,0,I44/F44)</f>
        <v>1</v>
      </c>
      <c r="K44" s="477">
        <f>+'Salida-1-Pto ingresos-insumos'!E23/'Salida-1-Pto ingresos-insumos'!$E$29</f>
        <v>0.88235294117647056</v>
      </c>
      <c r="L44" s="477">
        <f t="shared" ref="L44:L49" si="2">+K44*J44</f>
        <v>0.88235294117647056</v>
      </c>
      <c r="M44" s="443"/>
    </row>
    <row r="45" spans="2:13" ht="24.75" customHeight="1">
      <c r="B45" s="834" t="str">
        <f>+'Salida-1-Pto ingresos-insumos'!B24</f>
        <v>mantenimiento del software para la gestion de horarios y aulas</v>
      </c>
      <c r="C45" s="835"/>
      <c r="D45" s="835"/>
      <c r="E45" s="836"/>
      <c r="F45" s="475">
        <f>+'2-Pto Ventas'!H52</f>
        <v>80000</v>
      </c>
      <c r="G45" s="475">
        <f>+'3-Pto Compras'!L40</f>
        <v>0</v>
      </c>
      <c r="H45" s="475">
        <f t="shared" ref="H45:H49" si="3">+G45</f>
        <v>0</v>
      </c>
      <c r="I45" s="476">
        <f t="shared" si="0"/>
        <v>80000</v>
      </c>
      <c r="J45" s="477">
        <f t="shared" si="1"/>
        <v>1</v>
      </c>
      <c r="K45" s="477">
        <f>+'Salida-1-Pto ingresos-insumos'!E24/'Salida-1-Pto ingresos-insumos'!$E$29</f>
        <v>0.11764705882352941</v>
      </c>
      <c r="L45" s="477">
        <f t="shared" si="2"/>
        <v>0.11764705882352941</v>
      </c>
      <c r="M45" s="443"/>
    </row>
    <row r="46" spans="2:13" ht="24.75" customHeight="1">
      <c r="B46" s="834">
        <f>+'Salida-1-Pto ingresos-insumos'!B25</f>
        <v>0</v>
      </c>
      <c r="C46" s="835"/>
      <c r="D46" s="835"/>
      <c r="E46" s="836"/>
      <c r="F46" s="475">
        <f>+'2-Pto Ventas'!H53</f>
        <v>0</v>
      </c>
      <c r="G46" s="475">
        <f>+'3-Pto Compras'!F60</f>
        <v>0</v>
      </c>
      <c r="H46" s="475">
        <f t="shared" si="3"/>
        <v>0</v>
      </c>
      <c r="I46" s="476">
        <f t="shared" si="0"/>
        <v>0</v>
      </c>
      <c r="J46" s="477">
        <f t="shared" si="1"/>
        <v>0</v>
      </c>
      <c r="K46" s="477">
        <f>+'Salida-1-Pto ingresos-insumos'!E25/'Salida-1-Pto ingresos-insumos'!$E$29</f>
        <v>0</v>
      </c>
      <c r="L46" s="477">
        <f t="shared" si="2"/>
        <v>0</v>
      </c>
      <c r="M46" s="443"/>
    </row>
    <row r="47" spans="2:13" ht="24.75" customHeight="1">
      <c r="B47" s="834">
        <f>+'Salida-1-Pto ingresos-insumos'!B26</f>
        <v>0</v>
      </c>
      <c r="C47" s="835"/>
      <c r="D47" s="835"/>
      <c r="E47" s="836"/>
      <c r="F47" s="475">
        <f>+'2-Pto Ventas'!H54</f>
        <v>0</v>
      </c>
      <c r="G47" s="475">
        <f>+'3-Pto Compras'!L60</f>
        <v>0</v>
      </c>
      <c r="H47" s="475">
        <f t="shared" si="3"/>
        <v>0</v>
      </c>
      <c r="I47" s="476">
        <f t="shared" si="0"/>
        <v>0</v>
      </c>
      <c r="J47" s="477">
        <f t="shared" si="1"/>
        <v>0</v>
      </c>
      <c r="K47" s="477">
        <f>+'Salida-1-Pto ingresos-insumos'!E26/'Salida-1-Pto ingresos-insumos'!$E$29</f>
        <v>0</v>
      </c>
      <c r="L47" s="477">
        <f t="shared" si="2"/>
        <v>0</v>
      </c>
      <c r="M47" s="443"/>
    </row>
    <row r="48" spans="2:13" ht="24.75" customHeight="1">
      <c r="B48" s="834">
        <f>+'Salida-1-Pto ingresos-insumos'!B27</f>
        <v>0</v>
      </c>
      <c r="C48" s="835"/>
      <c r="D48" s="835"/>
      <c r="E48" s="836"/>
      <c r="F48" s="475">
        <f>+'2-Pto Ventas'!H55</f>
        <v>0</v>
      </c>
      <c r="G48" s="475">
        <f>+'3-Pto Compras'!F80</f>
        <v>0</v>
      </c>
      <c r="H48" s="475">
        <f t="shared" si="3"/>
        <v>0</v>
      </c>
      <c r="I48" s="476">
        <f t="shared" si="0"/>
        <v>0</v>
      </c>
      <c r="J48" s="477">
        <f t="shared" si="1"/>
        <v>0</v>
      </c>
      <c r="K48" s="477">
        <f>+'Salida-1-Pto ingresos-insumos'!E27/'Salida-1-Pto ingresos-insumos'!$E$29</f>
        <v>0</v>
      </c>
      <c r="L48" s="477">
        <f t="shared" si="2"/>
        <v>0</v>
      </c>
      <c r="M48" s="443"/>
    </row>
    <row r="49" spans="2:14" ht="24.75" customHeight="1">
      <c r="B49" s="834">
        <f>+'Salida-1-Pto ingresos-insumos'!B28</f>
        <v>0</v>
      </c>
      <c r="C49" s="835"/>
      <c r="D49" s="835"/>
      <c r="E49" s="836"/>
      <c r="F49" s="475">
        <f>+'2-Pto Ventas'!H56</f>
        <v>0</v>
      </c>
      <c r="G49" s="475">
        <f>+'3-Pto Compras'!L80</f>
        <v>0</v>
      </c>
      <c r="H49" s="475">
        <f t="shared" si="3"/>
        <v>0</v>
      </c>
      <c r="I49" s="476">
        <f t="shared" si="0"/>
        <v>0</v>
      </c>
      <c r="J49" s="477">
        <f t="shared" si="1"/>
        <v>0</v>
      </c>
      <c r="K49" s="477">
        <f>+'Salida-1-Pto ingresos-insumos'!E28/'Salida-1-Pto ingresos-insumos'!$E$29</f>
        <v>0</v>
      </c>
      <c r="L49" s="477">
        <f t="shared" si="2"/>
        <v>0</v>
      </c>
      <c r="M49" s="443"/>
    </row>
    <row r="50" spans="2:14" ht="12.75">
      <c r="B50" s="459"/>
      <c r="C50" s="484"/>
      <c r="D50" s="484"/>
      <c r="E50" s="484"/>
      <c r="F50" s="484"/>
      <c r="G50" s="833" t="s">
        <v>2763</v>
      </c>
      <c r="H50" s="833"/>
      <c r="I50" s="833"/>
      <c r="J50" s="833"/>
      <c r="K50" s="534">
        <f>SUM(K44:K49)</f>
        <v>1</v>
      </c>
      <c r="L50" s="535">
        <f>SUM(L44:L49)</f>
        <v>1</v>
      </c>
      <c r="M50" s="443"/>
    </row>
    <row r="51" spans="2:14" ht="12.75">
      <c r="B51" s="485"/>
      <c r="C51" s="486"/>
      <c r="D51" s="486"/>
      <c r="E51" s="486"/>
      <c r="F51" s="486"/>
      <c r="G51" s="541"/>
      <c r="H51" s="486"/>
      <c r="I51" s="486"/>
      <c r="J51" s="486"/>
      <c r="K51" s="486"/>
      <c r="L51" s="53"/>
      <c r="M51" s="443"/>
    </row>
    <row r="52" spans="2:14" ht="30" customHeight="1">
      <c r="B52" s="837" t="s">
        <v>2764</v>
      </c>
      <c r="C52" s="838"/>
      <c r="D52" s="838"/>
      <c r="E52" s="838"/>
      <c r="F52" s="838"/>
      <c r="G52" s="838"/>
      <c r="H52" s="838"/>
      <c r="I52" s="838"/>
      <c r="J52" s="838"/>
      <c r="K52" s="838"/>
      <c r="L52" s="838"/>
      <c r="M52" s="488"/>
      <c r="N52" s="75"/>
    </row>
    <row r="53" spans="2:14" ht="12.75">
      <c r="B53" s="841" t="s">
        <v>0</v>
      </c>
      <c r="C53" s="842"/>
      <c r="D53" s="842"/>
      <c r="E53" s="842"/>
      <c r="F53" s="842"/>
      <c r="G53" s="843">
        <f>+('Salida-2-Pto Costos y Gastos'!E29+'Salida-2-Pto Costos y Gastos'!E39+'Salida-2-Pto Costos y Gastos'!E49)/L50</f>
        <v>40831337.594122559</v>
      </c>
      <c r="H53" s="843"/>
      <c r="I53" s="839" t="s">
        <v>2765</v>
      </c>
      <c r="J53" s="839"/>
      <c r="K53" s="840" t="s">
        <v>2766</v>
      </c>
      <c r="L53" s="840"/>
      <c r="M53" s="488"/>
      <c r="N53" s="75"/>
    </row>
    <row r="54" spans="2:14" ht="12.75">
      <c r="B54" s="844" t="s">
        <v>2757</v>
      </c>
      <c r="C54" s="845"/>
      <c r="D54" s="845"/>
      <c r="E54" s="846"/>
      <c r="F54" s="827" t="s">
        <v>2768</v>
      </c>
      <c r="G54" s="829" t="s">
        <v>2769</v>
      </c>
      <c r="H54" s="829" t="s">
        <v>1</v>
      </c>
      <c r="I54" s="839"/>
      <c r="J54" s="839"/>
      <c r="K54" s="840"/>
      <c r="L54" s="840"/>
      <c r="M54" s="488"/>
      <c r="N54" s="75"/>
    </row>
    <row r="55" spans="2:14" ht="12.75">
      <c r="B55" s="847"/>
      <c r="C55" s="848"/>
      <c r="D55" s="848"/>
      <c r="E55" s="849"/>
      <c r="F55" s="828"/>
      <c r="G55" s="830"/>
      <c r="H55" s="830"/>
      <c r="I55" s="536" t="s">
        <v>2767</v>
      </c>
      <c r="J55" s="536" t="s">
        <v>13</v>
      </c>
      <c r="K55" s="536" t="s">
        <v>2767</v>
      </c>
      <c r="L55" s="536" t="s">
        <v>13</v>
      </c>
      <c r="M55" s="488"/>
      <c r="N55" s="75"/>
    </row>
    <row r="56" spans="2:14" s="478" customFormat="1" ht="24" customHeight="1">
      <c r="B56" s="831" t="str">
        <f t="shared" ref="B56:B61" si="4">+B44</f>
        <v xml:space="preserve">software para la gestion de horarios  y aulas </v>
      </c>
      <c r="C56" s="832"/>
      <c r="D56" s="832"/>
      <c r="E56" s="832"/>
      <c r="F56" s="481">
        <f t="shared" ref="F56:F61" si="5">+$G$53*H56</f>
        <v>36027650.818343431</v>
      </c>
      <c r="G56" s="480">
        <f t="shared" ref="G56:G61" si="6">IF(F44=0,0,F56/F44)</f>
        <v>30.023042348619526</v>
      </c>
      <c r="H56" s="482">
        <f t="shared" ref="H56:H61" si="7">+K44</f>
        <v>0.88235294117647056</v>
      </c>
      <c r="I56" s="481">
        <f>+'Salida-1-Pto ingresos-insumos'!E23</f>
        <v>150000000</v>
      </c>
      <c r="J56" s="483">
        <f>+'Salida-1-Pto ingresos-insumos'!C23</f>
        <v>125</v>
      </c>
      <c r="K56" s="481">
        <f t="shared" ref="K56:K61" si="8">+I56-F56</f>
        <v>113972349.18165657</v>
      </c>
      <c r="L56" s="483">
        <f t="shared" ref="L56:L61" si="9">+J56-G56</f>
        <v>94.976957651380474</v>
      </c>
      <c r="M56" s="489"/>
      <c r="N56" s="479"/>
    </row>
    <row r="57" spans="2:14" s="478" customFormat="1" ht="24" customHeight="1">
      <c r="B57" s="831" t="str">
        <f t="shared" si="4"/>
        <v>mantenimiento del software para la gestion de horarios y aulas</v>
      </c>
      <c r="C57" s="832"/>
      <c r="D57" s="832"/>
      <c r="E57" s="832"/>
      <c r="F57" s="481">
        <f t="shared" si="5"/>
        <v>4803686.7757791243</v>
      </c>
      <c r="G57" s="480">
        <f t="shared" si="6"/>
        <v>60.046084697239053</v>
      </c>
      <c r="H57" s="482">
        <f t="shared" si="7"/>
        <v>0.11764705882352941</v>
      </c>
      <c r="I57" s="481">
        <f>+'Salida-1-Pto ingresos-insumos'!E24</f>
        <v>20000000</v>
      </c>
      <c r="J57" s="483">
        <f>+'Salida-1-Pto ingresos-insumos'!C24</f>
        <v>250</v>
      </c>
      <c r="K57" s="481">
        <f t="shared" si="8"/>
        <v>15196313.224220876</v>
      </c>
      <c r="L57" s="483">
        <f t="shared" si="9"/>
        <v>189.95391530276095</v>
      </c>
      <c r="M57" s="489"/>
      <c r="N57" s="479"/>
    </row>
    <row r="58" spans="2:14" s="478" customFormat="1" ht="24" customHeight="1">
      <c r="B58" s="831">
        <f t="shared" si="4"/>
        <v>0</v>
      </c>
      <c r="C58" s="832"/>
      <c r="D58" s="832"/>
      <c r="E58" s="832"/>
      <c r="F58" s="481">
        <f t="shared" si="5"/>
        <v>0</v>
      </c>
      <c r="G58" s="480">
        <f t="shared" si="6"/>
        <v>0</v>
      </c>
      <c r="H58" s="482">
        <f t="shared" si="7"/>
        <v>0</v>
      </c>
      <c r="I58" s="481">
        <f>+'Salida-1-Pto ingresos-insumos'!E25</f>
        <v>0</v>
      </c>
      <c r="J58" s="483">
        <f>+'Salida-1-Pto ingresos-insumos'!C25</f>
        <v>0</v>
      </c>
      <c r="K58" s="481">
        <f t="shared" si="8"/>
        <v>0</v>
      </c>
      <c r="L58" s="483">
        <f t="shared" si="9"/>
        <v>0</v>
      </c>
      <c r="M58" s="489"/>
      <c r="N58" s="479"/>
    </row>
    <row r="59" spans="2:14" s="478" customFormat="1" ht="24" customHeight="1">
      <c r="B59" s="831">
        <f t="shared" si="4"/>
        <v>0</v>
      </c>
      <c r="C59" s="832"/>
      <c r="D59" s="832"/>
      <c r="E59" s="832"/>
      <c r="F59" s="481">
        <f t="shared" si="5"/>
        <v>0</v>
      </c>
      <c r="G59" s="480">
        <f t="shared" si="6"/>
        <v>0</v>
      </c>
      <c r="H59" s="482">
        <f t="shared" si="7"/>
        <v>0</v>
      </c>
      <c r="I59" s="481">
        <f>+'Salida-1-Pto ingresos-insumos'!E26</f>
        <v>0</v>
      </c>
      <c r="J59" s="483">
        <f>+'Salida-1-Pto ingresos-insumos'!C26</f>
        <v>0</v>
      </c>
      <c r="K59" s="481">
        <f t="shared" si="8"/>
        <v>0</v>
      </c>
      <c r="L59" s="483">
        <f t="shared" si="9"/>
        <v>0</v>
      </c>
      <c r="M59" s="489"/>
      <c r="N59" s="479"/>
    </row>
    <row r="60" spans="2:14" s="478" customFormat="1" ht="24" customHeight="1">
      <c r="B60" s="831">
        <f t="shared" si="4"/>
        <v>0</v>
      </c>
      <c r="C60" s="832"/>
      <c r="D60" s="832"/>
      <c r="E60" s="832"/>
      <c r="F60" s="481">
        <f t="shared" si="5"/>
        <v>0</v>
      </c>
      <c r="G60" s="480">
        <f t="shared" si="6"/>
        <v>0</v>
      </c>
      <c r="H60" s="482">
        <f t="shared" si="7"/>
        <v>0</v>
      </c>
      <c r="I60" s="481">
        <f>+'Salida-1-Pto ingresos-insumos'!E27</f>
        <v>0</v>
      </c>
      <c r="J60" s="483">
        <f>+'Salida-1-Pto ingresos-insumos'!C27</f>
        <v>0</v>
      </c>
      <c r="K60" s="481">
        <f t="shared" si="8"/>
        <v>0</v>
      </c>
      <c r="L60" s="483">
        <f t="shared" si="9"/>
        <v>0</v>
      </c>
      <c r="M60" s="489"/>
      <c r="N60" s="479"/>
    </row>
    <row r="61" spans="2:14" s="478" customFormat="1" ht="24" customHeight="1">
      <c r="B61" s="831">
        <f t="shared" si="4"/>
        <v>0</v>
      </c>
      <c r="C61" s="832"/>
      <c r="D61" s="832"/>
      <c r="E61" s="832"/>
      <c r="F61" s="481">
        <f t="shared" si="5"/>
        <v>0</v>
      </c>
      <c r="G61" s="480">
        <f t="shared" si="6"/>
        <v>0</v>
      </c>
      <c r="H61" s="482">
        <f t="shared" si="7"/>
        <v>0</v>
      </c>
      <c r="I61" s="481">
        <f>+'Salida-1-Pto ingresos-insumos'!E28</f>
        <v>0</v>
      </c>
      <c r="J61" s="483">
        <f>+'Salida-1-Pto ingresos-insumos'!C28</f>
        <v>0</v>
      </c>
      <c r="K61" s="481">
        <f t="shared" si="8"/>
        <v>0</v>
      </c>
      <c r="L61" s="483">
        <f t="shared" si="9"/>
        <v>0</v>
      </c>
      <c r="M61" s="489"/>
      <c r="N61" s="479"/>
    </row>
    <row r="62" spans="2:14" ht="12.75">
      <c r="B62" s="824" t="s">
        <v>12</v>
      </c>
      <c r="C62" s="825"/>
      <c r="D62" s="825"/>
      <c r="E62" s="826"/>
      <c r="F62" s="537">
        <f t="shared" ref="F62:L62" si="10">SUM(F56:F61)</f>
        <v>40831337.594122559</v>
      </c>
      <c r="G62" s="538">
        <f t="shared" si="10"/>
        <v>90.069127045858579</v>
      </c>
      <c r="H62" s="539">
        <f t="shared" si="10"/>
        <v>1</v>
      </c>
      <c r="I62" s="537">
        <f t="shared" si="10"/>
        <v>170000000</v>
      </c>
      <c r="J62" s="536">
        <f t="shared" si="10"/>
        <v>375</v>
      </c>
      <c r="K62" s="537">
        <f t="shared" si="10"/>
        <v>129168662.40587744</v>
      </c>
      <c r="L62" s="536">
        <f t="shared" si="10"/>
        <v>284.93087295414142</v>
      </c>
      <c r="M62" s="488"/>
      <c r="N62" s="75"/>
    </row>
    <row r="63" spans="2:14" customFormat="1" ht="15" customHeight="1">
      <c r="B63" s="407"/>
      <c r="C63" s="3"/>
      <c r="D63" s="3"/>
      <c r="E63" s="3"/>
      <c r="F63" s="3"/>
      <c r="G63" s="3"/>
      <c r="H63" s="3"/>
      <c r="I63" s="3"/>
      <c r="J63" s="3"/>
      <c r="K63" s="3"/>
      <c r="L63" s="3"/>
      <c r="M63" s="413"/>
    </row>
    <row r="64" spans="2:14" customFormat="1" ht="15" customHeight="1">
      <c r="B64" s="407"/>
      <c r="C64" s="3"/>
      <c r="D64" s="3"/>
      <c r="E64" s="3"/>
      <c r="F64" s="3"/>
      <c r="G64" s="3"/>
      <c r="H64" s="3"/>
      <c r="I64" s="3"/>
      <c r="J64" s="3"/>
      <c r="K64" s="3"/>
      <c r="L64" s="3"/>
      <c r="M64" s="413"/>
    </row>
    <row r="65" spans="2:16" s="63" customFormat="1" ht="15" customHeight="1" thickBot="1">
      <c r="B65" s="376"/>
      <c r="C65" s="241"/>
      <c r="D65" s="241"/>
      <c r="E65" s="241"/>
      <c r="F65" s="241"/>
      <c r="G65" s="241"/>
      <c r="H65" s="241"/>
      <c r="I65" s="241"/>
      <c r="J65" s="241"/>
      <c r="K65" s="241"/>
      <c r="L65" s="241"/>
      <c r="M65" s="380"/>
    </row>
    <row r="66" spans="2:16" s="56" customFormat="1" ht="14.25" thickTop="1" thickBot="1">
      <c r="B66" s="269"/>
      <c r="C66" s="270"/>
      <c r="D66" s="270"/>
      <c r="E66" s="270"/>
      <c r="F66" s="270"/>
      <c r="G66" s="270"/>
      <c r="H66" s="270"/>
      <c r="I66" s="270"/>
      <c r="J66" s="270"/>
      <c r="K66" s="270"/>
      <c r="L66" s="270"/>
      <c r="M66" s="271"/>
      <c r="N66" s="65"/>
      <c r="O66" s="65"/>
      <c r="P66" s="65"/>
    </row>
    <row r="67" spans="2:16" customFormat="1" ht="13.5" thickTop="1"/>
  </sheetData>
  <sheetProtection algorithmName="SHA-512" hashValue="L0x1+6W6VIAvNfGDDV72+Xd0sL1mXgwkvM4q+whw+1qIxSsQS7M2z0AfbZvK7LmOi0/wrCy1LBPI4gHNZp1Bpg==" saltValue="+pvtPXM2wZL+860zhZWyJQ==" spinCount="100000" sheet="1" objects="1" scenarios="1" selectLockedCells="1"/>
  <mergeCells count="51">
    <mergeCell ref="C27:E27"/>
    <mergeCell ref="C28:E28"/>
    <mergeCell ref="C22:E22"/>
    <mergeCell ref="C23:E23"/>
    <mergeCell ref="C24:E24"/>
    <mergeCell ref="C25:E25"/>
    <mergeCell ref="C26:E26"/>
    <mergeCell ref="B3:M3"/>
    <mergeCell ref="H5:K5"/>
    <mergeCell ref="H7:K7"/>
    <mergeCell ref="B10:M10"/>
    <mergeCell ref="B19:M19"/>
    <mergeCell ref="C29:E29"/>
    <mergeCell ref="C30:E30"/>
    <mergeCell ref="C31:E31"/>
    <mergeCell ref="C32:E32"/>
    <mergeCell ref="C33:E33"/>
    <mergeCell ref="C34:E34"/>
    <mergeCell ref="C35:E35"/>
    <mergeCell ref="B39:M39"/>
    <mergeCell ref="F42:F43"/>
    <mergeCell ref="G42:G43"/>
    <mergeCell ref="H42:H43"/>
    <mergeCell ref="I42:J43"/>
    <mergeCell ref="K42:K43"/>
    <mergeCell ref="L42:L43"/>
    <mergeCell ref="B41:L41"/>
    <mergeCell ref="B42:E43"/>
    <mergeCell ref="B52:L52"/>
    <mergeCell ref="I53:J54"/>
    <mergeCell ref="K53:L54"/>
    <mergeCell ref="B53:F53"/>
    <mergeCell ref="G53:H53"/>
    <mergeCell ref="B54:E55"/>
    <mergeCell ref="G50:J50"/>
    <mergeCell ref="B44:E44"/>
    <mergeCell ref="B45:E45"/>
    <mergeCell ref="B46:E46"/>
    <mergeCell ref="B47:E47"/>
    <mergeCell ref="B48:E48"/>
    <mergeCell ref="B49:E49"/>
    <mergeCell ref="B62:E62"/>
    <mergeCell ref="F54:F55"/>
    <mergeCell ref="G54:G55"/>
    <mergeCell ref="H54:H55"/>
    <mergeCell ref="B61:E61"/>
    <mergeCell ref="B56:E56"/>
    <mergeCell ref="B57:E57"/>
    <mergeCell ref="B58:E58"/>
    <mergeCell ref="B59:E59"/>
    <mergeCell ref="B60:E60"/>
  </mergeCells>
  <phoneticPr fontId="0" type="noConversion"/>
  <pageMargins left="0.81" right="0.75" top="1.36" bottom="1" header="0" footer="0"/>
  <pageSetup scale="70" orientation="landscape" verticalDpi="300"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17</vt:i4>
      </vt:variant>
      <vt:variant>
        <vt:lpstr>Rangos con nombre</vt:lpstr>
      </vt:variant>
      <vt:variant>
        <vt:i4>83</vt:i4>
      </vt:variant>
    </vt:vector>
  </HeadingPairs>
  <TitlesOfParts>
    <vt:vector size="100" baseType="lpstr">
      <vt:lpstr>Validaciones</vt:lpstr>
      <vt:lpstr>Menu</vt:lpstr>
      <vt:lpstr>1-Datos Generales</vt:lpstr>
      <vt:lpstr>1.1-Perfil-Crediticio</vt:lpstr>
      <vt:lpstr>2-Pto Ventas</vt:lpstr>
      <vt:lpstr>3-Pto Compras</vt:lpstr>
      <vt:lpstr>4-Pto de Costos y Gastos</vt:lpstr>
      <vt:lpstr>5-Plan de Inversion</vt:lpstr>
      <vt:lpstr>6-Plan de negocio</vt:lpstr>
      <vt:lpstr>Salida-1-Pto ingresos-insumos</vt:lpstr>
      <vt:lpstr>Salida-2-Pto Costos y Gastos</vt:lpstr>
      <vt:lpstr>Salida-3-Plan de Inversión</vt:lpstr>
      <vt:lpstr>Salida-4-P &amp; G</vt:lpstr>
      <vt:lpstr>Salida-5-Balance</vt:lpstr>
      <vt:lpstr>Salida-6-Flujo Caja</vt:lpstr>
      <vt:lpstr>Salida-7-Punto de Equilibrio</vt:lpstr>
      <vt:lpstr>Salida-8-Indicadores F.</vt:lpstr>
      <vt:lpstr>_AMAZONAS</vt:lpstr>
      <vt:lpstr>_ANTIOQUIA</vt:lpstr>
      <vt:lpstr>_ARAUCA</vt:lpstr>
      <vt:lpstr>_ATLÁNTICO</vt:lpstr>
      <vt:lpstr>_BOGOTÁ_D.C.</vt:lpstr>
      <vt:lpstr>_BOLÍVAR</vt:lpstr>
      <vt:lpstr>_BOYACÁ</vt:lpstr>
      <vt:lpstr>_CALDAS</vt:lpstr>
      <vt:lpstr>_CAQUETÁ</vt:lpstr>
      <vt:lpstr>_CASANARE</vt:lpstr>
      <vt:lpstr>_CAUCA</vt:lpstr>
      <vt:lpstr>_CESAR</vt:lpstr>
      <vt:lpstr>_CHOCÓ</vt:lpstr>
      <vt:lpstr>_CÓRDOBA</vt:lpstr>
      <vt:lpstr>_CUNDINAMARCA</vt:lpstr>
      <vt:lpstr>_GUAINÍA</vt:lpstr>
      <vt:lpstr>_GUAVIARE</vt:lpstr>
      <vt:lpstr>_HUILA</vt:lpstr>
      <vt:lpstr>_LA_GUAJIRA</vt:lpstr>
      <vt:lpstr>_MAGDALENA</vt:lpstr>
      <vt:lpstr>_META</vt:lpstr>
      <vt:lpstr>_NARIÑO</vt:lpstr>
      <vt:lpstr>_NORTE_DE_SANTANDER</vt:lpstr>
      <vt:lpstr>_PUTUMAYO</vt:lpstr>
      <vt:lpstr>_QUINDÍO</vt:lpstr>
      <vt:lpstr>_RISARALDA</vt:lpstr>
      <vt:lpstr>_SAN_ANDRÉS</vt:lpstr>
      <vt:lpstr>_SANTANDER</vt:lpstr>
      <vt:lpstr>_SUCRE</vt:lpstr>
      <vt:lpstr>_TOLIMA</vt:lpstr>
      <vt:lpstr>_VALLE_DEL_CAUCA</vt:lpstr>
      <vt:lpstr>_VAUPÉS</vt:lpstr>
      <vt:lpstr>_VICHADA</vt:lpstr>
      <vt:lpstr>Amazonas</vt:lpstr>
      <vt:lpstr>Antioquia</vt:lpstr>
      <vt:lpstr>Arauca</vt:lpstr>
      <vt:lpstr>'1.1-Perfil-Crediticio'!Área_de_impresión</vt:lpstr>
      <vt:lpstr>'1-Datos Generales'!Área_de_impresión</vt:lpstr>
      <vt:lpstr>'4-Pto de Costos y Gastos'!Área_de_impresión</vt:lpstr>
      <vt:lpstr>'5-Plan de Inversion'!Área_de_impresión</vt:lpstr>
      <vt:lpstr>Menu!Área_de_impresión</vt:lpstr>
      <vt:lpstr>'Salida-1-Pto ingresos-insumos'!Área_de_impresión</vt:lpstr>
      <vt:lpstr>'Salida-2-Pto Costos y Gastos'!Área_de_impresión</vt:lpstr>
      <vt:lpstr>'Salida-4-P &amp; G'!Área_de_impresión</vt:lpstr>
      <vt:lpstr>'Salida-5-Balance'!Área_de_impresión</vt:lpstr>
      <vt:lpstr>'Salida-6-Flujo Caja'!Área_de_impresión</vt:lpstr>
      <vt:lpstr>'Salida-7-Punto de Equilibrio'!Área_de_impresión</vt:lpstr>
      <vt:lpstr>'Salida-8-Indicadores F.'!Área_de_impresión</vt:lpstr>
      <vt:lpstr>Atlántico</vt:lpstr>
      <vt:lpstr>Bolívar</vt:lpstr>
      <vt:lpstr>Boyacá</vt:lpstr>
      <vt:lpstr>Caldas</vt:lpstr>
      <vt:lpstr>Caquetá</vt:lpstr>
      <vt:lpstr>Casanare</vt:lpstr>
      <vt:lpstr>Centro_Agropecuario</vt:lpstr>
      <vt:lpstr>Cesar</vt:lpstr>
      <vt:lpstr>Chocó</vt:lpstr>
      <vt:lpstr>Córdoba</vt:lpstr>
      <vt:lpstr>Cundinamarca</vt:lpstr>
      <vt:lpstr>Departamentos</vt:lpstr>
      <vt:lpstr>Distrito_Capital</vt:lpstr>
      <vt:lpstr>Guainía</vt:lpstr>
      <vt:lpstr>Guajira</vt:lpstr>
      <vt:lpstr>Guaviare</vt:lpstr>
      <vt:lpstr>Huila</vt:lpstr>
      <vt:lpstr>Magdalena</vt:lpstr>
      <vt:lpstr>Meta</vt:lpstr>
      <vt:lpstr>Nariño</vt:lpstr>
      <vt:lpstr>Norte_de_Santander</vt:lpstr>
      <vt:lpstr>Putumayo</vt:lpstr>
      <vt:lpstr>Quindío</vt:lpstr>
      <vt:lpstr>REGIONALES</vt:lpstr>
      <vt:lpstr>Risaralda</vt:lpstr>
      <vt:lpstr>San_Andrés</vt:lpstr>
      <vt:lpstr>Santander</vt:lpstr>
      <vt:lpstr>Seleccionar</vt:lpstr>
      <vt:lpstr>Seleccione</vt:lpstr>
      <vt:lpstr>Sucre</vt:lpstr>
      <vt:lpstr>'6-Plan de negocio'!Títulos_a_imprimir</vt:lpstr>
      <vt:lpstr>Tolima</vt:lpstr>
      <vt:lpstr>Valle</vt:lpstr>
      <vt:lpstr>Vaupés</vt:lpstr>
      <vt:lpstr>Vichada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Sena</dc:creator>
  <cp:lastModifiedBy>Alejandra Leon</cp:lastModifiedBy>
  <cp:lastPrinted>2016-06-21T16:25:56Z</cp:lastPrinted>
  <dcterms:created xsi:type="dcterms:W3CDTF">2011-11-10T21:53:03Z</dcterms:created>
  <dcterms:modified xsi:type="dcterms:W3CDTF">2021-06-30T21:43:05Z</dcterms:modified>
</cp:coreProperties>
</file>